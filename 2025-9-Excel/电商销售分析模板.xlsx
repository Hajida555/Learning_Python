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nt-learning\quant-learning-git\2025-9-Excel\"/>
    </mc:Choice>
  </mc:AlternateContent>
  <xr:revisionPtr revIDLastSave="0" documentId="13_ncr:1_{C893DEE7-02A2-496C-853A-1C0300FEF5BC}" xr6:coauthVersionLast="47" xr6:coauthVersionMax="47" xr10:uidLastSave="{00000000-0000-0000-0000-000000000000}"/>
  <bookViews>
    <workbookView xWindow="-110" yWindow="-110" windowWidth="25820" windowHeight="16220" xr2:uid="{1F90E7FB-F4C8-4B46-AD6B-DB9A65D4ADBE}"/>
  </bookViews>
  <sheets>
    <sheet name="原始数据" sheetId="1" r:id="rId1"/>
    <sheet name="统计区" sheetId="2" r:id="rId2"/>
    <sheet name="可视化区域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H2" i="3" a="1"/>
  <c r="H2" i="3" s="1"/>
  <c r="A110" i="3"/>
  <c r="B110" i="3"/>
  <c r="C11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A130" i="3"/>
  <c r="B130" i="3"/>
  <c r="C130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54" i="3"/>
  <c r="B154" i="3"/>
  <c r="C154" i="3"/>
  <c r="A155" i="3"/>
  <c r="B155" i="3"/>
  <c r="C155" i="3"/>
  <c r="A156" i="3"/>
  <c r="B156" i="3"/>
  <c r="C156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A179" i="3"/>
  <c r="B179" i="3"/>
  <c r="C179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A206" i="3"/>
  <c r="B206" i="3"/>
  <c r="C206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A360" i="3"/>
  <c r="B360" i="3"/>
  <c r="C360" i="3"/>
  <c r="A361" i="3"/>
  <c r="B361" i="3"/>
  <c r="C361" i="3"/>
  <c r="A362" i="3"/>
  <c r="B362" i="3"/>
  <c r="C362" i="3"/>
  <c r="A363" i="3"/>
  <c r="B363" i="3"/>
  <c r="C363" i="3"/>
  <c r="A364" i="3"/>
  <c r="B364" i="3"/>
  <c r="C364" i="3"/>
  <c r="A365" i="3"/>
  <c r="B365" i="3"/>
  <c r="C365" i="3"/>
  <c r="A366" i="3"/>
  <c r="B366" i="3"/>
  <c r="C366" i="3"/>
  <c r="A367" i="3"/>
  <c r="B367" i="3"/>
  <c r="C367" i="3"/>
  <c r="A368" i="3"/>
  <c r="B368" i="3"/>
  <c r="C368" i="3"/>
  <c r="A369" i="3"/>
  <c r="B369" i="3"/>
  <c r="C369" i="3"/>
  <c r="A370" i="3"/>
  <c r="B370" i="3"/>
  <c r="C370" i="3"/>
  <c r="A371" i="3"/>
  <c r="B371" i="3"/>
  <c r="C371" i="3"/>
  <c r="A372" i="3"/>
  <c r="B372" i="3"/>
  <c r="C372" i="3"/>
  <c r="A373" i="3"/>
  <c r="B373" i="3"/>
  <c r="C373" i="3"/>
  <c r="A374" i="3"/>
  <c r="B374" i="3"/>
  <c r="C374" i="3"/>
  <c r="A375" i="3"/>
  <c r="B375" i="3"/>
  <c r="C375" i="3"/>
  <c r="A376" i="3"/>
  <c r="B376" i="3"/>
  <c r="C376" i="3"/>
  <c r="A377" i="3"/>
  <c r="B377" i="3"/>
  <c r="C377" i="3"/>
  <c r="A378" i="3"/>
  <c r="B378" i="3"/>
  <c r="C378" i="3"/>
  <c r="A379" i="3"/>
  <c r="B379" i="3"/>
  <c r="C379" i="3"/>
  <c r="A380" i="3"/>
  <c r="B380" i="3"/>
  <c r="C380" i="3"/>
  <c r="A381" i="3"/>
  <c r="B381" i="3"/>
  <c r="C381" i="3"/>
  <c r="A382" i="3"/>
  <c r="B382" i="3"/>
  <c r="C382" i="3"/>
  <c r="A383" i="3"/>
  <c r="B383" i="3"/>
  <c r="C383" i="3"/>
  <c r="A384" i="3"/>
  <c r="B384" i="3"/>
  <c r="C384" i="3"/>
  <c r="A385" i="3"/>
  <c r="B385" i="3"/>
  <c r="C385" i="3"/>
  <c r="A386" i="3"/>
  <c r="B386" i="3"/>
  <c r="C386" i="3"/>
  <c r="A387" i="3"/>
  <c r="B387" i="3"/>
  <c r="C387" i="3"/>
  <c r="A388" i="3"/>
  <c r="B388" i="3"/>
  <c r="C388" i="3"/>
  <c r="A389" i="3"/>
  <c r="B389" i="3"/>
  <c r="C389" i="3"/>
  <c r="A390" i="3"/>
  <c r="B390" i="3"/>
  <c r="C390" i="3"/>
  <c r="A391" i="3"/>
  <c r="B391" i="3"/>
  <c r="C391" i="3"/>
  <c r="A392" i="3"/>
  <c r="B392" i="3"/>
  <c r="C392" i="3"/>
  <c r="A393" i="3"/>
  <c r="B393" i="3"/>
  <c r="C393" i="3"/>
  <c r="A394" i="3"/>
  <c r="B394" i="3"/>
  <c r="C394" i="3"/>
  <c r="A395" i="3"/>
  <c r="B395" i="3"/>
  <c r="C395" i="3"/>
  <c r="A396" i="3"/>
  <c r="B396" i="3"/>
  <c r="C396" i="3"/>
  <c r="A397" i="3"/>
  <c r="B397" i="3"/>
  <c r="C397" i="3"/>
  <c r="A398" i="3"/>
  <c r="B398" i="3"/>
  <c r="C398" i="3"/>
  <c r="A399" i="3"/>
  <c r="B399" i="3"/>
  <c r="C399" i="3"/>
  <c r="A400" i="3"/>
  <c r="B400" i="3"/>
  <c r="C400" i="3"/>
  <c r="A401" i="3"/>
  <c r="B401" i="3"/>
  <c r="C401" i="3"/>
  <c r="A402" i="3"/>
  <c r="B402" i="3"/>
  <c r="C402" i="3"/>
  <c r="A403" i="3"/>
  <c r="B403" i="3"/>
  <c r="C403" i="3"/>
  <c r="A404" i="3"/>
  <c r="B404" i="3"/>
  <c r="C404" i="3"/>
  <c r="A405" i="3"/>
  <c r="B405" i="3"/>
  <c r="C405" i="3"/>
  <c r="A406" i="3"/>
  <c r="B406" i="3"/>
  <c r="C406" i="3"/>
  <c r="A407" i="3"/>
  <c r="B407" i="3"/>
  <c r="C407" i="3"/>
  <c r="A408" i="3"/>
  <c r="B408" i="3"/>
  <c r="C408" i="3"/>
  <c r="A409" i="3"/>
  <c r="B409" i="3"/>
  <c r="C409" i="3"/>
  <c r="A410" i="3"/>
  <c r="B410" i="3"/>
  <c r="C410" i="3"/>
  <c r="A411" i="3"/>
  <c r="B411" i="3"/>
  <c r="C411" i="3"/>
  <c r="A412" i="3"/>
  <c r="B412" i="3"/>
  <c r="C412" i="3"/>
  <c r="A413" i="3"/>
  <c r="B413" i="3"/>
  <c r="C413" i="3"/>
  <c r="A414" i="3"/>
  <c r="B414" i="3"/>
  <c r="C414" i="3"/>
  <c r="A415" i="3"/>
  <c r="B415" i="3"/>
  <c r="C415" i="3"/>
  <c r="A416" i="3"/>
  <c r="B416" i="3"/>
  <c r="C416" i="3"/>
  <c r="A417" i="3"/>
  <c r="B417" i="3"/>
  <c r="C417" i="3"/>
  <c r="A418" i="3"/>
  <c r="B418" i="3"/>
  <c r="C418" i="3"/>
  <c r="A419" i="3"/>
  <c r="B419" i="3"/>
  <c r="C419" i="3"/>
  <c r="A420" i="3"/>
  <c r="B420" i="3"/>
  <c r="C420" i="3"/>
  <c r="A421" i="3"/>
  <c r="B421" i="3"/>
  <c r="C421" i="3"/>
  <c r="A422" i="3"/>
  <c r="B422" i="3"/>
  <c r="C422" i="3"/>
  <c r="A423" i="3"/>
  <c r="B423" i="3"/>
  <c r="C423" i="3"/>
  <c r="A424" i="3"/>
  <c r="B424" i="3"/>
  <c r="C424" i="3"/>
  <c r="A425" i="3"/>
  <c r="B425" i="3"/>
  <c r="C425" i="3"/>
  <c r="A426" i="3"/>
  <c r="B426" i="3"/>
  <c r="C426" i="3"/>
  <c r="A427" i="3"/>
  <c r="B427" i="3"/>
  <c r="C427" i="3"/>
  <c r="A428" i="3"/>
  <c r="B428" i="3"/>
  <c r="C428" i="3"/>
  <c r="A429" i="3"/>
  <c r="B429" i="3"/>
  <c r="C429" i="3"/>
  <c r="A430" i="3"/>
  <c r="B430" i="3"/>
  <c r="C430" i="3"/>
  <c r="A431" i="3"/>
  <c r="B431" i="3"/>
  <c r="C431" i="3"/>
  <c r="A432" i="3"/>
  <c r="B432" i="3"/>
  <c r="C432" i="3"/>
  <c r="A433" i="3"/>
  <c r="B433" i="3"/>
  <c r="C433" i="3"/>
  <c r="A434" i="3"/>
  <c r="B434" i="3"/>
  <c r="C434" i="3"/>
  <c r="A435" i="3"/>
  <c r="B435" i="3"/>
  <c r="C435" i="3"/>
  <c r="A436" i="3"/>
  <c r="B436" i="3"/>
  <c r="C436" i="3"/>
  <c r="A437" i="3"/>
  <c r="B437" i="3"/>
  <c r="C437" i="3"/>
  <c r="A438" i="3"/>
  <c r="B438" i="3"/>
  <c r="C438" i="3"/>
  <c r="A439" i="3"/>
  <c r="B439" i="3"/>
  <c r="C439" i="3"/>
  <c r="A440" i="3"/>
  <c r="B440" i="3"/>
  <c r="C440" i="3"/>
  <c r="A441" i="3"/>
  <c r="B441" i="3"/>
  <c r="C441" i="3"/>
  <c r="A442" i="3"/>
  <c r="B442" i="3"/>
  <c r="C442" i="3"/>
  <c r="A443" i="3"/>
  <c r="B443" i="3"/>
  <c r="C443" i="3"/>
  <c r="A444" i="3"/>
  <c r="B444" i="3"/>
  <c r="C444" i="3"/>
  <c r="A445" i="3"/>
  <c r="B445" i="3"/>
  <c r="C445" i="3"/>
  <c r="A446" i="3"/>
  <c r="B446" i="3"/>
  <c r="C446" i="3"/>
  <c r="A447" i="3"/>
  <c r="B447" i="3"/>
  <c r="C447" i="3"/>
  <c r="A448" i="3"/>
  <c r="B448" i="3"/>
  <c r="C448" i="3"/>
  <c r="A449" i="3"/>
  <c r="B449" i="3"/>
  <c r="C449" i="3"/>
  <c r="A450" i="3"/>
  <c r="B450" i="3"/>
  <c r="C450" i="3"/>
  <c r="A451" i="3"/>
  <c r="B451" i="3"/>
  <c r="C451" i="3"/>
  <c r="A452" i="3"/>
  <c r="B452" i="3"/>
  <c r="C452" i="3"/>
  <c r="A453" i="3"/>
  <c r="B453" i="3"/>
  <c r="C453" i="3"/>
  <c r="A454" i="3"/>
  <c r="B454" i="3"/>
  <c r="C454" i="3"/>
  <c r="A455" i="3"/>
  <c r="B455" i="3"/>
  <c r="C455" i="3"/>
  <c r="A456" i="3"/>
  <c r="B456" i="3"/>
  <c r="C456" i="3"/>
  <c r="A457" i="3"/>
  <c r="B457" i="3"/>
  <c r="C457" i="3"/>
  <c r="A458" i="3"/>
  <c r="B458" i="3"/>
  <c r="C458" i="3"/>
  <c r="A459" i="3"/>
  <c r="B459" i="3"/>
  <c r="C459" i="3"/>
  <c r="A460" i="3"/>
  <c r="B460" i="3"/>
  <c r="C460" i="3"/>
  <c r="A461" i="3"/>
  <c r="B461" i="3"/>
  <c r="C461" i="3"/>
  <c r="A462" i="3"/>
  <c r="B462" i="3"/>
  <c r="C462" i="3"/>
  <c r="A463" i="3"/>
  <c r="B463" i="3"/>
  <c r="C463" i="3"/>
  <c r="A464" i="3"/>
  <c r="B464" i="3"/>
  <c r="C464" i="3"/>
  <c r="A465" i="3"/>
  <c r="B465" i="3"/>
  <c r="C465" i="3"/>
  <c r="A466" i="3"/>
  <c r="B466" i="3"/>
  <c r="C466" i="3"/>
  <c r="A467" i="3"/>
  <c r="B467" i="3"/>
  <c r="C467" i="3"/>
  <c r="A468" i="3"/>
  <c r="B468" i="3"/>
  <c r="C468" i="3"/>
  <c r="A469" i="3"/>
  <c r="B469" i="3"/>
  <c r="C469" i="3"/>
  <c r="A470" i="3"/>
  <c r="B470" i="3"/>
  <c r="C470" i="3"/>
  <c r="A471" i="3"/>
  <c r="B471" i="3"/>
  <c r="C471" i="3"/>
  <c r="A472" i="3"/>
  <c r="B472" i="3"/>
  <c r="C472" i="3"/>
  <c r="A473" i="3"/>
  <c r="B473" i="3"/>
  <c r="C473" i="3"/>
  <c r="A474" i="3"/>
  <c r="B474" i="3"/>
  <c r="C474" i="3"/>
  <c r="A475" i="3"/>
  <c r="B475" i="3"/>
  <c r="C475" i="3"/>
  <c r="A476" i="3"/>
  <c r="B476" i="3"/>
  <c r="C476" i="3"/>
  <c r="A477" i="3"/>
  <c r="B477" i="3"/>
  <c r="C477" i="3"/>
  <c r="A478" i="3"/>
  <c r="B478" i="3"/>
  <c r="C478" i="3"/>
  <c r="A479" i="3"/>
  <c r="B479" i="3"/>
  <c r="C479" i="3"/>
  <c r="A480" i="3"/>
  <c r="B480" i="3"/>
  <c r="C480" i="3"/>
  <c r="A481" i="3"/>
  <c r="B481" i="3"/>
  <c r="C481" i="3"/>
  <c r="A482" i="3"/>
  <c r="B482" i="3"/>
  <c r="C482" i="3"/>
  <c r="A483" i="3"/>
  <c r="B483" i="3"/>
  <c r="C483" i="3"/>
  <c r="A484" i="3"/>
  <c r="B484" i="3"/>
  <c r="C484" i="3"/>
  <c r="A485" i="3"/>
  <c r="B485" i="3"/>
  <c r="C485" i="3"/>
  <c r="A486" i="3"/>
  <c r="B486" i="3"/>
  <c r="C486" i="3"/>
  <c r="A487" i="3"/>
  <c r="B487" i="3"/>
  <c r="C487" i="3"/>
  <c r="A488" i="3"/>
  <c r="B488" i="3"/>
  <c r="C488" i="3"/>
  <c r="A489" i="3"/>
  <c r="B489" i="3"/>
  <c r="C489" i="3"/>
  <c r="A490" i="3"/>
  <c r="B490" i="3"/>
  <c r="C490" i="3"/>
  <c r="A491" i="3"/>
  <c r="B491" i="3"/>
  <c r="C491" i="3"/>
  <c r="A492" i="3"/>
  <c r="B492" i="3"/>
  <c r="C492" i="3"/>
  <c r="A493" i="3"/>
  <c r="B493" i="3"/>
  <c r="C493" i="3"/>
  <c r="A494" i="3"/>
  <c r="B494" i="3"/>
  <c r="C494" i="3"/>
  <c r="A495" i="3"/>
  <c r="B495" i="3"/>
  <c r="C495" i="3"/>
  <c r="A496" i="3"/>
  <c r="B496" i="3"/>
  <c r="C496" i="3"/>
  <c r="A497" i="3"/>
  <c r="B497" i="3"/>
  <c r="C497" i="3"/>
  <c r="A498" i="3"/>
  <c r="B498" i="3"/>
  <c r="C498" i="3"/>
  <c r="A499" i="3"/>
  <c r="B499" i="3"/>
  <c r="C499" i="3"/>
  <c r="A500" i="3"/>
  <c r="B500" i="3"/>
  <c r="C500" i="3"/>
  <c r="A501" i="3"/>
  <c r="B501" i="3"/>
  <c r="C501" i="3"/>
  <c r="A502" i="3"/>
  <c r="B502" i="3"/>
  <c r="C502" i="3"/>
  <c r="A503" i="3"/>
  <c r="B503" i="3"/>
  <c r="C503" i="3"/>
  <c r="A504" i="3"/>
  <c r="B504" i="3"/>
  <c r="C504" i="3"/>
  <c r="A505" i="3"/>
  <c r="B505" i="3"/>
  <c r="C505" i="3"/>
  <c r="A506" i="3"/>
  <c r="B506" i="3"/>
  <c r="C506" i="3"/>
  <c r="A507" i="3"/>
  <c r="B507" i="3"/>
  <c r="C507" i="3"/>
  <c r="A508" i="3"/>
  <c r="B508" i="3"/>
  <c r="C508" i="3"/>
  <c r="A509" i="3"/>
  <c r="B509" i="3"/>
  <c r="C509" i="3"/>
  <c r="A510" i="3"/>
  <c r="B510" i="3"/>
  <c r="C510" i="3"/>
  <c r="A511" i="3"/>
  <c r="B511" i="3"/>
  <c r="C511" i="3"/>
  <c r="A512" i="3"/>
  <c r="B512" i="3"/>
  <c r="C512" i="3"/>
  <c r="A513" i="3"/>
  <c r="B513" i="3"/>
  <c r="C513" i="3"/>
  <c r="A514" i="3"/>
  <c r="B514" i="3"/>
  <c r="C514" i="3"/>
  <c r="A515" i="3"/>
  <c r="B515" i="3"/>
  <c r="C515" i="3"/>
  <c r="A516" i="3"/>
  <c r="B516" i="3"/>
  <c r="C516" i="3"/>
  <c r="A517" i="3"/>
  <c r="B517" i="3"/>
  <c r="C517" i="3"/>
  <c r="A518" i="3"/>
  <c r="B518" i="3"/>
  <c r="C518" i="3"/>
  <c r="A519" i="3"/>
  <c r="B519" i="3"/>
  <c r="C519" i="3"/>
  <c r="A520" i="3"/>
  <c r="B520" i="3"/>
  <c r="C520" i="3"/>
  <c r="A521" i="3"/>
  <c r="B521" i="3"/>
  <c r="C521" i="3"/>
  <c r="A522" i="3"/>
  <c r="B522" i="3"/>
  <c r="C522" i="3"/>
  <c r="A523" i="3"/>
  <c r="B523" i="3"/>
  <c r="C523" i="3"/>
  <c r="A524" i="3"/>
  <c r="B524" i="3"/>
  <c r="C524" i="3"/>
  <c r="A525" i="3"/>
  <c r="B525" i="3"/>
  <c r="C525" i="3"/>
  <c r="A526" i="3"/>
  <c r="B526" i="3"/>
  <c r="C526" i="3"/>
  <c r="A527" i="3"/>
  <c r="B527" i="3"/>
  <c r="C527" i="3"/>
  <c r="A528" i="3"/>
  <c r="B528" i="3"/>
  <c r="C528" i="3"/>
  <c r="A529" i="3"/>
  <c r="B529" i="3"/>
  <c r="C529" i="3"/>
  <c r="A530" i="3"/>
  <c r="B530" i="3"/>
  <c r="C530" i="3"/>
  <c r="A531" i="3"/>
  <c r="B531" i="3"/>
  <c r="C531" i="3"/>
  <c r="A532" i="3"/>
  <c r="B532" i="3"/>
  <c r="C532" i="3"/>
  <c r="A533" i="3"/>
  <c r="B533" i="3"/>
  <c r="C533" i="3"/>
  <c r="A534" i="3"/>
  <c r="B534" i="3"/>
  <c r="C534" i="3"/>
  <c r="A535" i="3"/>
  <c r="B535" i="3"/>
  <c r="C535" i="3"/>
  <c r="A536" i="3"/>
  <c r="B536" i="3"/>
  <c r="C536" i="3"/>
  <c r="A537" i="3"/>
  <c r="B537" i="3"/>
  <c r="C537" i="3"/>
  <c r="A538" i="3"/>
  <c r="B538" i="3"/>
  <c r="C538" i="3"/>
  <c r="A539" i="3"/>
  <c r="B539" i="3"/>
  <c r="C539" i="3"/>
  <c r="A540" i="3"/>
  <c r="B540" i="3"/>
  <c r="C540" i="3"/>
  <c r="A541" i="3"/>
  <c r="B541" i="3"/>
  <c r="C541" i="3"/>
  <c r="A542" i="3"/>
  <c r="B542" i="3"/>
  <c r="C542" i="3"/>
  <c r="A543" i="3"/>
  <c r="B543" i="3"/>
  <c r="C543" i="3"/>
  <c r="A544" i="3"/>
  <c r="B544" i="3"/>
  <c r="C544" i="3"/>
  <c r="A545" i="3"/>
  <c r="B545" i="3"/>
  <c r="C545" i="3"/>
  <c r="A546" i="3"/>
  <c r="B546" i="3"/>
  <c r="C546" i="3"/>
  <c r="A547" i="3"/>
  <c r="B547" i="3"/>
  <c r="C547" i="3"/>
  <c r="A548" i="3"/>
  <c r="B548" i="3"/>
  <c r="C548" i="3"/>
  <c r="A549" i="3"/>
  <c r="B549" i="3"/>
  <c r="C549" i="3"/>
  <c r="A550" i="3"/>
  <c r="B550" i="3"/>
  <c r="C550" i="3"/>
  <c r="A551" i="3"/>
  <c r="B551" i="3"/>
  <c r="C551" i="3"/>
  <c r="A552" i="3"/>
  <c r="B552" i="3"/>
  <c r="C552" i="3"/>
  <c r="A553" i="3"/>
  <c r="B553" i="3"/>
  <c r="C553" i="3"/>
  <c r="A554" i="3"/>
  <c r="B554" i="3"/>
  <c r="C554" i="3"/>
  <c r="A555" i="3"/>
  <c r="B555" i="3"/>
  <c r="C555" i="3"/>
  <c r="A556" i="3"/>
  <c r="B556" i="3"/>
  <c r="C556" i="3"/>
  <c r="A557" i="3"/>
  <c r="B557" i="3"/>
  <c r="C557" i="3"/>
  <c r="A558" i="3"/>
  <c r="B558" i="3"/>
  <c r="C558" i="3"/>
  <c r="A559" i="3"/>
  <c r="B559" i="3"/>
  <c r="C559" i="3"/>
  <c r="A560" i="3"/>
  <c r="B560" i="3"/>
  <c r="C560" i="3"/>
  <c r="A561" i="3"/>
  <c r="B561" i="3"/>
  <c r="C561" i="3"/>
  <c r="A562" i="3"/>
  <c r="B562" i="3"/>
  <c r="C562" i="3"/>
  <c r="A563" i="3"/>
  <c r="B563" i="3"/>
  <c r="C563" i="3"/>
  <c r="A564" i="3"/>
  <c r="B564" i="3"/>
  <c r="C564" i="3"/>
  <c r="A565" i="3"/>
  <c r="B565" i="3"/>
  <c r="C565" i="3"/>
  <c r="A566" i="3"/>
  <c r="B566" i="3"/>
  <c r="C566" i="3"/>
  <c r="A567" i="3"/>
  <c r="B567" i="3"/>
  <c r="C567" i="3"/>
  <c r="A568" i="3"/>
  <c r="B568" i="3"/>
  <c r="C568" i="3"/>
  <c r="A569" i="3"/>
  <c r="B569" i="3"/>
  <c r="C569" i="3"/>
  <c r="A570" i="3"/>
  <c r="B570" i="3"/>
  <c r="C570" i="3"/>
  <c r="A571" i="3"/>
  <c r="B571" i="3"/>
  <c r="C571" i="3"/>
  <c r="A572" i="3"/>
  <c r="B572" i="3"/>
  <c r="C572" i="3"/>
  <c r="A573" i="3"/>
  <c r="B573" i="3"/>
  <c r="C573" i="3"/>
  <c r="A574" i="3"/>
  <c r="B574" i="3"/>
  <c r="C574" i="3"/>
  <c r="A575" i="3"/>
  <c r="B575" i="3"/>
  <c r="C575" i="3"/>
  <c r="A576" i="3"/>
  <c r="B576" i="3"/>
  <c r="C576" i="3"/>
  <c r="A577" i="3"/>
  <c r="B577" i="3"/>
  <c r="C577" i="3"/>
  <c r="A578" i="3"/>
  <c r="B578" i="3"/>
  <c r="C578" i="3"/>
  <c r="A579" i="3"/>
  <c r="B579" i="3"/>
  <c r="C579" i="3"/>
  <c r="A580" i="3"/>
  <c r="B580" i="3"/>
  <c r="C580" i="3"/>
  <c r="A581" i="3"/>
  <c r="B581" i="3"/>
  <c r="C581" i="3"/>
  <c r="A582" i="3"/>
  <c r="B582" i="3"/>
  <c r="C582" i="3"/>
  <c r="A583" i="3"/>
  <c r="B583" i="3"/>
  <c r="C583" i="3"/>
  <c r="A584" i="3"/>
  <c r="B584" i="3"/>
  <c r="C584" i="3"/>
  <c r="A585" i="3"/>
  <c r="B585" i="3"/>
  <c r="C585" i="3"/>
  <c r="A586" i="3"/>
  <c r="B586" i="3"/>
  <c r="C586" i="3"/>
  <c r="A587" i="3"/>
  <c r="B587" i="3"/>
  <c r="C587" i="3"/>
  <c r="A588" i="3"/>
  <c r="B588" i="3"/>
  <c r="C588" i="3"/>
  <c r="A589" i="3"/>
  <c r="B589" i="3"/>
  <c r="C589" i="3"/>
  <c r="A590" i="3"/>
  <c r="B590" i="3"/>
  <c r="C590" i="3"/>
  <c r="A591" i="3"/>
  <c r="B591" i="3"/>
  <c r="C591" i="3"/>
  <c r="A592" i="3"/>
  <c r="B592" i="3"/>
  <c r="C592" i="3"/>
  <c r="A593" i="3"/>
  <c r="B593" i="3"/>
  <c r="C593" i="3"/>
  <c r="A594" i="3"/>
  <c r="B594" i="3"/>
  <c r="C594" i="3"/>
  <c r="A595" i="3"/>
  <c r="B595" i="3"/>
  <c r="C595" i="3"/>
  <c r="A596" i="3"/>
  <c r="B596" i="3"/>
  <c r="C596" i="3"/>
  <c r="A597" i="3"/>
  <c r="B597" i="3"/>
  <c r="C597" i="3"/>
  <c r="A598" i="3"/>
  <c r="B598" i="3"/>
  <c r="C598" i="3"/>
  <c r="A599" i="3"/>
  <c r="B599" i="3"/>
  <c r="C599" i="3"/>
  <c r="A600" i="3"/>
  <c r="B600" i="3"/>
  <c r="C600" i="3"/>
  <c r="A601" i="3"/>
  <c r="B601" i="3"/>
  <c r="C601" i="3"/>
  <c r="A602" i="3"/>
  <c r="B602" i="3"/>
  <c r="C602" i="3"/>
  <c r="A603" i="3"/>
  <c r="B603" i="3"/>
  <c r="C603" i="3"/>
  <c r="A604" i="3"/>
  <c r="B604" i="3"/>
  <c r="C604" i="3"/>
  <c r="A605" i="3"/>
  <c r="B605" i="3"/>
  <c r="C605" i="3"/>
  <c r="A606" i="3"/>
  <c r="B606" i="3"/>
  <c r="C606" i="3"/>
  <c r="A607" i="3"/>
  <c r="B607" i="3"/>
  <c r="C607" i="3"/>
  <c r="A608" i="3"/>
  <c r="B608" i="3"/>
  <c r="C608" i="3"/>
  <c r="A609" i="3"/>
  <c r="B609" i="3"/>
  <c r="C609" i="3"/>
  <c r="A610" i="3"/>
  <c r="B610" i="3"/>
  <c r="C610" i="3"/>
  <c r="A611" i="3"/>
  <c r="B611" i="3"/>
  <c r="C611" i="3"/>
  <c r="A612" i="3"/>
  <c r="B612" i="3"/>
  <c r="C612" i="3"/>
  <c r="A613" i="3"/>
  <c r="B613" i="3"/>
  <c r="C613" i="3"/>
  <c r="A614" i="3"/>
  <c r="B614" i="3"/>
  <c r="C614" i="3"/>
  <c r="A615" i="3"/>
  <c r="B615" i="3"/>
  <c r="C615" i="3"/>
  <c r="A616" i="3"/>
  <c r="B616" i="3"/>
  <c r="C616" i="3"/>
  <c r="A617" i="3"/>
  <c r="B617" i="3"/>
  <c r="C617" i="3"/>
  <c r="A618" i="3"/>
  <c r="B618" i="3"/>
  <c r="C618" i="3"/>
  <c r="A619" i="3"/>
  <c r="B619" i="3"/>
  <c r="C619" i="3"/>
  <c r="A620" i="3"/>
  <c r="B620" i="3"/>
  <c r="C620" i="3"/>
  <c r="A621" i="3"/>
  <c r="B621" i="3"/>
  <c r="C621" i="3"/>
  <c r="A622" i="3"/>
  <c r="B622" i="3"/>
  <c r="C622" i="3"/>
  <c r="A623" i="3"/>
  <c r="B623" i="3"/>
  <c r="C623" i="3"/>
  <c r="A624" i="3"/>
  <c r="B624" i="3"/>
  <c r="C624" i="3"/>
  <c r="A625" i="3"/>
  <c r="B625" i="3"/>
  <c r="C625" i="3"/>
  <c r="A626" i="3"/>
  <c r="B626" i="3"/>
  <c r="C626" i="3"/>
  <c r="A627" i="3"/>
  <c r="B627" i="3"/>
  <c r="C627" i="3"/>
  <c r="A628" i="3"/>
  <c r="B628" i="3"/>
  <c r="C628" i="3"/>
  <c r="A629" i="3"/>
  <c r="B629" i="3"/>
  <c r="C629" i="3"/>
  <c r="A630" i="3"/>
  <c r="B630" i="3"/>
  <c r="C630" i="3"/>
  <c r="A631" i="3"/>
  <c r="B631" i="3"/>
  <c r="C631" i="3"/>
  <c r="A632" i="3"/>
  <c r="B632" i="3"/>
  <c r="C632" i="3"/>
  <c r="A633" i="3"/>
  <c r="B633" i="3"/>
  <c r="C633" i="3"/>
  <c r="A634" i="3"/>
  <c r="B634" i="3"/>
  <c r="C634" i="3"/>
  <c r="A635" i="3"/>
  <c r="B635" i="3"/>
  <c r="C635" i="3"/>
  <c r="A636" i="3"/>
  <c r="B636" i="3"/>
  <c r="C636" i="3"/>
  <c r="A637" i="3"/>
  <c r="B637" i="3"/>
  <c r="C637" i="3"/>
  <c r="A638" i="3"/>
  <c r="B638" i="3"/>
  <c r="C638" i="3"/>
  <c r="A639" i="3"/>
  <c r="B639" i="3"/>
  <c r="C639" i="3"/>
  <c r="A640" i="3"/>
  <c r="B640" i="3"/>
  <c r="C640" i="3"/>
  <c r="A641" i="3"/>
  <c r="B641" i="3"/>
  <c r="C641" i="3"/>
  <c r="A642" i="3"/>
  <c r="B642" i="3"/>
  <c r="C642" i="3"/>
  <c r="A643" i="3"/>
  <c r="B643" i="3"/>
  <c r="C643" i="3"/>
  <c r="A644" i="3"/>
  <c r="B644" i="3"/>
  <c r="C644" i="3"/>
  <c r="A645" i="3"/>
  <c r="B645" i="3"/>
  <c r="C645" i="3"/>
  <c r="A646" i="3"/>
  <c r="B646" i="3"/>
  <c r="C646" i="3"/>
  <c r="A647" i="3"/>
  <c r="B647" i="3"/>
  <c r="C647" i="3"/>
  <c r="A648" i="3"/>
  <c r="B648" i="3"/>
  <c r="C648" i="3"/>
  <c r="A649" i="3"/>
  <c r="B649" i="3"/>
  <c r="C649" i="3"/>
  <c r="A650" i="3"/>
  <c r="B650" i="3"/>
  <c r="C650" i="3"/>
  <c r="A651" i="3"/>
  <c r="B651" i="3"/>
  <c r="C651" i="3"/>
  <c r="A652" i="3"/>
  <c r="B652" i="3"/>
  <c r="C652" i="3"/>
  <c r="A653" i="3"/>
  <c r="B653" i="3"/>
  <c r="C653" i="3"/>
  <c r="A654" i="3"/>
  <c r="B654" i="3"/>
  <c r="C654" i="3"/>
  <c r="A655" i="3"/>
  <c r="B655" i="3"/>
  <c r="C655" i="3"/>
  <c r="A656" i="3"/>
  <c r="B656" i="3"/>
  <c r="C656" i="3"/>
  <c r="A657" i="3"/>
  <c r="B657" i="3"/>
  <c r="C657" i="3"/>
  <c r="A658" i="3"/>
  <c r="B658" i="3"/>
  <c r="C658" i="3"/>
  <c r="A659" i="3"/>
  <c r="B659" i="3"/>
  <c r="C659" i="3"/>
  <c r="A660" i="3"/>
  <c r="B660" i="3"/>
  <c r="C660" i="3"/>
  <c r="A661" i="3"/>
  <c r="B661" i="3"/>
  <c r="C661" i="3"/>
  <c r="A662" i="3"/>
  <c r="B662" i="3"/>
  <c r="C662" i="3"/>
  <c r="A663" i="3"/>
  <c r="B663" i="3"/>
  <c r="C663" i="3"/>
  <c r="A664" i="3"/>
  <c r="B664" i="3"/>
  <c r="C664" i="3"/>
  <c r="A665" i="3"/>
  <c r="B665" i="3"/>
  <c r="C665" i="3"/>
  <c r="A666" i="3"/>
  <c r="B666" i="3"/>
  <c r="C666" i="3"/>
  <c r="A667" i="3"/>
  <c r="B667" i="3"/>
  <c r="C667" i="3"/>
  <c r="A668" i="3"/>
  <c r="B668" i="3"/>
  <c r="C668" i="3"/>
  <c r="A669" i="3"/>
  <c r="B669" i="3"/>
  <c r="C669" i="3"/>
  <c r="A670" i="3"/>
  <c r="B670" i="3"/>
  <c r="C670" i="3"/>
  <c r="A671" i="3"/>
  <c r="B671" i="3"/>
  <c r="C671" i="3"/>
  <c r="A672" i="3"/>
  <c r="B672" i="3"/>
  <c r="C672" i="3"/>
  <c r="A673" i="3"/>
  <c r="B673" i="3"/>
  <c r="C673" i="3"/>
  <c r="A674" i="3"/>
  <c r="B674" i="3"/>
  <c r="C674" i="3"/>
  <c r="A675" i="3"/>
  <c r="B675" i="3"/>
  <c r="C675" i="3"/>
  <c r="A676" i="3"/>
  <c r="B676" i="3"/>
  <c r="C676" i="3"/>
  <c r="A677" i="3"/>
  <c r="B677" i="3"/>
  <c r="C677" i="3"/>
  <c r="A678" i="3"/>
  <c r="B678" i="3"/>
  <c r="C678" i="3"/>
  <c r="A679" i="3"/>
  <c r="B679" i="3"/>
  <c r="C679" i="3"/>
  <c r="A680" i="3"/>
  <c r="B680" i="3"/>
  <c r="C680" i="3"/>
  <c r="A681" i="3"/>
  <c r="B681" i="3"/>
  <c r="C681" i="3"/>
  <c r="A682" i="3"/>
  <c r="B682" i="3"/>
  <c r="C682" i="3"/>
  <c r="A683" i="3"/>
  <c r="B683" i="3"/>
  <c r="C683" i="3"/>
  <c r="A684" i="3"/>
  <c r="B684" i="3"/>
  <c r="C684" i="3"/>
  <c r="A685" i="3"/>
  <c r="B685" i="3"/>
  <c r="C685" i="3"/>
  <c r="A686" i="3"/>
  <c r="B686" i="3"/>
  <c r="C686" i="3"/>
  <c r="A687" i="3"/>
  <c r="B687" i="3"/>
  <c r="C687" i="3"/>
  <c r="A688" i="3"/>
  <c r="B688" i="3"/>
  <c r="C688" i="3"/>
  <c r="A689" i="3"/>
  <c r="B689" i="3"/>
  <c r="C689" i="3"/>
  <c r="A690" i="3"/>
  <c r="B690" i="3"/>
  <c r="C690" i="3"/>
  <c r="A691" i="3"/>
  <c r="B691" i="3"/>
  <c r="C691" i="3"/>
  <c r="A692" i="3"/>
  <c r="B692" i="3"/>
  <c r="C692" i="3"/>
  <c r="A693" i="3"/>
  <c r="B693" i="3"/>
  <c r="C693" i="3"/>
  <c r="A694" i="3"/>
  <c r="B694" i="3"/>
  <c r="C694" i="3"/>
  <c r="A695" i="3"/>
  <c r="B695" i="3"/>
  <c r="C695" i="3"/>
  <c r="A696" i="3"/>
  <c r="B696" i="3"/>
  <c r="C696" i="3"/>
  <c r="A697" i="3"/>
  <c r="B697" i="3"/>
  <c r="C697" i="3"/>
  <c r="A698" i="3"/>
  <c r="B698" i="3"/>
  <c r="C698" i="3"/>
  <c r="A699" i="3"/>
  <c r="B699" i="3"/>
  <c r="C699" i="3"/>
  <c r="A700" i="3"/>
  <c r="B700" i="3"/>
  <c r="C700" i="3"/>
  <c r="A701" i="3"/>
  <c r="B701" i="3"/>
  <c r="C701" i="3"/>
  <c r="A702" i="3"/>
  <c r="B702" i="3"/>
  <c r="C702" i="3"/>
  <c r="A703" i="3"/>
  <c r="B703" i="3"/>
  <c r="C703" i="3"/>
  <c r="A704" i="3"/>
  <c r="B704" i="3"/>
  <c r="C704" i="3"/>
  <c r="A705" i="3"/>
  <c r="B705" i="3"/>
  <c r="C705" i="3"/>
  <c r="A706" i="3"/>
  <c r="B706" i="3"/>
  <c r="C706" i="3"/>
  <c r="A707" i="3"/>
  <c r="B707" i="3"/>
  <c r="C707" i="3"/>
  <c r="A708" i="3"/>
  <c r="B708" i="3"/>
  <c r="C708" i="3"/>
  <c r="A709" i="3"/>
  <c r="B709" i="3"/>
  <c r="C709" i="3"/>
  <c r="A710" i="3"/>
  <c r="B710" i="3"/>
  <c r="C710" i="3"/>
  <c r="A711" i="3"/>
  <c r="B711" i="3"/>
  <c r="C711" i="3"/>
  <c r="A712" i="3"/>
  <c r="B712" i="3"/>
  <c r="C712" i="3"/>
  <c r="A713" i="3"/>
  <c r="B713" i="3"/>
  <c r="C713" i="3"/>
  <c r="A714" i="3"/>
  <c r="B714" i="3"/>
  <c r="C714" i="3"/>
  <c r="A715" i="3"/>
  <c r="B715" i="3"/>
  <c r="C715" i="3"/>
  <c r="A716" i="3"/>
  <c r="B716" i="3"/>
  <c r="C716" i="3"/>
  <c r="A717" i="3"/>
  <c r="B717" i="3"/>
  <c r="C717" i="3"/>
  <c r="A718" i="3"/>
  <c r="B718" i="3"/>
  <c r="C718" i="3"/>
  <c r="A719" i="3"/>
  <c r="B719" i="3"/>
  <c r="C719" i="3"/>
  <c r="A720" i="3"/>
  <c r="B720" i="3"/>
  <c r="C720" i="3"/>
  <c r="A721" i="3"/>
  <c r="B721" i="3"/>
  <c r="C721" i="3"/>
  <c r="A722" i="3"/>
  <c r="B722" i="3"/>
  <c r="C722" i="3"/>
  <c r="A723" i="3"/>
  <c r="B723" i="3"/>
  <c r="C723" i="3"/>
  <c r="A724" i="3"/>
  <c r="B724" i="3"/>
  <c r="C724" i="3"/>
  <c r="A725" i="3"/>
  <c r="B725" i="3"/>
  <c r="C725" i="3"/>
  <c r="A726" i="3"/>
  <c r="B726" i="3"/>
  <c r="C726" i="3"/>
  <c r="A727" i="3"/>
  <c r="B727" i="3"/>
  <c r="C727" i="3"/>
  <c r="A728" i="3"/>
  <c r="B728" i="3"/>
  <c r="C728" i="3"/>
  <c r="A729" i="3"/>
  <c r="B729" i="3"/>
  <c r="C729" i="3"/>
  <c r="A730" i="3"/>
  <c r="B730" i="3"/>
  <c r="C730" i="3"/>
  <c r="A731" i="3"/>
  <c r="B731" i="3"/>
  <c r="C731" i="3"/>
  <c r="A732" i="3"/>
  <c r="B732" i="3"/>
  <c r="C732" i="3"/>
  <c r="A733" i="3"/>
  <c r="B733" i="3"/>
  <c r="C733" i="3"/>
  <c r="A734" i="3"/>
  <c r="B734" i="3"/>
  <c r="C734" i="3"/>
  <c r="A735" i="3"/>
  <c r="B735" i="3"/>
  <c r="C735" i="3"/>
  <c r="A736" i="3"/>
  <c r="B736" i="3"/>
  <c r="C736" i="3"/>
  <c r="A737" i="3"/>
  <c r="B737" i="3"/>
  <c r="C737" i="3"/>
  <c r="A738" i="3"/>
  <c r="B738" i="3"/>
  <c r="C738" i="3"/>
  <c r="A739" i="3"/>
  <c r="B739" i="3"/>
  <c r="C739" i="3"/>
  <c r="A740" i="3"/>
  <c r="B740" i="3"/>
  <c r="C740" i="3"/>
  <c r="A741" i="3"/>
  <c r="B741" i="3"/>
  <c r="C741" i="3"/>
  <c r="A742" i="3"/>
  <c r="B742" i="3"/>
  <c r="C742" i="3"/>
  <c r="A743" i="3"/>
  <c r="B743" i="3"/>
  <c r="C743" i="3"/>
  <c r="A744" i="3"/>
  <c r="B744" i="3"/>
  <c r="C744" i="3"/>
  <c r="A745" i="3"/>
  <c r="B745" i="3"/>
  <c r="C745" i="3"/>
  <c r="A746" i="3"/>
  <c r="B746" i="3"/>
  <c r="C746" i="3"/>
  <c r="A747" i="3"/>
  <c r="B747" i="3"/>
  <c r="C747" i="3"/>
  <c r="A748" i="3"/>
  <c r="B748" i="3"/>
  <c r="C748" i="3"/>
  <c r="A749" i="3"/>
  <c r="B749" i="3"/>
  <c r="C749" i="3"/>
  <c r="A750" i="3"/>
  <c r="B750" i="3"/>
  <c r="C750" i="3"/>
  <c r="A751" i="3"/>
  <c r="B751" i="3"/>
  <c r="C751" i="3"/>
  <c r="A752" i="3"/>
  <c r="B752" i="3"/>
  <c r="C752" i="3"/>
  <c r="A753" i="3"/>
  <c r="B753" i="3"/>
  <c r="C753" i="3"/>
  <c r="A754" i="3"/>
  <c r="B754" i="3"/>
  <c r="C754" i="3"/>
  <c r="A755" i="3"/>
  <c r="B755" i="3"/>
  <c r="C755" i="3"/>
  <c r="A756" i="3"/>
  <c r="B756" i="3"/>
  <c r="C756" i="3"/>
  <c r="A757" i="3"/>
  <c r="B757" i="3"/>
  <c r="C757" i="3"/>
  <c r="A758" i="3"/>
  <c r="B758" i="3"/>
  <c r="C758" i="3"/>
  <c r="A759" i="3"/>
  <c r="B759" i="3"/>
  <c r="C759" i="3"/>
  <c r="A760" i="3"/>
  <c r="B760" i="3"/>
  <c r="C760" i="3"/>
  <c r="A761" i="3"/>
  <c r="B761" i="3"/>
  <c r="C761" i="3"/>
  <c r="A762" i="3"/>
  <c r="B762" i="3"/>
  <c r="C762" i="3"/>
  <c r="A763" i="3"/>
  <c r="B763" i="3"/>
  <c r="C763" i="3"/>
  <c r="A764" i="3"/>
  <c r="B764" i="3"/>
  <c r="C764" i="3"/>
  <c r="A765" i="3"/>
  <c r="B765" i="3"/>
  <c r="C765" i="3"/>
  <c r="A766" i="3"/>
  <c r="B766" i="3"/>
  <c r="C766" i="3"/>
  <c r="A767" i="3"/>
  <c r="B767" i="3"/>
  <c r="C767" i="3"/>
  <c r="A768" i="3"/>
  <c r="B768" i="3"/>
  <c r="C768" i="3"/>
  <c r="A769" i="3"/>
  <c r="B769" i="3"/>
  <c r="C769" i="3"/>
  <c r="A770" i="3"/>
  <c r="B770" i="3"/>
  <c r="C770" i="3"/>
  <c r="A771" i="3"/>
  <c r="B771" i="3"/>
  <c r="C771" i="3"/>
  <c r="A772" i="3"/>
  <c r="B772" i="3"/>
  <c r="C772" i="3"/>
  <c r="A773" i="3"/>
  <c r="B773" i="3"/>
  <c r="C773" i="3"/>
  <c r="A774" i="3"/>
  <c r="B774" i="3"/>
  <c r="C774" i="3"/>
  <c r="A775" i="3"/>
  <c r="B775" i="3"/>
  <c r="C775" i="3"/>
  <c r="A776" i="3"/>
  <c r="B776" i="3"/>
  <c r="C776" i="3"/>
  <c r="A777" i="3"/>
  <c r="B777" i="3"/>
  <c r="C777" i="3"/>
  <c r="A778" i="3"/>
  <c r="B778" i="3"/>
  <c r="C778" i="3"/>
  <c r="A779" i="3"/>
  <c r="B779" i="3"/>
  <c r="C779" i="3"/>
  <c r="A780" i="3"/>
  <c r="B780" i="3"/>
  <c r="C780" i="3"/>
  <c r="A781" i="3"/>
  <c r="B781" i="3"/>
  <c r="C781" i="3"/>
  <c r="A782" i="3"/>
  <c r="B782" i="3"/>
  <c r="C782" i="3"/>
  <c r="A783" i="3"/>
  <c r="B783" i="3"/>
  <c r="C783" i="3"/>
  <c r="A784" i="3"/>
  <c r="B784" i="3"/>
  <c r="C784" i="3"/>
  <c r="A785" i="3"/>
  <c r="B785" i="3"/>
  <c r="C785" i="3"/>
  <c r="A786" i="3"/>
  <c r="B786" i="3"/>
  <c r="C786" i="3"/>
  <c r="A787" i="3"/>
  <c r="B787" i="3"/>
  <c r="C787" i="3"/>
  <c r="A788" i="3"/>
  <c r="B788" i="3"/>
  <c r="C788" i="3"/>
  <c r="A789" i="3"/>
  <c r="B789" i="3"/>
  <c r="C789" i="3"/>
  <c r="A790" i="3"/>
  <c r="B790" i="3"/>
  <c r="C790" i="3"/>
  <c r="A791" i="3"/>
  <c r="B791" i="3"/>
  <c r="C791" i="3"/>
  <c r="A792" i="3"/>
  <c r="B792" i="3"/>
  <c r="C792" i="3"/>
  <c r="A793" i="3"/>
  <c r="B793" i="3"/>
  <c r="C793" i="3"/>
  <c r="A794" i="3"/>
  <c r="B794" i="3"/>
  <c r="C794" i="3"/>
  <c r="A795" i="3"/>
  <c r="B795" i="3"/>
  <c r="C795" i="3"/>
  <c r="A796" i="3"/>
  <c r="B796" i="3"/>
  <c r="C796" i="3"/>
  <c r="A797" i="3"/>
  <c r="B797" i="3"/>
  <c r="C797" i="3"/>
  <c r="A798" i="3"/>
  <c r="B798" i="3"/>
  <c r="C798" i="3"/>
  <c r="A799" i="3"/>
  <c r="B799" i="3"/>
  <c r="C799" i="3"/>
  <c r="A800" i="3"/>
  <c r="B800" i="3"/>
  <c r="C800" i="3"/>
  <c r="A801" i="3"/>
  <c r="B801" i="3"/>
  <c r="C801" i="3"/>
  <c r="A802" i="3"/>
  <c r="B802" i="3"/>
  <c r="C802" i="3"/>
  <c r="A803" i="3"/>
  <c r="B803" i="3"/>
  <c r="C803" i="3"/>
  <c r="A804" i="3"/>
  <c r="B804" i="3"/>
  <c r="C804" i="3"/>
  <c r="A805" i="3"/>
  <c r="B805" i="3"/>
  <c r="C805" i="3"/>
  <c r="A806" i="3"/>
  <c r="B806" i="3"/>
  <c r="C806" i="3"/>
  <c r="A807" i="3"/>
  <c r="B807" i="3"/>
  <c r="C807" i="3"/>
  <c r="A808" i="3"/>
  <c r="B808" i="3"/>
  <c r="C808" i="3"/>
  <c r="A809" i="3"/>
  <c r="B809" i="3"/>
  <c r="C809" i="3"/>
  <c r="A810" i="3"/>
  <c r="B810" i="3"/>
  <c r="C810" i="3"/>
  <c r="A811" i="3"/>
  <c r="B811" i="3"/>
  <c r="C811" i="3"/>
  <c r="A812" i="3"/>
  <c r="B812" i="3"/>
  <c r="C812" i="3"/>
  <c r="A813" i="3"/>
  <c r="B813" i="3"/>
  <c r="C813" i="3"/>
  <c r="A814" i="3"/>
  <c r="B814" i="3"/>
  <c r="C814" i="3"/>
  <c r="A815" i="3"/>
  <c r="B815" i="3"/>
  <c r="C815" i="3"/>
  <c r="A816" i="3"/>
  <c r="B816" i="3"/>
  <c r="C816" i="3"/>
  <c r="A817" i="3"/>
  <c r="B817" i="3"/>
  <c r="C817" i="3"/>
  <c r="A818" i="3"/>
  <c r="B818" i="3"/>
  <c r="C818" i="3"/>
  <c r="A819" i="3"/>
  <c r="B819" i="3"/>
  <c r="C819" i="3"/>
  <c r="A820" i="3"/>
  <c r="B820" i="3"/>
  <c r="C820" i="3"/>
  <c r="A821" i="3"/>
  <c r="B821" i="3"/>
  <c r="C821" i="3"/>
  <c r="A822" i="3"/>
  <c r="B822" i="3"/>
  <c r="C822" i="3"/>
  <c r="A823" i="3"/>
  <c r="B823" i="3"/>
  <c r="C823" i="3"/>
  <c r="A824" i="3"/>
  <c r="B824" i="3"/>
  <c r="C824" i="3"/>
  <c r="A825" i="3"/>
  <c r="B825" i="3"/>
  <c r="C825" i="3"/>
  <c r="A826" i="3"/>
  <c r="B826" i="3"/>
  <c r="C826" i="3"/>
  <c r="A827" i="3"/>
  <c r="B827" i="3"/>
  <c r="C827" i="3"/>
  <c r="A828" i="3"/>
  <c r="B828" i="3"/>
  <c r="C828" i="3"/>
  <c r="A829" i="3"/>
  <c r="B829" i="3"/>
  <c r="C829" i="3"/>
  <c r="A830" i="3"/>
  <c r="B830" i="3"/>
  <c r="C830" i="3"/>
  <c r="A831" i="3"/>
  <c r="B831" i="3"/>
  <c r="C831" i="3"/>
  <c r="A832" i="3"/>
  <c r="B832" i="3"/>
  <c r="C832" i="3"/>
  <c r="A833" i="3"/>
  <c r="B833" i="3"/>
  <c r="C833" i="3"/>
  <c r="A834" i="3"/>
  <c r="B834" i="3"/>
  <c r="C834" i="3"/>
  <c r="A835" i="3"/>
  <c r="B835" i="3"/>
  <c r="C835" i="3"/>
  <c r="A836" i="3"/>
  <c r="B836" i="3"/>
  <c r="C836" i="3"/>
  <c r="A837" i="3"/>
  <c r="B837" i="3"/>
  <c r="C837" i="3"/>
  <c r="A838" i="3"/>
  <c r="B838" i="3"/>
  <c r="C838" i="3"/>
  <c r="A839" i="3"/>
  <c r="B839" i="3"/>
  <c r="C839" i="3"/>
  <c r="A840" i="3"/>
  <c r="B840" i="3"/>
  <c r="C840" i="3"/>
  <c r="A841" i="3"/>
  <c r="B841" i="3"/>
  <c r="C841" i="3"/>
  <c r="A842" i="3"/>
  <c r="B842" i="3"/>
  <c r="C842" i="3"/>
  <c r="A843" i="3"/>
  <c r="B843" i="3"/>
  <c r="C843" i="3"/>
  <c r="A844" i="3"/>
  <c r="B844" i="3"/>
  <c r="C844" i="3"/>
  <c r="A845" i="3"/>
  <c r="B845" i="3"/>
  <c r="C845" i="3"/>
  <c r="A846" i="3"/>
  <c r="B846" i="3"/>
  <c r="C846" i="3"/>
  <c r="A847" i="3"/>
  <c r="B847" i="3"/>
  <c r="C847" i="3"/>
  <c r="A848" i="3"/>
  <c r="B848" i="3"/>
  <c r="C848" i="3"/>
  <c r="A849" i="3"/>
  <c r="B849" i="3"/>
  <c r="C849" i="3"/>
  <c r="A850" i="3"/>
  <c r="B850" i="3"/>
  <c r="C850" i="3"/>
  <c r="A851" i="3"/>
  <c r="B851" i="3"/>
  <c r="C851" i="3"/>
  <c r="A852" i="3"/>
  <c r="B852" i="3"/>
  <c r="C852" i="3"/>
  <c r="A853" i="3"/>
  <c r="B853" i="3"/>
  <c r="C853" i="3"/>
  <c r="A854" i="3"/>
  <c r="B854" i="3"/>
  <c r="C854" i="3"/>
  <c r="A855" i="3"/>
  <c r="B855" i="3"/>
  <c r="C855" i="3"/>
  <c r="A856" i="3"/>
  <c r="B856" i="3"/>
  <c r="C856" i="3"/>
  <c r="A857" i="3"/>
  <c r="B857" i="3"/>
  <c r="C857" i="3"/>
  <c r="A858" i="3"/>
  <c r="B858" i="3"/>
  <c r="C858" i="3"/>
  <c r="A859" i="3"/>
  <c r="B859" i="3"/>
  <c r="C859" i="3"/>
  <c r="A860" i="3"/>
  <c r="B860" i="3"/>
  <c r="C860" i="3"/>
  <c r="A861" i="3"/>
  <c r="B861" i="3"/>
  <c r="C861" i="3"/>
  <c r="A862" i="3"/>
  <c r="B862" i="3"/>
  <c r="C862" i="3"/>
  <c r="A863" i="3"/>
  <c r="B863" i="3"/>
  <c r="C863" i="3"/>
  <c r="A864" i="3"/>
  <c r="B864" i="3"/>
  <c r="C864" i="3"/>
  <c r="A865" i="3"/>
  <c r="B865" i="3"/>
  <c r="C865" i="3"/>
  <c r="A866" i="3"/>
  <c r="B866" i="3"/>
  <c r="C866" i="3"/>
  <c r="A867" i="3"/>
  <c r="B867" i="3"/>
  <c r="C867" i="3"/>
  <c r="A868" i="3"/>
  <c r="B868" i="3"/>
  <c r="C868" i="3"/>
  <c r="A869" i="3"/>
  <c r="B869" i="3"/>
  <c r="C869" i="3"/>
  <c r="A870" i="3"/>
  <c r="B870" i="3"/>
  <c r="C870" i="3"/>
  <c r="A871" i="3"/>
  <c r="B871" i="3"/>
  <c r="C871" i="3"/>
  <c r="A872" i="3"/>
  <c r="B872" i="3"/>
  <c r="C872" i="3"/>
  <c r="A873" i="3"/>
  <c r="B873" i="3"/>
  <c r="C873" i="3"/>
  <c r="A874" i="3"/>
  <c r="B874" i="3"/>
  <c r="C874" i="3"/>
  <c r="A875" i="3"/>
  <c r="B875" i="3"/>
  <c r="C875" i="3"/>
  <c r="A876" i="3"/>
  <c r="B876" i="3"/>
  <c r="C876" i="3"/>
  <c r="A877" i="3"/>
  <c r="B877" i="3"/>
  <c r="C877" i="3"/>
  <c r="A878" i="3"/>
  <c r="B878" i="3"/>
  <c r="C878" i="3"/>
  <c r="A879" i="3"/>
  <c r="B879" i="3"/>
  <c r="C879" i="3"/>
  <c r="A880" i="3"/>
  <c r="B880" i="3"/>
  <c r="C880" i="3"/>
  <c r="A881" i="3"/>
  <c r="B881" i="3"/>
  <c r="C881" i="3"/>
  <c r="A882" i="3"/>
  <c r="B882" i="3"/>
  <c r="C882" i="3"/>
  <c r="A883" i="3"/>
  <c r="B883" i="3"/>
  <c r="C883" i="3"/>
  <c r="A884" i="3"/>
  <c r="B884" i="3"/>
  <c r="C884" i="3"/>
  <c r="A885" i="3"/>
  <c r="B885" i="3"/>
  <c r="C885" i="3"/>
  <c r="A886" i="3"/>
  <c r="B886" i="3"/>
  <c r="C886" i="3"/>
  <c r="A887" i="3"/>
  <c r="B887" i="3"/>
  <c r="C887" i="3"/>
  <c r="A888" i="3"/>
  <c r="B888" i="3"/>
  <c r="C888" i="3"/>
  <c r="A889" i="3"/>
  <c r="B889" i="3"/>
  <c r="C889" i="3"/>
  <c r="A890" i="3"/>
  <c r="B890" i="3"/>
  <c r="C890" i="3"/>
  <c r="A891" i="3"/>
  <c r="B891" i="3"/>
  <c r="C891" i="3"/>
  <c r="A892" i="3"/>
  <c r="B892" i="3"/>
  <c r="C892" i="3"/>
  <c r="A893" i="3"/>
  <c r="B893" i="3"/>
  <c r="C893" i="3"/>
  <c r="A894" i="3"/>
  <c r="B894" i="3"/>
  <c r="C894" i="3"/>
  <c r="A895" i="3"/>
  <c r="B895" i="3"/>
  <c r="C895" i="3"/>
  <c r="A896" i="3"/>
  <c r="B896" i="3"/>
  <c r="C896" i="3"/>
  <c r="A897" i="3"/>
  <c r="B897" i="3"/>
  <c r="C897" i="3"/>
  <c r="A898" i="3"/>
  <c r="B898" i="3"/>
  <c r="C898" i="3"/>
  <c r="A899" i="3"/>
  <c r="B899" i="3"/>
  <c r="C899" i="3"/>
  <c r="A900" i="3"/>
  <c r="B900" i="3"/>
  <c r="C900" i="3"/>
  <c r="A901" i="3"/>
  <c r="B901" i="3"/>
  <c r="C901" i="3"/>
  <c r="A902" i="3"/>
  <c r="B902" i="3"/>
  <c r="C902" i="3"/>
  <c r="A903" i="3"/>
  <c r="B903" i="3"/>
  <c r="C903" i="3"/>
  <c r="A904" i="3"/>
  <c r="B904" i="3"/>
  <c r="C904" i="3"/>
  <c r="A905" i="3"/>
  <c r="B905" i="3"/>
  <c r="C905" i="3"/>
  <c r="A906" i="3"/>
  <c r="B906" i="3"/>
  <c r="C906" i="3"/>
  <c r="A907" i="3"/>
  <c r="B907" i="3"/>
  <c r="C907" i="3"/>
  <c r="A908" i="3"/>
  <c r="B908" i="3"/>
  <c r="C908" i="3"/>
  <c r="A909" i="3"/>
  <c r="B909" i="3"/>
  <c r="C909" i="3"/>
  <c r="A910" i="3"/>
  <c r="B910" i="3"/>
  <c r="C910" i="3"/>
  <c r="A911" i="3"/>
  <c r="B911" i="3"/>
  <c r="C911" i="3"/>
  <c r="A912" i="3"/>
  <c r="B912" i="3"/>
  <c r="C912" i="3"/>
  <c r="A913" i="3"/>
  <c r="B913" i="3"/>
  <c r="C913" i="3"/>
  <c r="A914" i="3"/>
  <c r="B914" i="3"/>
  <c r="C914" i="3"/>
  <c r="A915" i="3"/>
  <c r="B915" i="3"/>
  <c r="C915" i="3"/>
  <c r="A916" i="3"/>
  <c r="B916" i="3"/>
  <c r="C916" i="3"/>
  <c r="A917" i="3"/>
  <c r="B917" i="3"/>
  <c r="C917" i="3"/>
  <c r="A918" i="3"/>
  <c r="B918" i="3"/>
  <c r="C918" i="3"/>
  <c r="A919" i="3"/>
  <c r="B919" i="3"/>
  <c r="C919" i="3"/>
  <c r="A920" i="3"/>
  <c r="B920" i="3"/>
  <c r="C920" i="3"/>
  <c r="A921" i="3"/>
  <c r="B921" i="3"/>
  <c r="C921" i="3"/>
  <c r="A922" i="3"/>
  <c r="B922" i="3"/>
  <c r="C922" i="3"/>
  <c r="A923" i="3"/>
  <c r="B923" i="3"/>
  <c r="C923" i="3"/>
  <c r="A924" i="3"/>
  <c r="B924" i="3"/>
  <c r="C924" i="3"/>
  <c r="A925" i="3"/>
  <c r="B925" i="3"/>
  <c r="C925" i="3"/>
  <c r="A926" i="3"/>
  <c r="B926" i="3"/>
  <c r="C926" i="3"/>
  <c r="A927" i="3"/>
  <c r="B927" i="3"/>
  <c r="C927" i="3"/>
  <c r="A928" i="3"/>
  <c r="B928" i="3"/>
  <c r="C928" i="3"/>
  <c r="A929" i="3"/>
  <c r="B929" i="3"/>
  <c r="C929" i="3"/>
  <c r="A930" i="3"/>
  <c r="B930" i="3"/>
  <c r="C930" i="3"/>
  <c r="A931" i="3"/>
  <c r="B931" i="3"/>
  <c r="C931" i="3"/>
  <c r="A932" i="3"/>
  <c r="B932" i="3"/>
  <c r="C932" i="3"/>
  <c r="A933" i="3"/>
  <c r="B933" i="3"/>
  <c r="C933" i="3"/>
  <c r="A934" i="3"/>
  <c r="B934" i="3"/>
  <c r="C934" i="3"/>
  <c r="A935" i="3"/>
  <c r="B935" i="3"/>
  <c r="C935" i="3"/>
  <c r="A936" i="3"/>
  <c r="B936" i="3"/>
  <c r="C936" i="3"/>
  <c r="A937" i="3"/>
  <c r="B937" i="3"/>
  <c r="C937" i="3"/>
  <c r="A938" i="3"/>
  <c r="B938" i="3"/>
  <c r="C938" i="3"/>
  <c r="A939" i="3"/>
  <c r="B939" i="3"/>
  <c r="C939" i="3"/>
  <c r="A940" i="3"/>
  <c r="B940" i="3"/>
  <c r="C940" i="3"/>
  <c r="A941" i="3"/>
  <c r="B941" i="3"/>
  <c r="C941" i="3"/>
  <c r="A942" i="3"/>
  <c r="B942" i="3"/>
  <c r="C942" i="3"/>
  <c r="A943" i="3"/>
  <c r="B943" i="3"/>
  <c r="C943" i="3"/>
  <c r="A944" i="3"/>
  <c r="B944" i="3"/>
  <c r="C944" i="3"/>
  <c r="A945" i="3"/>
  <c r="B945" i="3"/>
  <c r="C945" i="3"/>
  <c r="A946" i="3"/>
  <c r="B946" i="3"/>
  <c r="C946" i="3"/>
  <c r="A947" i="3"/>
  <c r="B947" i="3"/>
  <c r="C947" i="3"/>
  <c r="A948" i="3"/>
  <c r="B948" i="3"/>
  <c r="C948" i="3"/>
  <c r="A949" i="3"/>
  <c r="B949" i="3"/>
  <c r="C949" i="3"/>
  <c r="A950" i="3"/>
  <c r="B950" i="3"/>
  <c r="C950" i="3"/>
  <c r="A951" i="3"/>
  <c r="B951" i="3"/>
  <c r="C951" i="3"/>
  <c r="A952" i="3"/>
  <c r="B952" i="3"/>
  <c r="C952" i="3"/>
  <c r="A953" i="3"/>
  <c r="B953" i="3"/>
  <c r="C953" i="3"/>
  <c r="A954" i="3"/>
  <c r="B954" i="3"/>
  <c r="C954" i="3"/>
  <c r="A955" i="3"/>
  <c r="B955" i="3"/>
  <c r="C955" i="3"/>
  <c r="A956" i="3"/>
  <c r="B956" i="3"/>
  <c r="C956" i="3"/>
  <c r="A957" i="3"/>
  <c r="B957" i="3"/>
  <c r="C957" i="3"/>
  <c r="A958" i="3"/>
  <c r="B958" i="3"/>
  <c r="C958" i="3"/>
  <c r="A959" i="3"/>
  <c r="B959" i="3"/>
  <c r="C959" i="3"/>
  <c r="A960" i="3"/>
  <c r="B960" i="3"/>
  <c r="C960" i="3"/>
  <c r="A961" i="3"/>
  <c r="B961" i="3"/>
  <c r="C961" i="3"/>
  <c r="A962" i="3"/>
  <c r="B962" i="3"/>
  <c r="C962" i="3"/>
  <c r="A963" i="3"/>
  <c r="B963" i="3"/>
  <c r="C963" i="3"/>
  <c r="A964" i="3"/>
  <c r="B964" i="3"/>
  <c r="C964" i="3"/>
  <c r="A965" i="3"/>
  <c r="B965" i="3"/>
  <c r="C965" i="3"/>
  <c r="A966" i="3"/>
  <c r="B966" i="3"/>
  <c r="C966" i="3"/>
  <c r="A967" i="3"/>
  <c r="B967" i="3"/>
  <c r="C967" i="3"/>
  <c r="A968" i="3"/>
  <c r="B968" i="3"/>
  <c r="C968" i="3"/>
  <c r="A969" i="3"/>
  <c r="B969" i="3"/>
  <c r="C969" i="3"/>
  <c r="A970" i="3"/>
  <c r="B970" i="3"/>
  <c r="C970" i="3"/>
  <c r="A971" i="3"/>
  <c r="B971" i="3"/>
  <c r="C971" i="3"/>
  <c r="A972" i="3"/>
  <c r="B972" i="3"/>
  <c r="C972" i="3"/>
  <c r="A973" i="3"/>
  <c r="B973" i="3"/>
  <c r="C973" i="3"/>
  <c r="A974" i="3"/>
  <c r="B974" i="3"/>
  <c r="C974" i="3"/>
  <c r="A975" i="3"/>
  <c r="B975" i="3"/>
  <c r="C975" i="3"/>
  <c r="A976" i="3"/>
  <c r="B976" i="3"/>
  <c r="C976" i="3"/>
  <c r="A977" i="3"/>
  <c r="B977" i="3"/>
  <c r="C977" i="3"/>
  <c r="A978" i="3"/>
  <c r="B978" i="3"/>
  <c r="C978" i="3"/>
  <c r="A979" i="3"/>
  <c r="B979" i="3"/>
  <c r="C979" i="3"/>
  <c r="A980" i="3"/>
  <c r="B980" i="3"/>
  <c r="C980" i="3"/>
  <c r="A981" i="3"/>
  <c r="B981" i="3"/>
  <c r="C981" i="3"/>
  <c r="A982" i="3"/>
  <c r="B982" i="3"/>
  <c r="C982" i="3"/>
  <c r="A983" i="3"/>
  <c r="B983" i="3"/>
  <c r="C983" i="3"/>
  <c r="A984" i="3"/>
  <c r="B984" i="3"/>
  <c r="C984" i="3"/>
  <c r="A985" i="3"/>
  <c r="B985" i="3"/>
  <c r="C985" i="3"/>
  <c r="A986" i="3"/>
  <c r="B986" i="3"/>
  <c r="C986" i="3"/>
  <c r="A987" i="3"/>
  <c r="B987" i="3"/>
  <c r="C987" i="3"/>
  <c r="A988" i="3"/>
  <c r="B988" i="3"/>
  <c r="C988" i="3"/>
  <c r="A989" i="3"/>
  <c r="B989" i="3"/>
  <c r="C989" i="3"/>
  <c r="A990" i="3"/>
  <c r="B990" i="3"/>
  <c r="C990" i="3"/>
  <c r="A991" i="3"/>
  <c r="B991" i="3"/>
  <c r="C991" i="3"/>
  <c r="A992" i="3"/>
  <c r="B992" i="3"/>
  <c r="C992" i="3"/>
  <c r="A993" i="3"/>
  <c r="B993" i="3"/>
  <c r="C993" i="3"/>
  <c r="A994" i="3"/>
  <c r="B994" i="3"/>
  <c r="C994" i="3"/>
  <c r="A995" i="3"/>
  <c r="B995" i="3"/>
  <c r="C995" i="3"/>
  <c r="A996" i="3"/>
  <c r="B996" i="3"/>
  <c r="C996" i="3"/>
  <c r="A997" i="3"/>
  <c r="B997" i="3"/>
  <c r="C997" i="3"/>
  <c r="A998" i="3"/>
  <c r="B998" i="3"/>
  <c r="C998" i="3"/>
  <c r="A999" i="3"/>
  <c r="B999" i="3"/>
  <c r="C999" i="3"/>
  <c r="A1000" i="3"/>
  <c r="B1000" i="3"/>
  <c r="C1000" i="3"/>
  <c r="A1001" i="3"/>
  <c r="B1001" i="3"/>
  <c r="C1001" i="3"/>
  <c r="A1002" i="3"/>
  <c r="B1002" i="3"/>
  <c r="C1002" i="3"/>
  <c r="A1003" i="3"/>
  <c r="B1003" i="3"/>
  <c r="C1003" i="3"/>
  <c r="A1004" i="3"/>
  <c r="B1004" i="3"/>
  <c r="C1004" i="3"/>
  <c r="A1005" i="3"/>
  <c r="B1005" i="3"/>
  <c r="C1005" i="3"/>
  <c r="A1006" i="3"/>
  <c r="B1006" i="3"/>
  <c r="C1006" i="3"/>
  <c r="A1007" i="3"/>
  <c r="B1007" i="3"/>
  <c r="C1007" i="3"/>
  <c r="A1008" i="3"/>
  <c r="B1008" i="3"/>
  <c r="C1008" i="3"/>
  <c r="A1009" i="3"/>
  <c r="B1009" i="3"/>
  <c r="C1009" i="3"/>
  <c r="A1010" i="3"/>
  <c r="B1010" i="3"/>
  <c r="C1010" i="3"/>
  <c r="A1011" i="3"/>
  <c r="B1011" i="3"/>
  <c r="C1011" i="3"/>
  <c r="A1012" i="3"/>
  <c r="B1012" i="3"/>
  <c r="C1012" i="3"/>
  <c r="A1013" i="3"/>
  <c r="B1013" i="3"/>
  <c r="C1013" i="3"/>
  <c r="A1014" i="3"/>
  <c r="B1014" i="3"/>
  <c r="C1014" i="3"/>
  <c r="A1015" i="3"/>
  <c r="B1015" i="3"/>
  <c r="C1015" i="3"/>
  <c r="A1016" i="3"/>
  <c r="B1016" i="3"/>
  <c r="C1016" i="3"/>
  <c r="A1017" i="3"/>
  <c r="B1017" i="3"/>
  <c r="C1017" i="3"/>
  <c r="A1018" i="3"/>
  <c r="B1018" i="3"/>
  <c r="C1018" i="3"/>
  <c r="A1019" i="3"/>
  <c r="B1019" i="3"/>
  <c r="C1019" i="3"/>
  <c r="A1020" i="3"/>
  <c r="B1020" i="3"/>
  <c r="C1020" i="3"/>
  <c r="A1021" i="3"/>
  <c r="B1021" i="3"/>
  <c r="C1021" i="3"/>
  <c r="A1022" i="3"/>
  <c r="B1022" i="3"/>
  <c r="C1022" i="3"/>
  <c r="A1023" i="3"/>
  <c r="B1023" i="3"/>
  <c r="C1023" i="3"/>
  <c r="A1024" i="3"/>
  <c r="B1024" i="3"/>
  <c r="C1024" i="3"/>
  <c r="A1025" i="3"/>
  <c r="B1025" i="3"/>
  <c r="C1025" i="3"/>
  <c r="A1026" i="3"/>
  <c r="B1026" i="3"/>
  <c r="C1026" i="3"/>
  <c r="A1027" i="3"/>
  <c r="B1027" i="3"/>
  <c r="C1027" i="3"/>
  <c r="A1028" i="3"/>
  <c r="B1028" i="3"/>
  <c r="C1028" i="3"/>
  <c r="A1029" i="3"/>
  <c r="B1029" i="3"/>
  <c r="C1029" i="3"/>
  <c r="A1030" i="3"/>
  <c r="B1030" i="3"/>
  <c r="C1030" i="3"/>
  <c r="A1031" i="3"/>
  <c r="B1031" i="3"/>
  <c r="C1031" i="3"/>
  <c r="A1032" i="3"/>
  <c r="B1032" i="3"/>
  <c r="C1032" i="3"/>
  <c r="A1033" i="3"/>
  <c r="B1033" i="3"/>
  <c r="C1033" i="3"/>
  <c r="A1034" i="3"/>
  <c r="B1034" i="3"/>
  <c r="C1034" i="3"/>
  <c r="A1035" i="3"/>
  <c r="B1035" i="3"/>
  <c r="C1035" i="3"/>
  <c r="A1036" i="3"/>
  <c r="B1036" i="3"/>
  <c r="C1036" i="3"/>
  <c r="A1037" i="3"/>
  <c r="B1037" i="3"/>
  <c r="C1037" i="3"/>
  <c r="A1038" i="3"/>
  <c r="B1038" i="3"/>
  <c r="C1038" i="3"/>
  <c r="A1039" i="3"/>
  <c r="B1039" i="3"/>
  <c r="C1039" i="3"/>
  <c r="A1040" i="3"/>
  <c r="B1040" i="3"/>
  <c r="C1040" i="3"/>
  <c r="A1041" i="3"/>
  <c r="B1041" i="3"/>
  <c r="C1041" i="3"/>
  <c r="A1042" i="3"/>
  <c r="B1042" i="3"/>
  <c r="C1042" i="3"/>
  <c r="A1043" i="3"/>
  <c r="B1043" i="3"/>
  <c r="C1043" i="3"/>
  <c r="A1044" i="3"/>
  <c r="B1044" i="3"/>
  <c r="C1044" i="3"/>
  <c r="A1045" i="3"/>
  <c r="B1045" i="3"/>
  <c r="C1045" i="3"/>
  <c r="A1046" i="3"/>
  <c r="B1046" i="3"/>
  <c r="C1046" i="3"/>
  <c r="A1047" i="3"/>
  <c r="B1047" i="3"/>
  <c r="C1047" i="3"/>
  <c r="A1048" i="3"/>
  <c r="B1048" i="3"/>
  <c r="C1048" i="3"/>
  <c r="A1049" i="3"/>
  <c r="B1049" i="3"/>
  <c r="C1049" i="3"/>
  <c r="A1050" i="3"/>
  <c r="B1050" i="3"/>
  <c r="C1050" i="3"/>
  <c r="A1051" i="3"/>
  <c r="B1051" i="3"/>
  <c r="C1051" i="3"/>
  <c r="A1052" i="3"/>
  <c r="B1052" i="3"/>
  <c r="C1052" i="3"/>
  <c r="A1053" i="3"/>
  <c r="B1053" i="3"/>
  <c r="C1053" i="3"/>
  <c r="A1054" i="3"/>
  <c r="B1054" i="3"/>
  <c r="C1054" i="3"/>
  <c r="A1055" i="3"/>
  <c r="B1055" i="3"/>
  <c r="C1055" i="3"/>
  <c r="A1056" i="3"/>
  <c r="B1056" i="3"/>
  <c r="C1056" i="3"/>
  <c r="A1057" i="3"/>
  <c r="B1057" i="3"/>
  <c r="C1057" i="3"/>
  <c r="A1058" i="3"/>
  <c r="B1058" i="3"/>
  <c r="C1058" i="3"/>
  <c r="A1059" i="3"/>
  <c r="B1059" i="3"/>
  <c r="C1059" i="3"/>
  <c r="A1060" i="3"/>
  <c r="B1060" i="3"/>
  <c r="C1060" i="3"/>
  <c r="A1061" i="3"/>
  <c r="B1061" i="3"/>
  <c r="C1061" i="3"/>
  <c r="A1062" i="3"/>
  <c r="B1062" i="3"/>
  <c r="C1062" i="3"/>
  <c r="A1063" i="3"/>
  <c r="B1063" i="3"/>
  <c r="C1063" i="3"/>
  <c r="A1064" i="3"/>
  <c r="B1064" i="3"/>
  <c r="C1064" i="3"/>
  <c r="A1065" i="3"/>
  <c r="B1065" i="3"/>
  <c r="C1065" i="3"/>
  <c r="A1066" i="3"/>
  <c r="B1066" i="3"/>
  <c r="C1066" i="3"/>
  <c r="A1067" i="3"/>
  <c r="B1067" i="3"/>
  <c r="C1067" i="3"/>
  <c r="A1068" i="3"/>
  <c r="B1068" i="3"/>
  <c r="C1068" i="3"/>
  <c r="A1069" i="3"/>
  <c r="B1069" i="3"/>
  <c r="C1069" i="3"/>
  <c r="A1070" i="3"/>
  <c r="B1070" i="3"/>
  <c r="C1070" i="3"/>
  <c r="A1071" i="3"/>
  <c r="B1071" i="3"/>
  <c r="C1071" i="3"/>
  <c r="A1072" i="3"/>
  <c r="B1072" i="3"/>
  <c r="C1072" i="3"/>
  <c r="A1073" i="3"/>
  <c r="B1073" i="3"/>
  <c r="C1073" i="3"/>
  <c r="A1074" i="3"/>
  <c r="B1074" i="3"/>
  <c r="C1074" i="3"/>
  <c r="A1075" i="3"/>
  <c r="B1075" i="3"/>
  <c r="C1075" i="3"/>
  <c r="A1076" i="3"/>
  <c r="B1076" i="3"/>
  <c r="C1076" i="3"/>
  <c r="A1077" i="3"/>
  <c r="B1077" i="3"/>
  <c r="C1077" i="3"/>
  <c r="A1078" i="3"/>
  <c r="B1078" i="3"/>
  <c r="C1078" i="3"/>
  <c r="A1079" i="3"/>
  <c r="B1079" i="3"/>
  <c r="C1079" i="3"/>
  <c r="A1080" i="3"/>
  <c r="B1080" i="3"/>
  <c r="C1080" i="3"/>
  <c r="A1081" i="3"/>
  <c r="B1081" i="3"/>
  <c r="C1081" i="3"/>
  <c r="A1082" i="3"/>
  <c r="B1082" i="3"/>
  <c r="C1082" i="3"/>
  <c r="A1083" i="3"/>
  <c r="B1083" i="3"/>
  <c r="C1083" i="3"/>
  <c r="A1084" i="3"/>
  <c r="B1084" i="3"/>
  <c r="C1084" i="3"/>
  <c r="A1085" i="3"/>
  <c r="B1085" i="3"/>
  <c r="C1085" i="3"/>
  <c r="A1086" i="3"/>
  <c r="B1086" i="3"/>
  <c r="C1086" i="3"/>
  <c r="A1087" i="3"/>
  <c r="B1087" i="3"/>
  <c r="C1087" i="3"/>
  <c r="A1088" i="3"/>
  <c r="B1088" i="3"/>
  <c r="C1088" i="3"/>
  <c r="A1089" i="3"/>
  <c r="B1089" i="3"/>
  <c r="C1089" i="3"/>
  <c r="A1090" i="3"/>
  <c r="B1090" i="3"/>
  <c r="C1090" i="3"/>
  <c r="A1091" i="3"/>
  <c r="B1091" i="3"/>
  <c r="C1091" i="3"/>
  <c r="A1092" i="3"/>
  <c r="B1092" i="3"/>
  <c r="C1092" i="3"/>
  <c r="A1093" i="3"/>
  <c r="B1093" i="3"/>
  <c r="C1093" i="3"/>
  <c r="A1094" i="3"/>
  <c r="B1094" i="3"/>
  <c r="C1094" i="3"/>
  <c r="A1095" i="3"/>
  <c r="B1095" i="3"/>
  <c r="C1095" i="3"/>
  <c r="A1096" i="3"/>
  <c r="B1096" i="3"/>
  <c r="C1096" i="3"/>
  <c r="A1097" i="3"/>
  <c r="B1097" i="3"/>
  <c r="C1097" i="3"/>
  <c r="A1098" i="3"/>
  <c r="B1098" i="3"/>
  <c r="C1098" i="3"/>
  <c r="A1099" i="3"/>
  <c r="B1099" i="3"/>
  <c r="C1099" i="3"/>
  <c r="A1100" i="3"/>
  <c r="B1100" i="3"/>
  <c r="C1100" i="3"/>
  <c r="A1101" i="3"/>
  <c r="B1101" i="3"/>
  <c r="C1101" i="3"/>
  <c r="A1102" i="3"/>
  <c r="B1102" i="3"/>
  <c r="C1102" i="3"/>
  <c r="A1103" i="3"/>
  <c r="B1103" i="3"/>
  <c r="C1103" i="3"/>
  <c r="A1104" i="3"/>
  <c r="B1104" i="3"/>
  <c r="C1104" i="3"/>
  <c r="A1105" i="3"/>
  <c r="B1105" i="3"/>
  <c r="C1105" i="3"/>
  <c r="A1106" i="3"/>
  <c r="B1106" i="3"/>
  <c r="C1106" i="3"/>
  <c r="A1107" i="3"/>
  <c r="B1107" i="3"/>
  <c r="C1107" i="3"/>
  <c r="A1108" i="3"/>
  <c r="B1108" i="3"/>
  <c r="C1108" i="3"/>
  <c r="A1109" i="3"/>
  <c r="B1109" i="3"/>
  <c r="C1109" i="3"/>
  <c r="A1110" i="3"/>
  <c r="B1110" i="3"/>
  <c r="C1110" i="3"/>
  <c r="A1111" i="3"/>
  <c r="B1111" i="3"/>
  <c r="C1111" i="3"/>
  <c r="A1112" i="3"/>
  <c r="B1112" i="3"/>
  <c r="C1112" i="3"/>
  <c r="A1113" i="3"/>
  <c r="B1113" i="3"/>
  <c r="C1113" i="3"/>
  <c r="A1114" i="3"/>
  <c r="B1114" i="3"/>
  <c r="C1114" i="3"/>
  <c r="A1115" i="3"/>
  <c r="B1115" i="3"/>
  <c r="C1115" i="3"/>
  <c r="A1116" i="3"/>
  <c r="B1116" i="3"/>
  <c r="C1116" i="3"/>
  <c r="A1117" i="3"/>
  <c r="B1117" i="3"/>
  <c r="C1117" i="3"/>
  <c r="A1118" i="3"/>
  <c r="B1118" i="3"/>
  <c r="C1118" i="3"/>
  <c r="A1119" i="3"/>
  <c r="B1119" i="3"/>
  <c r="C1119" i="3"/>
  <c r="A1120" i="3"/>
  <c r="B1120" i="3"/>
  <c r="C1120" i="3"/>
  <c r="A1121" i="3"/>
  <c r="B1121" i="3"/>
  <c r="C1121" i="3"/>
  <c r="A1122" i="3"/>
  <c r="B1122" i="3"/>
  <c r="C1122" i="3"/>
  <c r="A1123" i="3"/>
  <c r="B1123" i="3"/>
  <c r="C1123" i="3"/>
  <c r="A1124" i="3"/>
  <c r="B1124" i="3"/>
  <c r="C1124" i="3"/>
  <c r="A1125" i="3"/>
  <c r="B1125" i="3"/>
  <c r="C1125" i="3"/>
  <c r="A1126" i="3"/>
  <c r="B1126" i="3"/>
  <c r="C1126" i="3"/>
  <c r="A1127" i="3"/>
  <c r="B1127" i="3"/>
  <c r="C1127" i="3"/>
  <c r="A1128" i="3"/>
  <c r="B1128" i="3"/>
  <c r="C1128" i="3"/>
  <c r="A1129" i="3"/>
  <c r="B1129" i="3"/>
  <c r="C1129" i="3"/>
  <c r="A1130" i="3"/>
  <c r="B1130" i="3"/>
  <c r="C1130" i="3"/>
  <c r="A1131" i="3"/>
  <c r="B1131" i="3"/>
  <c r="C1131" i="3"/>
  <c r="A1132" i="3"/>
  <c r="B1132" i="3"/>
  <c r="C1132" i="3"/>
  <c r="A1133" i="3"/>
  <c r="B1133" i="3"/>
  <c r="C1133" i="3"/>
  <c r="A1134" i="3"/>
  <c r="B1134" i="3"/>
  <c r="C1134" i="3"/>
  <c r="A1135" i="3"/>
  <c r="B1135" i="3"/>
  <c r="C1135" i="3"/>
  <c r="A1136" i="3"/>
  <c r="B1136" i="3"/>
  <c r="C1136" i="3"/>
  <c r="A1137" i="3"/>
  <c r="B1137" i="3"/>
  <c r="C1137" i="3"/>
  <c r="A1138" i="3"/>
  <c r="B1138" i="3"/>
  <c r="C1138" i="3"/>
  <c r="A1139" i="3"/>
  <c r="B1139" i="3"/>
  <c r="C1139" i="3"/>
  <c r="A1140" i="3"/>
  <c r="B1140" i="3"/>
  <c r="C1140" i="3"/>
  <c r="A1141" i="3"/>
  <c r="B1141" i="3"/>
  <c r="C1141" i="3"/>
  <c r="A1142" i="3"/>
  <c r="B1142" i="3"/>
  <c r="C1142" i="3"/>
  <c r="A1143" i="3"/>
  <c r="B1143" i="3"/>
  <c r="C1143" i="3"/>
  <c r="A1144" i="3"/>
  <c r="B1144" i="3"/>
  <c r="C1144" i="3"/>
  <c r="A1145" i="3"/>
  <c r="B1145" i="3"/>
  <c r="C1145" i="3"/>
  <c r="A1146" i="3"/>
  <c r="B1146" i="3"/>
  <c r="C1146" i="3"/>
  <c r="A1147" i="3"/>
  <c r="B1147" i="3"/>
  <c r="C1147" i="3"/>
  <c r="A1148" i="3"/>
  <c r="B1148" i="3"/>
  <c r="C1148" i="3"/>
  <c r="A1149" i="3"/>
  <c r="B1149" i="3"/>
  <c r="C1149" i="3"/>
  <c r="A1150" i="3"/>
  <c r="B1150" i="3"/>
  <c r="C1150" i="3"/>
  <c r="A1151" i="3"/>
  <c r="B1151" i="3"/>
  <c r="C1151" i="3"/>
  <c r="A1152" i="3"/>
  <c r="B1152" i="3"/>
  <c r="C1152" i="3"/>
  <c r="A1153" i="3"/>
  <c r="B1153" i="3"/>
  <c r="C1153" i="3"/>
  <c r="A1154" i="3"/>
  <c r="B1154" i="3"/>
  <c r="C1154" i="3"/>
  <c r="A1155" i="3"/>
  <c r="B1155" i="3"/>
  <c r="C1155" i="3"/>
  <c r="A1156" i="3"/>
  <c r="B1156" i="3"/>
  <c r="C1156" i="3"/>
  <c r="A1157" i="3"/>
  <c r="B1157" i="3"/>
  <c r="C1157" i="3"/>
  <c r="A1158" i="3"/>
  <c r="B1158" i="3"/>
  <c r="C1158" i="3"/>
  <c r="A1159" i="3"/>
  <c r="B1159" i="3"/>
  <c r="C1159" i="3"/>
  <c r="A1160" i="3"/>
  <c r="B1160" i="3"/>
  <c r="C1160" i="3"/>
  <c r="A1161" i="3"/>
  <c r="B1161" i="3"/>
  <c r="C1161" i="3"/>
  <c r="A1162" i="3"/>
  <c r="B1162" i="3"/>
  <c r="C1162" i="3"/>
  <c r="A1163" i="3"/>
  <c r="B1163" i="3"/>
  <c r="C1163" i="3"/>
  <c r="A1164" i="3"/>
  <c r="B1164" i="3"/>
  <c r="C1164" i="3"/>
  <c r="A1165" i="3"/>
  <c r="B1165" i="3"/>
  <c r="C1165" i="3"/>
  <c r="A1166" i="3"/>
  <c r="B1166" i="3"/>
  <c r="C1166" i="3"/>
  <c r="A1167" i="3"/>
  <c r="B1167" i="3"/>
  <c r="C1167" i="3"/>
  <c r="A1168" i="3"/>
  <c r="B1168" i="3"/>
  <c r="C1168" i="3"/>
  <c r="A1169" i="3"/>
  <c r="B1169" i="3"/>
  <c r="C1169" i="3"/>
  <c r="A1170" i="3"/>
  <c r="B1170" i="3"/>
  <c r="C1170" i="3"/>
  <c r="A1171" i="3"/>
  <c r="B1171" i="3"/>
  <c r="C1171" i="3"/>
  <c r="A1172" i="3"/>
  <c r="B1172" i="3"/>
  <c r="C1172" i="3"/>
  <c r="A1173" i="3"/>
  <c r="B1173" i="3"/>
  <c r="C1173" i="3"/>
  <c r="A1174" i="3"/>
  <c r="B1174" i="3"/>
  <c r="C1174" i="3"/>
  <c r="A1175" i="3"/>
  <c r="B1175" i="3"/>
  <c r="C1175" i="3"/>
  <c r="A1176" i="3"/>
  <c r="B1176" i="3"/>
  <c r="C1176" i="3"/>
  <c r="A1177" i="3"/>
  <c r="B1177" i="3"/>
  <c r="C1177" i="3"/>
  <c r="A1178" i="3"/>
  <c r="B1178" i="3"/>
  <c r="C1178" i="3"/>
  <c r="A1179" i="3"/>
  <c r="B1179" i="3"/>
  <c r="C1179" i="3"/>
  <c r="A1180" i="3"/>
  <c r="B1180" i="3"/>
  <c r="C1180" i="3"/>
  <c r="A1181" i="3"/>
  <c r="B1181" i="3"/>
  <c r="C1181" i="3"/>
  <c r="A1182" i="3"/>
  <c r="B1182" i="3"/>
  <c r="C1182" i="3"/>
  <c r="A1183" i="3"/>
  <c r="B1183" i="3"/>
  <c r="C1183" i="3"/>
  <c r="A1184" i="3"/>
  <c r="B1184" i="3"/>
  <c r="C1184" i="3"/>
  <c r="A1185" i="3"/>
  <c r="B1185" i="3"/>
  <c r="C1185" i="3"/>
  <c r="A1186" i="3"/>
  <c r="B1186" i="3"/>
  <c r="C1186" i="3"/>
  <c r="A1187" i="3"/>
  <c r="B1187" i="3"/>
  <c r="C1187" i="3"/>
  <c r="A1188" i="3"/>
  <c r="B1188" i="3"/>
  <c r="C1188" i="3"/>
  <c r="A1189" i="3"/>
  <c r="B1189" i="3"/>
  <c r="C1189" i="3"/>
  <c r="A1190" i="3"/>
  <c r="B1190" i="3"/>
  <c r="C1190" i="3"/>
  <c r="A1191" i="3"/>
  <c r="B1191" i="3"/>
  <c r="C1191" i="3"/>
  <c r="A1192" i="3"/>
  <c r="B1192" i="3"/>
  <c r="C1192" i="3"/>
  <c r="A1193" i="3"/>
  <c r="B1193" i="3"/>
  <c r="C1193" i="3"/>
  <c r="A1194" i="3"/>
  <c r="B1194" i="3"/>
  <c r="C1194" i="3"/>
  <c r="A1195" i="3"/>
  <c r="B1195" i="3"/>
  <c r="C1195" i="3"/>
  <c r="A1196" i="3"/>
  <c r="B1196" i="3"/>
  <c r="C1196" i="3"/>
  <c r="A1197" i="3"/>
  <c r="B1197" i="3"/>
  <c r="C1197" i="3"/>
  <c r="A1198" i="3"/>
  <c r="B1198" i="3"/>
  <c r="C1198" i="3"/>
  <c r="A1199" i="3"/>
  <c r="B1199" i="3"/>
  <c r="C1199" i="3"/>
  <c r="A1200" i="3"/>
  <c r="B1200" i="3"/>
  <c r="C1200" i="3"/>
  <c r="A1201" i="3"/>
  <c r="B1201" i="3"/>
  <c r="C1201" i="3"/>
  <c r="A1202" i="3"/>
  <c r="B1202" i="3"/>
  <c r="C1202" i="3"/>
  <c r="A1203" i="3"/>
  <c r="B1203" i="3"/>
  <c r="C1203" i="3"/>
  <c r="A1204" i="3"/>
  <c r="B1204" i="3"/>
  <c r="C1204" i="3"/>
  <c r="A1205" i="3"/>
  <c r="B1205" i="3"/>
  <c r="C1205" i="3"/>
  <c r="A1206" i="3"/>
  <c r="B1206" i="3"/>
  <c r="C1206" i="3"/>
  <c r="A1207" i="3"/>
  <c r="B1207" i="3"/>
  <c r="C1207" i="3"/>
  <c r="A1208" i="3"/>
  <c r="B1208" i="3"/>
  <c r="C1208" i="3"/>
  <c r="A1209" i="3"/>
  <c r="B1209" i="3"/>
  <c r="C1209" i="3"/>
  <c r="A1210" i="3"/>
  <c r="B1210" i="3"/>
  <c r="C1210" i="3"/>
  <c r="A1211" i="3"/>
  <c r="B1211" i="3"/>
  <c r="C1211" i="3"/>
  <c r="A1212" i="3"/>
  <c r="B1212" i="3"/>
  <c r="C1212" i="3"/>
  <c r="A1213" i="3"/>
  <c r="B1213" i="3"/>
  <c r="C1213" i="3"/>
  <c r="A1214" i="3"/>
  <c r="B1214" i="3"/>
  <c r="C1214" i="3"/>
  <c r="A1215" i="3"/>
  <c r="B1215" i="3"/>
  <c r="C1215" i="3"/>
  <c r="A1216" i="3"/>
  <c r="B1216" i="3"/>
  <c r="C1216" i="3"/>
  <c r="A1217" i="3"/>
  <c r="B1217" i="3"/>
  <c r="C1217" i="3"/>
  <c r="A1218" i="3"/>
  <c r="B1218" i="3"/>
  <c r="C1218" i="3"/>
  <c r="A1219" i="3"/>
  <c r="B1219" i="3"/>
  <c r="C1219" i="3"/>
  <c r="A1220" i="3"/>
  <c r="B1220" i="3"/>
  <c r="C1220" i="3"/>
  <c r="A1221" i="3"/>
  <c r="B1221" i="3"/>
  <c r="C1221" i="3"/>
  <c r="A1222" i="3"/>
  <c r="B1222" i="3"/>
  <c r="C1222" i="3"/>
  <c r="A1223" i="3"/>
  <c r="B1223" i="3"/>
  <c r="C1223" i="3"/>
  <c r="A1224" i="3"/>
  <c r="B1224" i="3"/>
  <c r="C1224" i="3"/>
  <c r="A1225" i="3"/>
  <c r="B1225" i="3"/>
  <c r="C1225" i="3"/>
  <c r="A1226" i="3"/>
  <c r="B1226" i="3"/>
  <c r="C1226" i="3"/>
  <c r="A1227" i="3"/>
  <c r="B1227" i="3"/>
  <c r="C1227" i="3"/>
  <c r="A1228" i="3"/>
  <c r="B1228" i="3"/>
  <c r="C1228" i="3"/>
  <c r="A1229" i="3"/>
  <c r="B1229" i="3"/>
  <c r="C1229" i="3"/>
  <c r="A1230" i="3"/>
  <c r="B1230" i="3"/>
  <c r="C1230" i="3"/>
  <c r="A1231" i="3"/>
  <c r="B1231" i="3"/>
  <c r="C1231" i="3"/>
  <c r="A1232" i="3"/>
  <c r="B1232" i="3"/>
  <c r="C1232" i="3"/>
  <c r="A1233" i="3"/>
  <c r="B1233" i="3"/>
  <c r="C1233" i="3"/>
  <c r="A1234" i="3"/>
  <c r="B1234" i="3"/>
  <c r="C1234" i="3"/>
  <c r="A1235" i="3"/>
  <c r="B1235" i="3"/>
  <c r="C1235" i="3"/>
  <c r="A1236" i="3"/>
  <c r="B1236" i="3"/>
  <c r="C1236" i="3"/>
  <c r="A1237" i="3"/>
  <c r="B1237" i="3"/>
  <c r="C1237" i="3"/>
  <c r="A1238" i="3"/>
  <c r="B1238" i="3"/>
  <c r="C1238" i="3"/>
  <c r="A1239" i="3"/>
  <c r="B1239" i="3"/>
  <c r="C1239" i="3"/>
  <c r="A1240" i="3"/>
  <c r="B1240" i="3"/>
  <c r="C1240" i="3"/>
  <c r="A1241" i="3"/>
  <c r="B1241" i="3"/>
  <c r="C1241" i="3"/>
  <c r="A1242" i="3"/>
  <c r="B1242" i="3"/>
  <c r="C1242" i="3"/>
  <c r="A1243" i="3"/>
  <c r="B1243" i="3"/>
  <c r="C1243" i="3"/>
  <c r="A1244" i="3"/>
  <c r="B1244" i="3"/>
  <c r="C1244" i="3"/>
  <c r="A1245" i="3"/>
  <c r="B1245" i="3"/>
  <c r="C1245" i="3"/>
  <c r="A1246" i="3"/>
  <c r="B1246" i="3"/>
  <c r="C1246" i="3"/>
  <c r="A1247" i="3"/>
  <c r="B1247" i="3"/>
  <c r="C1247" i="3"/>
  <c r="A1248" i="3"/>
  <c r="B1248" i="3"/>
  <c r="C1248" i="3"/>
  <c r="A1249" i="3"/>
  <c r="B1249" i="3"/>
  <c r="C1249" i="3"/>
  <c r="A1250" i="3"/>
  <c r="B1250" i="3"/>
  <c r="C1250" i="3"/>
  <c r="A1251" i="3"/>
  <c r="B1251" i="3"/>
  <c r="C1251" i="3"/>
  <c r="A1252" i="3"/>
  <c r="B1252" i="3"/>
  <c r="C1252" i="3"/>
  <c r="A1253" i="3"/>
  <c r="B1253" i="3"/>
  <c r="C1253" i="3"/>
  <c r="A1254" i="3"/>
  <c r="B1254" i="3"/>
  <c r="C1254" i="3"/>
  <c r="A1255" i="3"/>
  <c r="B1255" i="3"/>
  <c r="C1255" i="3"/>
  <c r="A1256" i="3"/>
  <c r="B1256" i="3"/>
  <c r="C1256" i="3"/>
  <c r="A1257" i="3"/>
  <c r="B1257" i="3"/>
  <c r="C1257" i="3"/>
  <c r="A1258" i="3"/>
  <c r="B1258" i="3"/>
  <c r="C1258" i="3"/>
  <c r="A1259" i="3"/>
  <c r="B1259" i="3"/>
  <c r="C1259" i="3"/>
  <c r="A1260" i="3"/>
  <c r="B1260" i="3"/>
  <c r="C1260" i="3"/>
  <c r="A1261" i="3"/>
  <c r="B1261" i="3"/>
  <c r="C1261" i="3"/>
  <c r="A1262" i="3"/>
  <c r="B1262" i="3"/>
  <c r="C1262" i="3"/>
  <c r="A1263" i="3"/>
  <c r="B1263" i="3"/>
  <c r="C1263" i="3"/>
  <c r="A1264" i="3"/>
  <c r="B1264" i="3"/>
  <c r="C1264" i="3"/>
  <c r="A1265" i="3"/>
  <c r="B1265" i="3"/>
  <c r="C1265" i="3"/>
  <c r="A1266" i="3"/>
  <c r="B1266" i="3"/>
  <c r="C1266" i="3"/>
  <c r="A1267" i="3"/>
  <c r="B1267" i="3"/>
  <c r="C1267" i="3"/>
  <c r="A1268" i="3"/>
  <c r="B1268" i="3"/>
  <c r="C1268" i="3"/>
  <c r="A1269" i="3"/>
  <c r="B1269" i="3"/>
  <c r="C1269" i="3"/>
  <c r="A1270" i="3"/>
  <c r="B1270" i="3"/>
  <c r="C1270" i="3"/>
  <c r="A1271" i="3"/>
  <c r="B1271" i="3"/>
  <c r="C1271" i="3"/>
  <c r="A1272" i="3"/>
  <c r="B1272" i="3"/>
  <c r="C1272" i="3"/>
  <c r="A1273" i="3"/>
  <c r="B1273" i="3"/>
  <c r="C1273" i="3"/>
  <c r="A1274" i="3"/>
  <c r="B1274" i="3"/>
  <c r="C1274" i="3"/>
  <c r="A1275" i="3"/>
  <c r="B1275" i="3"/>
  <c r="C1275" i="3"/>
  <c r="A1276" i="3"/>
  <c r="B1276" i="3"/>
  <c r="C1276" i="3"/>
  <c r="A1277" i="3"/>
  <c r="B1277" i="3"/>
  <c r="C1277" i="3"/>
  <c r="A1278" i="3"/>
  <c r="B1278" i="3"/>
  <c r="C1278" i="3"/>
  <c r="A1279" i="3"/>
  <c r="B1279" i="3"/>
  <c r="C1279" i="3"/>
  <c r="A1280" i="3"/>
  <c r="B1280" i="3"/>
  <c r="C1280" i="3"/>
  <c r="A1281" i="3"/>
  <c r="B1281" i="3"/>
  <c r="C1281" i="3"/>
  <c r="A1282" i="3"/>
  <c r="B1282" i="3"/>
  <c r="C1282" i="3"/>
  <c r="A1283" i="3"/>
  <c r="B1283" i="3"/>
  <c r="C1283" i="3"/>
  <c r="A1284" i="3"/>
  <c r="B1284" i="3"/>
  <c r="C1284" i="3"/>
  <c r="A1285" i="3"/>
  <c r="B1285" i="3"/>
  <c r="C1285" i="3"/>
  <c r="A1286" i="3"/>
  <c r="B1286" i="3"/>
  <c r="C1286" i="3"/>
  <c r="A1287" i="3"/>
  <c r="B1287" i="3"/>
  <c r="C1287" i="3"/>
  <c r="A1288" i="3"/>
  <c r="B1288" i="3"/>
  <c r="C1288" i="3"/>
  <c r="A1289" i="3"/>
  <c r="B1289" i="3"/>
  <c r="C1289" i="3"/>
  <c r="A1290" i="3"/>
  <c r="B1290" i="3"/>
  <c r="C1290" i="3"/>
  <c r="A1291" i="3"/>
  <c r="B1291" i="3"/>
  <c r="C1291" i="3"/>
  <c r="A1292" i="3"/>
  <c r="B1292" i="3"/>
  <c r="C1292" i="3"/>
  <c r="A1293" i="3"/>
  <c r="B1293" i="3"/>
  <c r="C1293" i="3"/>
  <c r="A1294" i="3"/>
  <c r="B1294" i="3"/>
  <c r="C1294" i="3"/>
  <c r="A1295" i="3"/>
  <c r="B1295" i="3"/>
  <c r="C1295" i="3"/>
  <c r="A1296" i="3"/>
  <c r="B1296" i="3"/>
  <c r="C1296" i="3"/>
  <c r="A1297" i="3"/>
  <c r="B1297" i="3"/>
  <c r="C1297" i="3"/>
  <c r="A1298" i="3"/>
  <c r="B1298" i="3"/>
  <c r="C1298" i="3"/>
  <c r="A1299" i="3"/>
  <c r="B1299" i="3"/>
  <c r="C1299" i="3"/>
  <c r="A1300" i="3"/>
  <c r="B1300" i="3"/>
  <c r="C1300" i="3"/>
  <c r="A1301" i="3"/>
  <c r="B1301" i="3"/>
  <c r="C1301" i="3"/>
  <c r="A1302" i="3"/>
  <c r="B1302" i="3"/>
  <c r="C1302" i="3"/>
  <c r="A1303" i="3"/>
  <c r="B1303" i="3"/>
  <c r="C1303" i="3"/>
  <c r="A1304" i="3"/>
  <c r="B1304" i="3"/>
  <c r="C1304" i="3"/>
  <c r="A1305" i="3"/>
  <c r="B1305" i="3"/>
  <c r="C1305" i="3"/>
  <c r="A1306" i="3"/>
  <c r="B1306" i="3"/>
  <c r="C1306" i="3"/>
  <c r="A1307" i="3"/>
  <c r="B1307" i="3"/>
  <c r="C1307" i="3"/>
  <c r="A1308" i="3"/>
  <c r="B1308" i="3"/>
  <c r="C1308" i="3"/>
  <c r="A1309" i="3"/>
  <c r="B1309" i="3"/>
  <c r="C1309" i="3"/>
  <c r="A1310" i="3"/>
  <c r="B1310" i="3"/>
  <c r="C1310" i="3"/>
  <c r="A1311" i="3"/>
  <c r="B1311" i="3"/>
  <c r="C1311" i="3"/>
  <c r="A1312" i="3"/>
  <c r="B1312" i="3"/>
  <c r="C1312" i="3"/>
  <c r="A1313" i="3"/>
  <c r="B1313" i="3"/>
  <c r="C1313" i="3"/>
  <c r="A1314" i="3"/>
  <c r="B1314" i="3"/>
  <c r="C1314" i="3"/>
  <c r="A1315" i="3"/>
  <c r="B1315" i="3"/>
  <c r="C1315" i="3"/>
  <c r="A1316" i="3"/>
  <c r="B1316" i="3"/>
  <c r="C1316" i="3"/>
  <c r="A1317" i="3"/>
  <c r="B1317" i="3"/>
  <c r="C1317" i="3"/>
  <c r="A1318" i="3"/>
  <c r="B1318" i="3"/>
  <c r="C1318" i="3"/>
  <c r="A1319" i="3"/>
  <c r="B1319" i="3"/>
  <c r="C1319" i="3"/>
  <c r="A1320" i="3"/>
  <c r="B1320" i="3"/>
  <c r="C1320" i="3"/>
  <c r="A1321" i="3"/>
  <c r="B1321" i="3"/>
  <c r="C1321" i="3"/>
  <c r="A1322" i="3"/>
  <c r="B1322" i="3"/>
  <c r="C1322" i="3"/>
  <c r="A1323" i="3"/>
  <c r="B1323" i="3"/>
  <c r="C1323" i="3"/>
  <c r="A1324" i="3"/>
  <c r="B1324" i="3"/>
  <c r="C1324" i="3"/>
  <c r="A1325" i="3"/>
  <c r="B1325" i="3"/>
  <c r="C1325" i="3"/>
  <c r="A1326" i="3"/>
  <c r="B1326" i="3"/>
  <c r="C1326" i="3"/>
  <c r="A1327" i="3"/>
  <c r="B1327" i="3"/>
  <c r="C1327" i="3"/>
  <c r="A1328" i="3"/>
  <c r="B1328" i="3"/>
  <c r="C1328" i="3"/>
  <c r="A1329" i="3"/>
  <c r="B1329" i="3"/>
  <c r="C1329" i="3"/>
  <c r="A1330" i="3"/>
  <c r="B1330" i="3"/>
  <c r="C1330" i="3"/>
  <c r="A1331" i="3"/>
  <c r="B1331" i="3"/>
  <c r="C1331" i="3"/>
  <c r="A1332" i="3"/>
  <c r="B1332" i="3"/>
  <c r="C1332" i="3"/>
  <c r="A1333" i="3"/>
  <c r="B1333" i="3"/>
  <c r="C1333" i="3"/>
  <c r="A1334" i="3"/>
  <c r="B1334" i="3"/>
  <c r="C1334" i="3"/>
  <c r="A1335" i="3"/>
  <c r="B1335" i="3"/>
  <c r="C1335" i="3"/>
  <c r="A1336" i="3"/>
  <c r="B1336" i="3"/>
  <c r="C1336" i="3"/>
  <c r="A1337" i="3"/>
  <c r="B1337" i="3"/>
  <c r="C1337" i="3"/>
  <c r="A1338" i="3"/>
  <c r="B1338" i="3"/>
  <c r="C1338" i="3"/>
  <c r="A1339" i="3"/>
  <c r="B1339" i="3"/>
  <c r="C1339" i="3"/>
  <c r="A1340" i="3"/>
  <c r="B1340" i="3"/>
  <c r="C1340" i="3"/>
  <c r="A1341" i="3"/>
  <c r="B1341" i="3"/>
  <c r="C1341" i="3"/>
  <c r="A1342" i="3"/>
  <c r="B1342" i="3"/>
  <c r="C1342" i="3"/>
  <c r="A1343" i="3"/>
  <c r="B1343" i="3"/>
  <c r="C1343" i="3"/>
  <c r="A1344" i="3"/>
  <c r="B1344" i="3"/>
  <c r="C1344" i="3"/>
  <c r="A1345" i="3"/>
  <c r="B1345" i="3"/>
  <c r="C1345" i="3"/>
  <c r="A1346" i="3"/>
  <c r="B1346" i="3"/>
  <c r="C1346" i="3"/>
  <c r="A1347" i="3"/>
  <c r="B1347" i="3"/>
  <c r="C1347" i="3"/>
  <c r="A1348" i="3"/>
  <c r="B1348" i="3"/>
  <c r="C1348" i="3"/>
  <c r="A1349" i="3"/>
  <c r="B1349" i="3"/>
  <c r="C1349" i="3"/>
  <c r="A1350" i="3"/>
  <c r="B1350" i="3"/>
  <c r="C1350" i="3"/>
  <c r="A1351" i="3"/>
  <c r="B1351" i="3"/>
  <c r="C1351" i="3"/>
  <c r="A1352" i="3"/>
  <c r="B1352" i="3"/>
  <c r="C1352" i="3"/>
  <c r="A1353" i="3"/>
  <c r="B1353" i="3"/>
  <c r="C1353" i="3"/>
  <c r="A1354" i="3"/>
  <c r="B1354" i="3"/>
  <c r="C1354" i="3"/>
  <c r="A1355" i="3"/>
  <c r="B1355" i="3"/>
  <c r="C1355" i="3"/>
  <c r="A1356" i="3"/>
  <c r="B1356" i="3"/>
  <c r="C1356" i="3"/>
  <c r="A1357" i="3"/>
  <c r="B1357" i="3"/>
  <c r="C1357" i="3"/>
  <c r="A1358" i="3"/>
  <c r="B1358" i="3"/>
  <c r="C1358" i="3"/>
  <c r="A1359" i="3"/>
  <c r="B1359" i="3"/>
  <c r="C1359" i="3"/>
  <c r="A1360" i="3"/>
  <c r="B1360" i="3"/>
  <c r="C1360" i="3"/>
  <c r="A1361" i="3"/>
  <c r="B1361" i="3"/>
  <c r="C1361" i="3"/>
  <c r="A1362" i="3"/>
  <c r="B1362" i="3"/>
  <c r="C1362" i="3"/>
  <c r="A1363" i="3"/>
  <c r="B1363" i="3"/>
  <c r="C1363" i="3"/>
  <c r="A1364" i="3"/>
  <c r="B1364" i="3"/>
  <c r="C1364" i="3"/>
  <c r="A1365" i="3"/>
  <c r="B1365" i="3"/>
  <c r="C1365" i="3"/>
  <c r="A1366" i="3"/>
  <c r="B1366" i="3"/>
  <c r="C1366" i="3"/>
  <c r="A1367" i="3"/>
  <c r="B1367" i="3"/>
  <c r="C1367" i="3"/>
  <c r="A1368" i="3"/>
  <c r="B1368" i="3"/>
  <c r="C1368" i="3"/>
  <c r="A1369" i="3"/>
  <c r="B1369" i="3"/>
  <c r="C1369" i="3"/>
  <c r="A1370" i="3"/>
  <c r="B1370" i="3"/>
  <c r="C1370" i="3"/>
  <c r="A1371" i="3"/>
  <c r="B1371" i="3"/>
  <c r="C1371" i="3"/>
  <c r="A1372" i="3"/>
  <c r="B1372" i="3"/>
  <c r="C1372" i="3"/>
  <c r="A1373" i="3"/>
  <c r="B1373" i="3"/>
  <c r="C1373" i="3"/>
  <c r="A1374" i="3"/>
  <c r="B1374" i="3"/>
  <c r="C1374" i="3"/>
  <c r="A1375" i="3"/>
  <c r="B1375" i="3"/>
  <c r="C1375" i="3"/>
  <c r="A1376" i="3"/>
  <c r="B1376" i="3"/>
  <c r="C1376" i="3"/>
  <c r="A1377" i="3"/>
  <c r="B1377" i="3"/>
  <c r="C1377" i="3"/>
  <c r="A1378" i="3"/>
  <c r="B1378" i="3"/>
  <c r="C1378" i="3"/>
  <c r="A1379" i="3"/>
  <c r="B1379" i="3"/>
  <c r="C1379" i="3"/>
  <c r="A1380" i="3"/>
  <c r="B1380" i="3"/>
  <c r="C1380" i="3"/>
  <c r="A1381" i="3"/>
  <c r="B1381" i="3"/>
  <c r="C1381" i="3"/>
  <c r="A1382" i="3"/>
  <c r="B1382" i="3"/>
  <c r="C1382" i="3"/>
  <c r="A1383" i="3"/>
  <c r="B1383" i="3"/>
  <c r="C1383" i="3"/>
  <c r="A1384" i="3"/>
  <c r="B1384" i="3"/>
  <c r="C1384" i="3"/>
  <c r="A1385" i="3"/>
  <c r="B1385" i="3"/>
  <c r="C1385" i="3"/>
  <c r="A1386" i="3"/>
  <c r="B1386" i="3"/>
  <c r="C1386" i="3"/>
  <c r="A1387" i="3"/>
  <c r="B1387" i="3"/>
  <c r="C1387" i="3"/>
  <c r="A1388" i="3"/>
  <c r="B1388" i="3"/>
  <c r="C1388" i="3"/>
  <c r="A1389" i="3"/>
  <c r="B1389" i="3"/>
  <c r="C1389" i="3"/>
  <c r="A1390" i="3"/>
  <c r="B1390" i="3"/>
  <c r="C1390" i="3"/>
  <c r="A1391" i="3"/>
  <c r="B1391" i="3"/>
  <c r="C1391" i="3"/>
  <c r="A1392" i="3"/>
  <c r="B1392" i="3"/>
  <c r="C1392" i="3"/>
  <c r="A1393" i="3"/>
  <c r="B1393" i="3"/>
  <c r="C1393" i="3"/>
  <c r="A1394" i="3"/>
  <c r="B1394" i="3"/>
  <c r="C1394" i="3"/>
  <c r="A1395" i="3"/>
  <c r="B1395" i="3"/>
  <c r="C1395" i="3"/>
  <c r="A1396" i="3"/>
  <c r="B1396" i="3"/>
  <c r="C1396" i="3"/>
  <c r="A1397" i="3"/>
  <c r="B1397" i="3"/>
  <c r="C1397" i="3"/>
  <c r="A1398" i="3"/>
  <c r="B1398" i="3"/>
  <c r="C1398" i="3"/>
  <c r="A1399" i="3"/>
  <c r="B1399" i="3"/>
  <c r="C1399" i="3"/>
  <c r="A1400" i="3"/>
  <c r="B1400" i="3"/>
  <c r="C1400" i="3"/>
  <c r="A1401" i="3"/>
  <c r="B1401" i="3"/>
  <c r="C1401" i="3"/>
  <c r="A1402" i="3"/>
  <c r="B1402" i="3"/>
  <c r="C1402" i="3"/>
  <c r="A1403" i="3"/>
  <c r="B1403" i="3"/>
  <c r="C1403" i="3"/>
  <c r="A1404" i="3"/>
  <c r="B1404" i="3"/>
  <c r="C1404" i="3"/>
  <c r="A1405" i="3"/>
  <c r="B1405" i="3"/>
  <c r="C1405" i="3"/>
  <c r="A1406" i="3"/>
  <c r="B1406" i="3"/>
  <c r="C1406" i="3"/>
  <c r="A1407" i="3"/>
  <c r="B1407" i="3"/>
  <c r="C1407" i="3"/>
  <c r="A1408" i="3"/>
  <c r="B1408" i="3"/>
  <c r="C1408" i="3"/>
  <c r="A1409" i="3"/>
  <c r="B1409" i="3"/>
  <c r="C1409" i="3"/>
  <c r="A1410" i="3"/>
  <c r="B1410" i="3"/>
  <c r="C1410" i="3"/>
  <c r="A1411" i="3"/>
  <c r="B1411" i="3"/>
  <c r="C1411" i="3"/>
  <c r="A1412" i="3"/>
  <c r="B1412" i="3"/>
  <c r="C1412" i="3"/>
  <c r="A1413" i="3"/>
  <c r="B1413" i="3"/>
  <c r="C1413" i="3"/>
  <c r="A1414" i="3"/>
  <c r="B1414" i="3"/>
  <c r="C1414" i="3"/>
  <c r="A1415" i="3"/>
  <c r="B1415" i="3"/>
  <c r="C1415" i="3"/>
  <c r="A1416" i="3"/>
  <c r="B1416" i="3"/>
  <c r="C1416" i="3"/>
  <c r="A1417" i="3"/>
  <c r="B1417" i="3"/>
  <c r="C1417" i="3"/>
  <c r="A1418" i="3"/>
  <c r="B1418" i="3"/>
  <c r="C1418" i="3"/>
  <c r="A1419" i="3"/>
  <c r="B1419" i="3"/>
  <c r="C1419" i="3"/>
  <c r="A1420" i="3"/>
  <c r="B1420" i="3"/>
  <c r="C1420" i="3"/>
  <c r="A1421" i="3"/>
  <c r="B1421" i="3"/>
  <c r="C1421" i="3"/>
  <c r="A1422" i="3"/>
  <c r="B1422" i="3"/>
  <c r="C1422" i="3"/>
  <c r="A1423" i="3"/>
  <c r="B1423" i="3"/>
  <c r="C1423" i="3"/>
  <c r="A1424" i="3"/>
  <c r="B1424" i="3"/>
  <c r="C1424" i="3"/>
  <c r="A1425" i="3"/>
  <c r="B1425" i="3"/>
  <c r="C1425" i="3"/>
  <c r="A1426" i="3"/>
  <c r="B1426" i="3"/>
  <c r="C1426" i="3"/>
  <c r="A1427" i="3"/>
  <c r="B1427" i="3"/>
  <c r="C1427" i="3"/>
  <c r="A1428" i="3"/>
  <c r="B1428" i="3"/>
  <c r="C1428" i="3"/>
  <c r="A1429" i="3"/>
  <c r="B1429" i="3"/>
  <c r="C1429" i="3"/>
  <c r="A1430" i="3"/>
  <c r="B1430" i="3"/>
  <c r="C1430" i="3"/>
  <c r="A1431" i="3"/>
  <c r="B1431" i="3"/>
  <c r="C1431" i="3"/>
  <c r="A1432" i="3"/>
  <c r="B1432" i="3"/>
  <c r="C1432" i="3"/>
  <c r="A1433" i="3"/>
  <c r="B1433" i="3"/>
  <c r="C1433" i="3"/>
  <c r="A1434" i="3"/>
  <c r="B1434" i="3"/>
  <c r="C1434" i="3"/>
  <c r="A1435" i="3"/>
  <c r="B1435" i="3"/>
  <c r="C1435" i="3"/>
  <c r="A1436" i="3"/>
  <c r="B1436" i="3"/>
  <c r="C1436" i="3"/>
  <c r="A1437" i="3"/>
  <c r="B1437" i="3"/>
  <c r="C1437" i="3"/>
  <c r="A1438" i="3"/>
  <c r="B1438" i="3"/>
  <c r="C1438" i="3"/>
  <c r="A1439" i="3"/>
  <c r="B1439" i="3"/>
  <c r="C1439" i="3"/>
  <c r="A1440" i="3"/>
  <c r="B1440" i="3"/>
  <c r="C1440" i="3"/>
  <c r="A1441" i="3"/>
  <c r="B1441" i="3"/>
  <c r="C1441" i="3"/>
  <c r="A1442" i="3"/>
  <c r="B1442" i="3"/>
  <c r="C1442" i="3"/>
  <c r="A1443" i="3"/>
  <c r="B1443" i="3"/>
  <c r="C1443" i="3"/>
  <c r="A1444" i="3"/>
  <c r="B1444" i="3"/>
  <c r="C1444" i="3"/>
  <c r="A1445" i="3"/>
  <c r="B1445" i="3"/>
  <c r="C1445" i="3"/>
  <c r="A1446" i="3"/>
  <c r="B1446" i="3"/>
  <c r="C1446" i="3"/>
  <c r="A1447" i="3"/>
  <c r="B1447" i="3"/>
  <c r="C1447" i="3"/>
  <c r="A1448" i="3"/>
  <c r="B1448" i="3"/>
  <c r="C1448" i="3"/>
  <c r="A1449" i="3"/>
  <c r="B1449" i="3"/>
  <c r="C1449" i="3"/>
  <c r="A1450" i="3"/>
  <c r="B1450" i="3"/>
  <c r="C1450" i="3"/>
  <c r="A1451" i="3"/>
  <c r="B1451" i="3"/>
  <c r="C1451" i="3"/>
  <c r="A1452" i="3"/>
  <c r="B1452" i="3"/>
  <c r="C1452" i="3"/>
  <c r="A1453" i="3"/>
  <c r="B1453" i="3"/>
  <c r="C1453" i="3"/>
  <c r="A1454" i="3"/>
  <c r="B1454" i="3"/>
  <c r="C1454" i="3"/>
  <c r="A1455" i="3"/>
  <c r="B1455" i="3"/>
  <c r="C1455" i="3"/>
  <c r="A1456" i="3"/>
  <c r="B1456" i="3"/>
  <c r="C1456" i="3"/>
  <c r="A1457" i="3"/>
  <c r="B1457" i="3"/>
  <c r="C1457" i="3"/>
  <c r="A1458" i="3"/>
  <c r="B1458" i="3"/>
  <c r="C1458" i="3"/>
  <c r="A1459" i="3"/>
  <c r="B1459" i="3"/>
  <c r="C1459" i="3"/>
  <c r="A1460" i="3"/>
  <c r="B1460" i="3"/>
  <c r="C1460" i="3"/>
  <c r="A1461" i="3"/>
  <c r="B1461" i="3"/>
  <c r="C1461" i="3"/>
  <c r="A1462" i="3"/>
  <c r="B1462" i="3"/>
  <c r="C1462" i="3"/>
  <c r="A1463" i="3"/>
  <c r="B1463" i="3"/>
  <c r="C1463" i="3"/>
  <c r="A1464" i="3"/>
  <c r="B1464" i="3"/>
  <c r="C1464" i="3"/>
  <c r="A1465" i="3"/>
  <c r="B1465" i="3"/>
  <c r="C1465" i="3"/>
  <c r="A1466" i="3"/>
  <c r="B1466" i="3"/>
  <c r="C1466" i="3"/>
  <c r="A1467" i="3"/>
  <c r="B1467" i="3"/>
  <c r="C1467" i="3"/>
  <c r="A1468" i="3"/>
  <c r="B1468" i="3"/>
  <c r="C1468" i="3"/>
  <c r="A1469" i="3"/>
  <c r="B1469" i="3"/>
  <c r="C1469" i="3"/>
  <c r="A1470" i="3"/>
  <c r="B1470" i="3"/>
  <c r="C1470" i="3"/>
  <c r="A1471" i="3"/>
  <c r="B1471" i="3"/>
  <c r="C1471" i="3"/>
  <c r="A1472" i="3"/>
  <c r="B1472" i="3"/>
  <c r="C1472" i="3"/>
  <c r="A1473" i="3"/>
  <c r="B1473" i="3"/>
  <c r="C1473" i="3"/>
  <c r="A1474" i="3"/>
  <c r="B1474" i="3"/>
  <c r="C1474" i="3"/>
  <c r="A1475" i="3"/>
  <c r="B1475" i="3"/>
  <c r="C1475" i="3"/>
  <c r="A1476" i="3"/>
  <c r="B1476" i="3"/>
  <c r="C1476" i="3"/>
  <c r="A1477" i="3"/>
  <c r="B1477" i="3"/>
  <c r="C1477" i="3"/>
  <c r="A1478" i="3"/>
  <c r="B1478" i="3"/>
  <c r="C1478" i="3"/>
  <c r="A1479" i="3"/>
  <c r="B1479" i="3"/>
  <c r="C1479" i="3"/>
  <c r="A1480" i="3"/>
  <c r="B1480" i="3"/>
  <c r="C1480" i="3"/>
  <c r="A1481" i="3"/>
  <c r="B1481" i="3"/>
  <c r="C1481" i="3"/>
  <c r="A1482" i="3"/>
  <c r="B1482" i="3"/>
  <c r="C1482" i="3"/>
  <c r="A1483" i="3"/>
  <c r="B1483" i="3"/>
  <c r="C1483" i="3"/>
  <c r="A1484" i="3"/>
  <c r="B1484" i="3"/>
  <c r="C1484" i="3"/>
  <c r="A1485" i="3"/>
  <c r="B1485" i="3"/>
  <c r="C1485" i="3"/>
  <c r="A1486" i="3"/>
  <c r="B1486" i="3"/>
  <c r="C1486" i="3"/>
  <c r="A1487" i="3"/>
  <c r="B1487" i="3"/>
  <c r="C1487" i="3"/>
  <c r="A1488" i="3"/>
  <c r="B1488" i="3"/>
  <c r="C1488" i="3"/>
  <c r="A1489" i="3"/>
  <c r="B1489" i="3"/>
  <c r="C1489" i="3"/>
  <c r="A1490" i="3"/>
  <c r="B1490" i="3"/>
  <c r="C1490" i="3"/>
  <c r="A1491" i="3"/>
  <c r="B1491" i="3"/>
  <c r="C1491" i="3"/>
  <c r="A1492" i="3"/>
  <c r="B1492" i="3"/>
  <c r="C1492" i="3"/>
  <c r="A1493" i="3"/>
  <c r="B1493" i="3"/>
  <c r="C1493" i="3"/>
  <c r="A1494" i="3"/>
  <c r="B1494" i="3"/>
  <c r="C1494" i="3"/>
  <c r="A1495" i="3"/>
  <c r="B1495" i="3"/>
  <c r="C1495" i="3"/>
  <c r="A1496" i="3"/>
  <c r="B1496" i="3"/>
  <c r="C1496" i="3"/>
  <c r="A1497" i="3"/>
  <c r="B1497" i="3"/>
  <c r="C1497" i="3"/>
  <c r="A1498" i="3"/>
  <c r="B1498" i="3"/>
  <c r="C1498" i="3"/>
  <c r="A1499" i="3"/>
  <c r="B1499" i="3"/>
  <c r="C1499" i="3"/>
  <c r="A1500" i="3"/>
  <c r="B1500" i="3"/>
  <c r="C1500" i="3"/>
  <c r="A1501" i="3"/>
  <c r="B1501" i="3"/>
  <c r="C1501" i="3"/>
  <c r="A1502" i="3"/>
  <c r="B1502" i="3"/>
  <c r="C1502" i="3"/>
  <c r="A1503" i="3"/>
  <c r="B1503" i="3"/>
  <c r="C1503" i="3"/>
  <c r="A1504" i="3"/>
  <c r="B1504" i="3"/>
  <c r="C1504" i="3"/>
  <c r="A1505" i="3"/>
  <c r="B1505" i="3"/>
  <c r="C1505" i="3"/>
  <c r="A1506" i="3"/>
  <c r="B1506" i="3"/>
  <c r="C1506" i="3"/>
  <c r="A1507" i="3"/>
  <c r="B1507" i="3"/>
  <c r="C1507" i="3"/>
  <c r="A1508" i="3"/>
  <c r="B1508" i="3"/>
  <c r="C1508" i="3"/>
  <c r="A1509" i="3"/>
  <c r="B1509" i="3"/>
  <c r="C1509" i="3"/>
  <c r="A1510" i="3"/>
  <c r="B1510" i="3"/>
  <c r="C1510" i="3"/>
  <c r="A1511" i="3"/>
  <c r="B1511" i="3"/>
  <c r="C1511" i="3"/>
  <c r="A1512" i="3"/>
  <c r="B1512" i="3"/>
  <c r="C1512" i="3"/>
  <c r="A1513" i="3"/>
  <c r="B1513" i="3"/>
  <c r="C1513" i="3"/>
  <c r="A1514" i="3"/>
  <c r="B1514" i="3"/>
  <c r="C1514" i="3"/>
  <c r="A1515" i="3"/>
  <c r="B1515" i="3"/>
  <c r="C1515" i="3"/>
  <c r="A1516" i="3"/>
  <c r="B1516" i="3"/>
  <c r="C1516" i="3"/>
  <c r="A1517" i="3"/>
  <c r="B1517" i="3"/>
  <c r="C1517" i="3"/>
  <c r="A1518" i="3"/>
  <c r="B1518" i="3"/>
  <c r="C1518" i="3"/>
  <c r="A1519" i="3"/>
  <c r="B1519" i="3"/>
  <c r="C1519" i="3"/>
  <c r="A1520" i="3"/>
  <c r="B1520" i="3"/>
  <c r="C1520" i="3"/>
  <c r="A1521" i="3"/>
  <c r="B1521" i="3"/>
  <c r="C1521" i="3"/>
  <c r="A1522" i="3"/>
  <c r="B1522" i="3"/>
  <c r="C1522" i="3"/>
  <c r="A1523" i="3"/>
  <c r="B1523" i="3"/>
  <c r="C1523" i="3"/>
  <c r="A1524" i="3"/>
  <c r="B1524" i="3"/>
  <c r="C1524" i="3"/>
  <c r="A1525" i="3"/>
  <c r="B1525" i="3"/>
  <c r="C1525" i="3"/>
  <c r="A1526" i="3"/>
  <c r="B1526" i="3"/>
  <c r="C1526" i="3"/>
  <c r="A1527" i="3"/>
  <c r="B1527" i="3"/>
  <c r="C1527" i="3"/>
  <c r="A1528" i="3"/>
  <c r="B1528" i="3"/>
  <c r="C1528" i="3"/>
  <c r="A1529" i="3"/>
  <c r="B1529" i="3"/>
  <c r="C1529" i="3"/>
  <c r="A1530" i="3"/>
  <c r="B1530" i="3"/>
  <c r="C1530" i="3"/>
  <c r="A1531" i="3"/>
  <c r="B1531" i="3"/>
  <c r="C1531" i="3"/>
  <c r="A1532" i="3"/>
  <c r="B1532" i="3"/>
  <c r="C1532" i="3"/>
  <c r="A1533" i="3"/>
  <c r="B1533" i="3"/>
  <c r="C1533" i="3"/>
  <c r="A1534" i="3"/>
  <c r="B1534" i="3"/>
  <c r="C1534" i="3"/>
  <c r="A1535" i="3"/>
  <c r="B1535" i="3"/>
  <c r="C1535" i="3"/>
  <c r="A1536" i="3"/>
  <c r="B1536" i="3"/>
  <c r="C1536" i="3"/>
  <c r="A1537" i="3"/>
  <c r="B1537" i="3"/>
  <c r="C1537" i="3"/>
  <c r="A1538" i="3"/>
  <c r="B1538" i="3"/>
  <c r="C1538" i="3"/>
  <c r="A1539" i="3"/>
  <c r="B1539" i="3"/>
  <c r="C1539" i="3"/>
  <c r="A1540" i="3"/>
  <c r="B1540" i="3"/>
  <c r="C1540" i="3"/>
  <c r="A1541" i="3"/>
  <c r="B1541" i="3"/>
  <c r="C1541" i="3"/>
  <c r="A1542" i="3"/>
  <c r="B1542" i="3"/>
  <c r="C1542" i="3"/>
  <c r="A1543" i="3"/>
  <c r="B1543" i="3"/>
  <c r="C1543" i="3"/>
  <c r="A1544" i="3"/>
  <c r="B1544" i="3"/>
  <c r="C1544" i="3"/>
  <c r="A1545" i="3"/>
  <c r="B1545" i="3"/>
  <c r="C1545" i="3"/>
  <c r="A1546" i="3"/>
  <c r="B1546" i="3"/>
  <c r="C1546" i="3"/>
  <c r="A1547" i="3"/>
  <c r="B1547" i="3"/>
  <c r="C1547" i="3"/>
  <c r="A1548" i="3"/>
  <c r="B1548" i="3"/>
  <c r="C1548" i="3"/>
  <c r="A1549" i="3"/>
  <c r="B1549" i="3"/>
  <c r="C1549" i="3"/>
  <c r="A1550" i="3"/>
  <c r="B1550" i="3"/>
  <c r="C1550" i="3"/>
  <c r="A1551" i="3"/>
  <c r="B1551" i="3"/>
  <c r="C1551" i="3"/>
  <c r="A1552" i="3"/>
  <c r="B1552" i="3"/>
  <c r="C1552" i="3"/>
  <c r="A1553" i="3"/>
  <c r="B1553" i="3"/>
  <c r="C1553" i="3"/>
  <c r="A1554" i="3"/>
  <c r="B1554" i="3"/>
  <c r="C1554" i="3"/>
  <c r="A1555" i="3"/>
  <c r="B1555" i="3"/>
  <c r="C1555" i="3"/>
  <c r="A1556" i="3"/>
  <c r="B1556" i="3"/>
  <c r="C1556" i="3"/>
  <c r="A1557" i="3"/>
  <c r="B1557" i="3"/>
  <c r="C1557" i="3"/>
  <c r="A1558" i="3"/>
  <c r="B1558" i="3"/>
  <c r="C1558" i="3"/>
  <c r="A1559" i="3"/>
  <c r="B1559" i="3"/>
  <c r="C1559" i="3"/>
  <c r="A1560" i="3"/>
  <c r="B1560" i="3"/>
  <c r="C1560" i="3"/>
  <c r="A1561" i="3"/>
  <c r="B1561" i="3"/>
  <c r="C1561" i="3"/>
  <c r="A1562" i="3"/>
  <c r="B1562" i="3"/>
  <c r="C1562" i="3"/>
  <c r="A1563" i="3"/>
  <c r="B1563" i="3"/>
  <c r="C1563" i="3"/>
  <c r="A1564" i="3"/>
  <c r="B1564" i="3"/>
  <c r="C1564" i="3"/>
  <c r="A1565" i="3"/>
  <c r="B1565" i="3"/>
  <c r="C1565" i="3"/>
  <c r="A1566" i="3"/>
  <c r="B1566" i="3"/>
  <c r="C1566" i="3"/>
  <c r="A1567" i="3"/>
  <c r="B1567" i="3"/>
  <c r="C1567" i="3"/>
  <c r="A1568" i="3"/>
  <c r="B1568" i="3"/>
  <c r="C1568" i="3"/>
  <c r="A1569" i="3"/>
  <c r="B1569" i="3"/>
  <c r="C1569" i="3"/>
  <c r="A1570" i="3"/>
  <c r="B1570" i="3"/>
  <c r="C1570" i="3"/>
  <c r="A1571" i="3"/>
  <c r="B1571" i="3"/>
  <c r="C1571" i="3"/>
  <c r="A1572" i="3"/>
  <c r="B1572" i="3"/>
  <c r="C1572" i="3"/>
  <c r="A1573" i="3"/>
  <c r="B1573" i="3"/>
  <c r="C1573" i="3"/>
  <c r="A1574" i="3"/>
  <c r="B1574" i="3"/>
  <c r="C1574" i="3"/>
  <c r="A1575" i="3"/>
  <c r="B1575" i="3"/>
  <c r="C1575" i="3"/>
  <c r="A1576" i="3"/>
  <c r="B1576" i="3"/>
  <c r="C1576" i="3"/>
  <c r="A1577" i="3"/>
  <c r="B1577" i="3"/>
  <c r="C1577" i="3"/>
  <c r="A1578" i="3"/>
  <c r="B1578" i="3"/>
  <c r="C1578" i="3"/>
  <c r="A1579" i="3"/>
  <c r="B1579" i="3"/>
  <c r="C1579" i="3"/>
  <c r="A1580" i="3"/>
  <c r="B1580" i="3"/>
  <c r="C1580" i="3"/>
  <c r="A1581" i="3"/>
  <c r="B1581" i="3"/>
  <c r="C1581" i="3"/>
  <c r="A1582" i="3"/>
  <c r="B1582" i="3"/>
  <c r="C1582" i="3"/>
  <c r="A1583" i="3"/>
  <c r="B1583" i="3"/>
  <c r="C1583" i="3"/>
  <c r="A1584" i="3"/>
  <c r="B1584" i="3"/>
  <c r="C1584" i="3"/>
  <c r="A1585" i="3"/>
  <c r="B1585" i="3"/>
  <c r="C1585" i="3"/>
  <c r="A1586" i="3"/>
  <c r="B1586" i="3"/>
  <c r="C1586" i="3"/>
  <c r="A1587" i="3"/>
  <c r="B1587" i="3"/>
  <c r="C1587" i="3"/>
  <c r="A1588" i="3"/>
  <c r="B1588" i="3"/>
  <c r="C1588" i="3"/>
  <c r="A1589" i="3"/>
  <c r="B1589" i="3"/>
  <c r="C1589" i="3"/>
  <c r="A1590" i="3"/>
  <c r="B1590" i="3"/>
  <c r="C1590" i="3"/>
  <c r="A1591" i="3"/>
  <c r="B1591" i="3"/>
  <c r="C1591" i="3"/>
  <c r="A1592" i="3"/>
  <c r="B1592" i="3"/>
  <c r="C1592" i="3"/>
  <c r="A1593" i="3"/>
  <c r="B1593" i="3"/>
  <c r="C1593" i="3"/>
  <c r="A1594" i="3"/>
  <c r="B1594" i="3"/>
  <c r="C1594" i="3"/>
  <c r="A1595" i="3"/>
  <c r="B1595" i="3"/>
  <c r="C1595" i="3"/>
  <c r="A1596" i="3"/>
  <c r="B1596" i="3"/>
  <c r="C1596" i="3"/>
  <c r="A1597" i="3"/>
  <c r="B1597" i="3"/>
  <c r="C1597" i="3"/>
  <c r="A1598" i="3"/>
  <c r="B1598" i="3"/>
  <c r="C1598" i="3"/>
  <c r="A1599" i="3"/>
  <c r="B1599" i="3"/>
  <c r="C1599" i="3"/>
  <c r="A1600" i="3"/>
  <c r="B1600" i="3"/>
  <c r="C1600" i="3"/>
  <c r="A1601" i="3"/>
  <c r="B1601" i="3"/>
  <c r="C1601" i="3"/>
  <c r="A1602" i="3"/>
  <c r="B1602" i="3"/>
  <c r="C1602" i="3"/>
  <c r="A1603" i="3"/>
  <c r="B1603" i="3"/>
  <c r="C1603" i="3"/>
  <c r="A1604" i="3"/>
  <c r="B1604" i="3"/>
  <c r="C1604" i="3"/>
  <c r="A1605" i="3"/>
  <c r="B1605" i="3"/>
  <c r="C1605" i="3"/>
  <c r="A1606" i="3"/>
  <c r="B1606" i="3"/>
  <c r="C1606" i="3"/>
  <c r="A1607" i="3"/>
  <c r="B1607" i="3"/>
  <c r="C1607" i="3"/>
  <c r="A1608" i="3"/>
  <c r="B1608" i="3"/>
  <c r="C1608" i="3"/>
  <c r="A1609" i="3"/>
  <c r="B1609" i="3"/>
  <c r="C1609" i="3"/>
  <c r="A1610" i="3"/>
  <c r="B1610" i="3"/>
  <c r="C1610" i="3"/>
  <c r="A1611" i="3"/>
  <c r="B1611" i="3"/>
  <c r="C1611" i="3"/>
  <c r="A1612" i="3"/>
  <c r="B1612" i="3"/>
  <c r="C1612" i="3"/>
  <c r="A1613" i="3"/>
  <c r="B1613" i="3"/>
  <c r="C1613" i="3"/>
  <c r="A1614" i="3"/>
  <c r="B1614" i="3"/>
  <c r="C1614" i="3"/>
  <c r="A1615" i="3"/>
  <c r="B1615" i="3"/>
  <c r="C1615" i="3"/>
  <c r="A1616" i="3"/>
  <c r="B1616" i="3"/>
  <c r="C1616" i="3"/>
  <c r="A1617" i="3"/>
  <c r="B1617" i="3"/>
  <c r="C1617" i="3"/>
  <c r="A1618" i="3"/>
  <c r="B1618" i="3"/>
  <c r="C1618" i="3"/>
  <c r="A1619" i="3"/>
  <c r="B1619" i="3"/>
  <c r="C1619" i="3"/>
  <c r="A1620" i="3"/>
  <c r="B1620" i="3"/>
  <c r="C1620" i="3"/>
  <c r="A1621" i="3"/>
  <c r="B1621" i="3"/>
  <c r="C1621" i="3"/>
  <c r="A1622" i="3"/>
  <c r="B1622" i="3"/>
  <c r="C1622" i="3"/>
  <c r="A1623" i="3"/>
  <c r="B1623" i="3"/>
  <c r="C1623" i="3"/>
  <c r="A1624" i="3"/>
  <c r="B1624" i="3"/>
  <c r="C1624" i="3"/>
  <c r="A1625" i="3"/>
  <c r="B1625" i="3"/>
  <c r="C1625" i="3"/>
  <c r="A1626" i="3"/>
  <c r="B1626" i="3"/>
  <c r="C1626" i="3"/>
  <c r="A1627" i="3"/>
  <c r="B1627" i="3"/>
  <c r="C1627" i="3"/>
  <c r="A1628" i="3"/>
  <c r="B1628" i="3"/>
  <c r="C1628" i="3"/>
  <c r="A1629" i="3"/>
  <c r="B1629" i="3"/>
  <c r="C1629" i="3"/>
  <c r="A1630" i="3"/>
  <c r="B1630" i="3"/>
  <c r="C1630" i="3"/>
  <c r="A1631" i="3"/>
  <c r="B1631" i="3"/>
  <c r="C1631" i="3"/>
  <c r="A1632" i="3"/>
  <c r="B1632" i="3"/>
  <c r="C1632" i="3"/>
  <c r="A1633" i="3"/>
  <c r="B1633" i="3"/>
  <c r="C1633" i="3"/>
  <c r="A1634" i="3"/>
  <c r="B1634" i="3"/>
  <c r="C1634" i="3"/>
  <c r="A1635" i="3"/>
  <c r="B1635" i="3"/>
  <c r="C1635" i="3"/>
  <c r="A1636" i="3"/>
  <c r="B1636" i="3"/>
  <c r="C1636" i="3"/>
  <c r="A1637" i="3"/>
  <c r="B1637" i="3"/>
  <c r="C1637" i="3"/>
  <c r="A1638" i="3"/>
  <c r="B1638" i="3"/>
  <c r="C1638" i="3"/>
  <c r="A1639" i="3"/>
  <c r="B1639" i="3"/>
  <c r="C1639" i="3"/>
  <c r="A1640" i="3"/>
  <c r="B1640" i="3"/>
  <c r="C1640" i="3"/>
  <c r="A1641" i="3"/>
  <c r="B1641" i="3"/>
  <c r="C1641" i="3"/>
  <c r="A1642" i="3"/>
  <c r="B1642" i="3"/>
  <c r="C1642" i="3"/>
  <c r="A1643" i="3"/>
  <c r="B1643" i="3"/>
  <c r="C1643" i="3"/>
  <c r="A1644" i="3"/>
  <c r="B1644" i="3"/>
  <c r="C1644" i="3"/>
  <c r="A1645" i="3"/>
  <c r="B1645" i="3"/>
  <c r="C1645" i="3"/>
  <c r="A1646" i="3"/>
  <c r="B1646" i="3"/>
  <c r="C1646" i="3"/>
  <c r="A1647" i="3"/>
  <c r="B1647" i="3"/>
  <c r="C1647" i="3"/>
  <c r="A1648" i="3"/>
  <c r="B1648" i="3"/>
  <c r="C1648" i="3"/>
  <c r="A1649" i="3"/>
  <c r="B1649" i="3"/>
  <c r="C1649" i="3"/>
  <c r="A1650" i="3"/>
  <c r="B1650" i="3"/>
  <c r="C1650" i="3"/>
  <c r="A1651" i="3"/>
  <c r="B1651" i="3"/>
  <c r="C1651" i="3"/>
  <c r="A1652" i="3"/>
  <c r="B1652" i="3"/>
  <c r="C1652" i="3"/>
  <c r="A1653" i="3"/>
  <c r="B1653" i="3"/>
  <c r="C1653" i="3"/>
  <c r="A1654" i="3"/>
  <c r="B1654" i="3"/>
  <c r="C1654" i="3"/>
  <c r="A1655" i="3"/>
  <c r="B1655" i="3"/>
  <c r="C1655" i="3"/>
  <c r="A1656" i="3"/>
  <c r="B1656" i="3"/>
  <c r="C1656" i="3"/>
  <c r="A1657" i="3"/>
  <c r="B1657" i="3"/>
  <c r="C1657" i="3"/>
  <c r="A1658" i="3"/>
  <c r="B1658" i="3"/>
  <c r="C1658" i="3"/>
  <c r="A1659" i="3"/>
  <c r="B1659" i="3"/>
  <c r="C1659" i="3"/>
  <c r="A1660" i="3"/>
  <c r="B1660" i="3"/>
  <c r="C1660" i="3"/>
  <c r="A1661" i="3"/>
  <c r="B1661" i="3"/>
  <c r="C1661" i="3"/>
  <c r="A1662" i="3"/>
  <c r="B1662" i="3"/>
  <c r="C1662" i="3"/>
  <c r="A1663" i="3"/>
  <c r="B1663" i="3"/>
  <c r="C1663" i="3"/>
  <c r="A1664" i="3"/>
  <c r="B1664" i="3"/>
  <c r="C1664" i="3"/>
  <c r="A1665" i="3"/>
  <c r="B1665" i="3"/>
  <c r="C1665" i="3"/>
  <c r="A1666" i="3"/>
  <c r="B1666" i="3"/>
  <c r="C1666" i="3"/>
  <c r="A1667" i="3"/>
  <c r="B1667" i="3"/>
  <c r="C1667" i="3"/>
  <c r="A1668" i="3"/>
  <c r="B1668" i="3"/>
  <c r="C1668" i="3"/>
  <c r="A1669" i="3"/>
  <c r="B1669" i="3"/>
  <c r="C1669" i="3"/>
  <c r="A1670" i="3"/>
  <c r="B1670" i="3"/>
  <c r="C1670" i="3"/>
  <c r="A1671" i="3"/>
  <c r="B1671" i="3"/>
  <c r="C1671" i="3"/>
  <c r="A1672" i="3"/>
  <c r="B1672" i="3"/>
  <c r="C1672" i="3"/>
  <c r="A1673" i="3"/>
  <c r="B1673" i="3"/>
  <c r="C1673" i="3"/>
  <c r="A1674" i="3"/>
  <c r="B1674" i="3"/>
  <c r="C1674" i="3"/>
  <c r="A1675" i="3"/>
  <c r="B1675" i="3"/>
  <c r="C1675" i="3"/>
  <c r="A1676" i="3"/>
  <c r="B1676" i="3"/>
  <c r="C1676" i="3"/>
  <c r="A1677" i="3"/>
  <c r="B1677" i="3"/>
  <c r="C1677" i="3"/>
  <c r="A1678" i="3"/>
  <c r="B1678" i="3"/>
  <c r="C1678" i="3"/>
  <c r="A1679" i="3"/>
  <c r="B1679" i="3"/>
  <c r="C1679" i="3"/>
  <c r="A1680" i="3"/>
  <c r="B1680" i="3"/>
  <c r="C1680" i="3"/>
  <c r="A1681" i="3"/>
  <c r="B1681" i="3"/>
  <c r="C1681" i="3"/>
  <c r="A1682" i="3"/>
  <c r="B1682" i="3"/>
  <c r="C1682" i="3"/>
  <c r="A1683" i="3"/>
  <c r="B1683" i="3"/>
  <c r="C1683" i="3"/>
  <c r="A1684" i="3"/>
  <c r="B1684" i="3"/>
  <c r="C1684" i="3"/>
  <c r="A1685" i="3"/>
  <c r="B1685" i="3"/>
  <c r="C1685" i="3"/>
  <c r="A1686" i="3"/>
  <c r="B1686" i="3"/>
  <c r="C1686" i="3"/>
  <c r="A1687" i="3"/>
  <c r="B1687" i="3"/>
  <c r="C1687" i="3"/>
  <c r="A1688" i="3"/>
  <c r="B1688" i="3"/>
  <c r="C1688" i="3"/>
  <c r="A1689" i="3"/>
  <c r="B1689" i="3"/>
  <c r="C1689" i="3"/>
  <c r="A1690" i="3"/>
  <c r="B1690" i="3"/>
  <c r="C1690" i="3"/>
  <c r="A1691" i="3"/>
  <c r="B1691" i="3"/>
  <c r="C1691" i="3"/>
  <c r="A1692" i="3"/>
  <c r="B1692" i="3"/>
  <c r="C1692" i="3"/>
  <c r="A1693" i="3"/>
  <c r="B1693" i="3"/>
  <c r="C1693" i="3"/>
  <c r="A1694" i="3"/>
  <c r="B1694" i="3"/>
  <c r="C1694" i="3"/>
  <c r="A1695" i="3"/>
  <c r="B1695" i="3"/>
  <c r="C1695" i="3"/>
  <c r="A1696" i="3"/>
  <c r="B1696" i="3"/>
  <c r="C1696" i="3"/>
  <c r="A1697" i="3"/>
  <c r="B1697" i="3"/>
  <c r="C1697" i="3"/>
  <c r="A1698" i="3"/>
  <c r="B1698" i="3"/>
  <c r="C1698" i="3"/>
  <c r="A1699" i="3"/>
  <c r="B1699" i="3"/>
  <c r="C1699" i="3"/>
  <c r="A1700" i="3"/>
  <c r="B1700" i="3"/>
  <c r="C1700" i="3"/>
  <c r="A1701" i="3"/>
  <c r="B1701" i="3"/>
  <c r="C1701" i="3"/>
  <c r="A1702" i="3"/>
  <c r="B1702" i="3"/>
  <c r="C1702" i="3"/>
  <c r="A1703" i="3"/>
  <c r="B1703" i="3"/>
  <c r="C1703" i="3"/>
  <c r="A1704" i="3"/>
  <c r="B1704" i="3"/>
  <c r="C1704" i="3"/>
  <c r="A1705" i="3"/>
  <c r="B1705" i="3"/>
  <c r="C1705" i="3"/>
  <c r="A1706" i="3"/>
  <c r="B1706" i="3"/>
  <c r="C1706" i="3"/>
  <c r="A1707" i="3"/>
  <c r="B1707" i="3"/>
  <c r="C1707" i="3"/>
  <c r="A1708" i="3"/>
  <c r="B1708" i="3"/>
  <c r="C1708" i="3"/>
  <c r="A1709" i="3"/>
  <c r="B1709" i="3"/>
  <c r="C1709" i="3"/>
  <c r="A1710" i="3"/>
  <c r="B1710" i="3"/>
  <c r="C1710" i="3"/>
  <c r="A1711" i="3"/>
  <c r="B1711" i="3"/>
  <c r="C1711" i="3"/>
  <c r="A1712" i="3"/>
  <c r="B1712" i="3"/>
  <c r="C1712" i="3"/>
  <c r="A1713" i="3"/>
  <c r="B1713" i="3"/>
  <c r="C1713" i="3"/>
  <c r="A1714" i="3"/>
  <c r="B1714" i="3"/>
  <c r="C1714" i="3"/>
  <c r="A1715" i="3"/>
  <c r="B1715" i="3"/>
  <c r="C1715" i="3"/>
  <c r="A1716" i="3"/>
  <c r="B1716" i="3"/>
  <c r="C1716" i="3"/>
  <c r="A1717" i="3"/>
  <c r="B1717" i="3"/>
  <c r="C1717" i="3"/>
  <c r="A1718" i="3"/>
  <c r="B1718" i="3"/>
  <c r="C1718" i="3"/>
  <c r="A1719" i="3"/>
  <c r="B1719" i="3"/>
  <c r="C1719" i="3"/>
  <c r="A1720" i="3"/>
  <c r="B1720" i="3"/>
  <c r="C1720" i="3"/>
  <c r="A1721" i="3"/>
  <c r="B1721" i="3"/>
  <c r="C1721" i="3"/>
  <c r="A1722" i="3"/>
  <c r="B1722" i="3"/>
  <c r="C1722" i="3"/>
  <c r="A1723" i="3"/>
  <c r="B1723" i="3"/>
  <c r="C1723" i="3"/>
  <c r="A1724" i="3"/>
  <c r="B1724" i="3"/>
  <c r="C1724" i="3"/>
  <c r="A1725" i="3"/>
  <c r="B1725" i="3"/>
  <c r="C1725" i="3"/>
  <c r="A1726" i="3"/>
  <c r="B1726" i="3"/>
  <c r="C1726" i="3"/>
  <c r="A1727" i="3"/>
  <c r="B1727" i="3"/>
  <c r="C1727" i="3"/>
  <c r="A1728" i="3"/>
  <c r="B1728" i="3"/>
  <c r="C1728" i="3"/>
  <c r="A1729" i="3"/>
  <c r="B1729" i="3"/>
  <c r="C1729" i="3"/>
  <c r="A1730" i="3"/>
  <c r="B1730" i="3"/>
  <c r="C1730" i="3"/>
  <c r="A1731" i="3"/>
  <c r="B1731" i="3"/>
  <c r="C1731" i="3"/>
  <c r="A1732" i="3"/>
  <c r="B1732" i="3"/>
  <c r="C1732" i="3"/>
  <c r="A1733" i="3"/>
  <c r="B1733" i="3"/>
  <c r="C1733" i="3"/>
  <c r="A1734" i="3"/>
  <c r="B1734" i="3"/>
  <c r="C1734" i="3"/>
  <c r="A1735" i="3"/>
  <c r="B1735" i="3"/>
  <c r="C1735" i="3"/>
  <c r="A1736" i="3"/>
  <c r="B1736" i="3"/>
  <c r="C1736" i="3"/>
  <c r="A1737" i="3"/>
  <c r="B1737" i="3"/>
  <c r="C1737" i="3"/>
  <c r="A1738" i="3"/>
  <c r="B1738" i="3"/>
  <c r="C1738" i="3"/>
  <c r="A1739" i="3"/>
  <c r="B1739" i="3"/>
  <c r="C1739" i="3"/>
  <c r="A1740" i="3"/>
  <c r="B1740" i="3"/>
  <c r="C1740" i="3"/>
  <c r="A1741" i="3"/>
  <c r="B1741" i="3"/>
  <c r="C1741" i="3"/>
  <c r="A1742" i="3"/>
  <c r="B1742" i="3"/>
  <c r="C1742" i="3"/>
  <c r="A1743" i="3"/>
  <c r="B1743" i="3"/>
  <c r="C1743" i="3"/>
  <c r="A1744" i="3"/>
  <c r="B1744" i="3"/>
  <c r="C1744" i="3"/>
  <c r="A1745" i="3"/>
  <c r="B1745" i="3"/>
  <c r="C1745" i="3"/>
  <c r="A1746" i="3"/>
  <c r="B1746" i="3"/>
  <c r="C1746" i="3"/>
  <c r="A1747" i="3"/>
  <c r="B1747" i="3"/>
  <c r="C1747" i="3"/>
  <c r="A1748" i="3"/>
  <c r="B1748" i="3"/>
  <c r="C1748" i="3"/>
  <c r="A1749" i="3"/>
  <c r="B1749" i="3"/>
  <c r="C1749" i="3"/>
  <c r="A1750" i="3"/>
  <c r="B1750" i="3"/>
  <c r="C1750" i="3"/>
  <c r="A1751" i="3"/>
  <c r="B1751" i="3"/>
  <c r="C1751" i="3"/>
  <c r="A1752" i="3"/>
  <c r="B1752" i="3"/>
  <c r="C1752" i="3"/>
  <c r="A1753" i="3"/>
  <c r="B1753" i="3"/>
  <c r="C1753" i="3"/>
  <c r="A1754" i="3"/>
  <c r="B1754" i="3"/>
  <c r="C1754" i="3"/>
  <c r="A1755" i="3"/>
  <c r="B1755" i="3"/>
  <c r="C1755" i="3"/>
  <c r="A1756" i="3"/>
  <c r="B1756" i="3"/>
  <c r="C1756" i="3"/>
  <c r="A1757" i="3"/>
  <c r="B1757" i="3"/>
  <c r="C1757" i="3"/>
  <c r="A1758" i="3"/>
  <c r="B1758" i="3"/>
  <c r="C1758" i="3"/>
  <c r="A1759" i="3"/>
  <c r="B1759" i="3"/>
  <c r="C1759" i="3"/>
  <c r="A1760" i="3"/>
  <c r="B1760" i="3"/>
  <c r="C1760" i="3"/>
  <c r="A1761" i="3"/>
  <c r="B1761" i="3"/>
  <c r="C1761" i="3"/>
  <c r="A1762" i="3"/>
  <c r="B1762" i="3"/>
  <c r="C1762" i="3"/>
  <c r="A1763" i="3"/>
  <c r="B1763" i="3"/>
  <c r="C1763" i="3"/>
  <c r="A1764" i="3"/>
  <c r="B1764" i="3"/>
  <c r="C1764" i="3"/>
  <c r="A1765" i="3"/>
  <c r="B1765" i="3"/>
  <c r="C1765" i="3"/>
  <c r="A1766" i="3"/>
  <c r="B1766" i="3"/>
  <c r="C1766" i="3"/>
  <c r="A1767" i="3"/>
  <c r="B1767" i="3"/>
  <c r="C1767" i="3"/>
  <c r="A1768" i="3"/>
  <c r="B1768" i="3"/>
  <c r="C1768" i="3"/>
  <c r="A1769" i="3"/>
  <c r="B1769" i="3"/>
  <c r="C1769" i="3"/>
  <c r="A1770" i="3"/>
  <c r="B1770" i="3"/>
  <c r="C1770" i="3"/>
  <c r="A1771" i="3"/>
  <c r="B1771" i="3"/>
  <c r="C1771" i="3"/>
  <c r="A1772" i="3"/>
  <c r="B1772" i="3"/>
  <c r="C1772" i="3"/>
  <c r="A1773" i="3"/>
  <c r="B1773" i="3"/>
  <c r="C1773" i="3"/>
  <c r="A1774" i="3"/>
  <c r="B1774" i="3"/>
  <c r="C1774" i="3"/>
  <c r="A1775" i="3"/>
  <c r="B1775" i="3"/>
  <c r="C1775" i="3"/>
  <c r="A1776" i="3"/>
  <c r="B1776" i="3"/>
  <c r="C1776" i="3"/>
  <c r="A1777" i="3"/>
  <c r="B1777" i="3"/>
  <c r="C1777" i="3"/>
  <c r="A1778" i="3"/>
  <c r="B1778" i="3"/>
  <c r="C1778" i="3"/>
  <c r="A1779" i="3"/>
  <c r="B1779" i="3"/>
  <c r="C1779" i="3"/>
  <c r="A1780" i="3"/>
  <c r="B1780" i="3"/>
  <c r="C1780" i="3"/>
  <c r="A1781" i="3"/>
  <c r="B1781" i="3"/>
  <c r="C1781" i="3"/>
  <c r="A1782" i="3"/>
  <c r="B1782" i="3"/>
  <c r="C1782" i="3"/>
  <c r="A1783" i="3"/>
  <c r="B1783" i="3"/>
  <c r="C1783" i="3"/>
  <c r="A1784" i="3"/>
  <c r="B1784" i="3"/>
  <c r="C1784" i="3"/>
  <c r="A1785" i="3"/>
  <c r="B1785" i="3"/>
  <c r="C1785" i="3"/>
  <c r="A1786" i="3"/>
  <c r="B1786" i="3"/>
  <c r="C1786" i="3"/>
  <c r="A1787" i="3"/>
  <c r="B1787" i="3"/>
  <c r="C1787" i="3"/>
  <c r="A1788" i="3"/>
  <c r="B1788" i="3"/>
  <c r="C1788" i="3"/>
  <c r="A1789" i="3"/>
  <c r="B1789" i="3"/>
  <c r="C1789" i="3"/>
  <c r="A1790" i="3"/>
  <c r="B1790" i="3"/>
  <c r="C1790" i="3"/>
  <c r="A1791" i="3"/>
  <c r="B1791" i="3"/>
  <c r="C1791" i="3"/>
  <c r="A1792" i="3"/>
  <c r="B1792" i="3"/>
  <c r="C1792" i="3"/>
  <c r="A1793" i="3"/>
  <c r="B1793" i="3"/>
  <c r="C1793" i="3"/>
  <c r="A1794" i="3"/>
  <c r="B1794" i="3"/>
  <c r="C1794" i="3"/>
  <c r="A1795" i="3"/>
  <c r="B1795" i="3"/>
  <c r="C1795" i="3"/>
  <c r="A1796" i="3"/>
  <c r="B1796" i="3"/>
  <c r="C1796" i="3"/>
  <c r="A1797" i="3"/>
  <c r="B1797" i="3"/>
  <c r="C1797" i="3"/>
  <c r="A1798" i="3"/>
  <c r="B1798" i="3"/>
  <c r="C1798" i="3"/>
  <c r="A1799" i="3"/>
  <c r="B1799" i="3"/>
  <c r="C1799" i="3"/>
  <c r="A1800" i="3"/>
  <c r="B1800" i="3"/>
  <c r="C1800" i="3"/>
  <c r="A1801" i="3"/>
  <c r="B1801" i="3"/>
  <c r="C1801" i="3"/>
  <c r="A1802" i="3"/>
  <c r="B1802" i="3"/>
  <c r="C1802" i="3"/>
  <c r="A1803" i="3"/>
  <c r="B1803" i="3"/>
  <c r="C1803" i="3"/>
  <c r="A1804" i="3"/>
  <c r="B1804" i="3"/>
  <c r="C1804" i="3"/>
  <c r="A1805" i="3"/>
  <c r="B1805" i="3"/>
  <c r="C1805" i="3"/>
  <c r="A1806" i="3"/>
  <c r="B1806" i="3"/>
  <c r="C1806" i="3"/>
  <c r="A1807" i="3"/>
  <c r="B1807" i="3"/>
  <c r="C1807" i="3"/>
  <c r="A1808" i="3"/>
  <c r="B1808" i="3"/>
  <c r="C1808" i="3"/>
  <c r="A1809" i="3"/>
  <c r="B1809" i="3"/>
  <c r="C1809" i="3"/>
  <c r="A1810" i="3"/>
  <c r="B1810" i="3"/>
  <c r="C1810" i="3"/>
  <c r="A1811" i="3"/>
  <c r="B1811" i="3"/>
  <c r="C1811" i="3"/>
  <c r="A1812" i="3"/>
  <c r="B1812" i="3"/>
  <c r="C1812" i="3"/>
  <c r="A1813" i="3"/>
  <c r="B1813" i="3"/>
  <c r="C1813" i="3"/>
  <c r="A1814" i="3"/>
  <c r="B1814" i="3"/>
  <c r="C1814" i="3"/>
  <c r="A1815" i="3"/>
  <c r="B1815" i="3"/>
  <c r="C1815" i="3"/>
  <c r="A1816" i="3"/>
  <c r="B1816" i="3"/>
  <c r="C1816" i="3"/>
  <c r="A1817" i="3"/>
  <c r="B1817" i="3"/>
  <c r="C1817" i="3"/>
  <c r="A1818" i="3"/>
  <c r="B1818" i="3"/>
  <c r="C1818" i="3"/>
  <c r="A1819" i="3"/>
  <c r="B1819" i="3"/>
  <c r="C1819" i="3"/>
  <c r="A1820" i="3"/>
  <c r="B1820" i="3"/>
  <c r="C1820" i="3"/>
  <c r="A1821" i="3"/>
  <c r="B1821" i="3"/>
  <c r="C1821" i="3"/>
  <c r="A1822" i="3"/>
  <c r="B1822" i="3"/>
  <c r="C1822" i="3"/>
  <c r="A1823" i="3"/>
  <c r="B1823" i="3"/>
  <c r="C1823" i="3"/>
  <c r="A1824" i="3"/>
  <c r="B1824" i="3"/>
  <c r="C1824" i="3"/>
  <c r="A1825" i="3"/>
  <c r="B1825" i="3"/>
  <c r="C1825" i="3"/>
  <c r="A1826" i="3"/>
  <c r="B1826" i="3"/>
  <c r="C1826" i="3"/>
  <c r="A1827" i="3"/>
  <c r="B1827" i="3"/>
  <c r="C1827" i="3"/>
  <c r="A1828" i="3"/>
  <c r="B1828" i="3"/>
  <c r="C1828" i="3"/>
  <c r="A1829" i="3"/>
  <c r="B1829" i="3"/>
  <c r="C1829" i="3"/>
  <c r="A1830" i="3"/>
  <c r="B1830" i="3"/>
  <c r="C1830" i="3"/>
  <c r="A1831" i="3"/>
  <c r="B1831" i="3"/>
  <c r="C1831" i="3"/>
  <c r="A1832" i="3"/>
  <c r="B1832" i="3"/>
  <c r="C1832" i="3"/>
  <c r="A1833" i="3"/>
  <c r="B1833" i="3"/>
  <c r="C1833" i="3"/>
  <c r="A1834" i="3"/>
  <c r="B1834" i="3"/>
  <c r="C1834" i="3"/>
  <c r="A1835" i="3"/>
  <c r="B1835" i="3"/>
  <c r="C1835" i="3"/>
  <c r="A1836" i="3"/>
  <c r="B1836" i="3"/>
  <c r="C1836" i="3"/>
  <c r="A1837" i="3"/>
  <c r="B1837" i="3"/>
  <c r="C1837" i="3"/>
  <c r="A1838" i="3"/>
  <c r="B1838" i="3"/>
  <c r="C1838" i="3"/>
  <c r="A1839" i="3"/>
  <c r="B1839" i="3"/>
  <c r="C1839" i="3"/>
  <c r="A1840" i="3"/>
  <c r="B1840" i="3"/>
  <c r="C1840" i="3"/>
  <c r="A1841" i="3"/>
  <c r="B1841" i="3"/>
  <c r="C1841" i="3"/>
  <c r="A1842" i="3"/>
  <c r="B1842" i="3"/>
  <c r="C1842" i="3"/>
  <c r="A1843" i="3"/>
  <c r="B1843" i="3"/>
  <c r="C1843" i="3"/>
  <c r="A1844" i="3"/>
  <c r="B1844" i="3"/>
  <c r="C1844" i="3"/>
  <c r="A1845" i="3"/>
  <c r="B1845" i="3"/>
  <c r="C1845" i="3"/>
  <c r="A1846" i="3"/>
  <c r="B1846" i="3"/>
  <c r="C1846" i="3"/>
  <c r="A1847" i="3"/>
  <c r="B1847" i="3"/>
  <c r="C1847" i="3"/>
  <c r="A1848" i="3"/>
  <c r="B1848" i="3"/>
  <c r="C1848" i="3"/>
  <c r="A1849" i="3"/>
  <c r="B1849" i="3"/>
  <c r="C1849" i="3"/>
  <c r="A1850" i="3"/>
  <c r="B1850" i="3"/>
  <c r="C1850" i="3"/>
  <c r="A1851" i="3"/>
  <c r="B1851" i="3"/>
  <c r="C1851" i="3"/>
  <c r="A1852" i="3"/>
  <c r="B1852" i="3"/>
  <c r="C1852" i="3"/>
  <c r="A1853" i="3"/>
  <c r="B1853" i="3"/>
  <c r="C1853" i="3"/>
  <c r="A1854" i="3"/>
  <c r="B1854" i="3"/>
  <c r="C1854" i="3"/>
  <c r="A1855" i="3"/>
  <c r="B1855" i="3"/>
  <c r="C1855" i="3"/>
  <c r="A1856" i="3"/>
  <c r="B1856" i="3"/>
  <c r="C1856" i="3"/>
  <c r="A1857" i="3"/>
  <c r="B1857" i="3"/>
  <c r="C1857" i="3"/>
  <c r="A1858" i="3"/>
  <c r="B1858" i="3"/>
  <c r="C1858" i="3"/>
  <c r="A1859" i="3"/>
  <c r="B1859" i="3"/>
  <c r="C1859" i="3"/>
  <c r="A1860" i="3"/>
  <c r="B1860" i="3"/>
  <c r="C1860" i="3"/>
  <c r="A1861" i="3"/>
  <c r="B1861" i="3"/>
  <c r="C1861" i="3"/>
  <c r="A1862" i="3"/>
  <c r="B1862" i="3"/>
  <c r="C1862" i="3"/>
  <c r="A1863" i="3"/>
  <c r="B1863" i="3"/>
  <c r="C1863" i="3"/>
  <c r="A1864" i="3"/>
  <c r="B1864" i="3"/>
  <c r="C1864" i="3"/>
  <c r="A1865" i="3"/>
  <c r="B1865" i="3"/>
  <c r="C1865" i="3"/>
  <c r="A1866" i="3"/>
  <c r="B1866" i="3"/>
  <c r="C1866" i="3"/>
  <c r="A1867" i="3"/>
  <c r="B1867" i="3"/>
  <c r="C1867" i="3"/>
  <c r="A1868" i="3"/>
  <c r="B1868" i="3"/>
  <c r="C1868" i="3"/>
  <c r="A1869" i="3"/>
  <c r="B1869" i="3"/>
  <c r="C1869" i="3"/>
  <c r="A1870" i="3"/>
  <c r="B1870" i="3"/>
  <c r="C1870" i="3"/>
  <c r="A1871" i="3"/>
  <c r="B1871" i="3"/>
  <c r="C1871" i="3"/>
  <c r="A1872" i="3"/>
  <c r="B1872" i="3"/>
  <c r="C1872" i="3"/>
  <c r="A1873" i="3"/>
  <c r="B1873" i="3"/>
  <c r="C1873" i="3"/>
  <c r="A1874" i="3"/>
  <c r="B1874" i="3"/>
  <c r="C1874" i="3"/>
  <c r="A1875" i="3"/>
  <c r="B1875" i="3"/>
  <c r="C1875" i="3"/>
  <c r="A1876" i="3"/>
  <c r="B1876" i="3"/>
  <c r="C1876" i="3"/>
  <c r="A1877" i="3"/>
  <c r="B1877" i="3"/>
  <c r="C1877" i="3"/>
  <c r="A1878" i="3"/>
  <c r="B1878" i="3"/>
  <c r="C1878" i="3"/>
  <c r="A1879" i="3"/>
  <c r="B1879" i="3"/>
  <c r="C1879" i="3"/>
  <c r="A1880" i="3"/>
  <c r="B1880" i="3"/>
  <c r="C1880" i="3"/>
  <c r="A1881" i="3"/>
  <c r="B1881" i="3"/>
  <c r="C1881" i="3"/>
  <c r="A1882" i="3"/>
  <c r="B1882" i="3"/>
  <c r="C1882" i="3"/>
  <c r="A1883" i="3"/>
  <c r="B1883" i="3"/>
  <c r="C1883" i="3"/>
  <c r="A1884" i="3"/>
  <c r="B1884" i="3"/>
  <c r="C1884" i="3"/>
  <c r="A1885" i="3"/>
  <c r="B1885" i="3"/>
  <c r="C1885" i="3"/>
  <c r="A1886" i="3"/>
  <c r="B1886" i="3"/>
  <c r="C1886" i="3"/>
  <c r="A1887" i="3"/>
  <c r="B1887" i="3"/>
  <c r="C1887" i="3"/>
  <c r="A1888" i="3"/>
  <c r="B1888" i="3"/>
  <c r="C1888" i="3"/>
  <c r="A1889" i="3"/>
  <c r="B1889" i="3"/>
  <c r="C1889" i="3"/>
  <c r="A1890" i="3"/>
  <c r="B1890" i="3"/>
  <c r="C1890" i="3"/>
  <c r="A1891" i="3"/>
  <c r="B1891" i="3"/>
  <c r="C1891" i="3"/>
  <c r="A1892" i="3"/>
  <c r="B1892" i="3"/>
  <c r="C1892" i="3"/>
  <c r="A1893" i="3"/>
  <c r="B1893" i="3"/>
  <c r="C1893" i="3"/>
  <c r="A1894" i="3"/>
  <c r="B1894" i="3"/>
  <c r="C1894" i="3"/>
  <c r="A1895" i="3"/>
  <c r="B1895" i="3"/>
  <c r="C1895" i="3"/>
  <c r="A1896" i="3"/>
  <c r="B1896" i="3"/>
  <c r="C1896" i="3"/>
  <c r="A1897" i="3"/>
  <c r="B1897" i="3"/>
  <c r="C1897" i="3"/>
  <c r="A1898" i="3"/>
  <c r="B1898" i="3"/>
  <c r="C1898" i="3"/>
  <c r="A1899" i="3"/>
  <c r="B1899" i="3"/>
  <c r="C1899" i="3"/>
  <c r="A1900" i="3"/>
  <c r="B1900" i="3"/>
  <c r="C1900" i="3"/>
  <c r="A1901" i="3"/>
  <c r="B1901" i="3"/>
  <c r="C1901" i="3"/>
  <c r="A1902" i="3"/>
  <c r="B1902" i="3"/>
  <c r="C1902" i="3"/>
  <c r="A1903" i="3"/>
  <c r="B1903" i="3"/>
  <c r="C1903" i="3"/>
  <c r="A1904" i="3"/>
  <c r="B1904" i="3"/>
  <c r="C1904" i="3"/>
  <c r="A1905" i="3"/>
  <c r="B1905" i="3"/>
  <c r="C1905" i="3"/>
  <c r="A1906" i="3"/>
  <c r="B1906" i="3"/>
  <c r="C1906" i="3"/>
  <c r="A1907" i="3"/>
  <c r="B1907" i="3"/>
  <c r="C1907" i="3"/>
  <c r="A1908" i="3"/>
  <c r="B1908" i="3"/>
  <c r="C1908" i="3"/>
  <c r="A1909" i="3"/>
  <c r="B1909" i="3"/>
  <c r="C1909" i="3"/>
  <c r="A1910" i="3"/>
  <c r="B1910" i="3"/>
  <c r="C1910" i="3"/>
  <c r="A1911" i="3"/>
  <c r="B1911" i="3"/>
  <c r="C1911" i="3"/>
  <c r="A1912" i="3"/>
  <c r="B1912" i="3"/>
  <c r="C1912" i="3"/>
  <c r="A1913" i="3"/>
  <c r="B1913" i="3"/>
  <c r="C1913" i="3"/>
  <c r="A1914" i="3"/>
  <c r="B1914" i="3"/>
  <c r="C1914" i="3"/>
  <c r="A1915" i="3"/>
  <c r="B1915" i="3"/>
  <c r="C1915" i="3"/>
  <c r="A1916" i="3"/>
  <c r="B1916" i="3"/>
  <c r="C1916" i="3"/>
  <c r="A1917" i="3"/>
  <c r="B1917" i="3"/>
  <c r="C1917" i="3"/>
  <c r="A1918" i="3"/>
  <c r="B1918" i="3"/>
  <c r="C1918" i="3"/>
  <c r="A1919" i="3"/>
  <c r="B1919" i="3"/>
  <c r="C1919" i="3"/>
  <c r="A1920" i="3"/>
  <c r="B1920" i="3"/>
  <c r="C1920" i="3"/>
  <c r="A1921" i="3"/>
  <c r="B1921" i="3"/>
  <c r="C1921" i="3"/>
  <c r="A1922" i="3"/>
  <c r="B1922" i="3"/>
  <c r="C1922" i="3"/>
  <c r="A1923" i="3"/>
  <c r="B1923" i="3"/>
  <c r="C1923" i="3"/>
  <c r="A1924" i="3"/>
  <c r="B1924" i="3"/>
  <c r="C1924" i="3"/>
  <c r="A1925" i="3"/>
  <c r="B1925" i="3"/>
  <c r="C1925" i="3"/>
  <c r="A1926" i="3"/>
  <c r="B1926" i="3"/>
  <c r="C1926" i="3"/>
  <c r="A1927" i="3"/>
  <c r="B1927" i="3"/>
  <c r="C1927" i="3"/>
  <c r="A1928" i="3"/>
  <c r="B1928" i="3"/>
  <c r="C1928" i="3"/>
  <c r="A1929" i="3"/>
  <c r="B1929" i="3"/>
  <c r="C1929" i="3"/>
  <c r="A1930" i="3"/>
  <c r="B1930" i="3"/>
  <c r="C1930" i="3"/>
  <c r="A1931" i="3"/>
  <c r="B1931" i="3"/>
  <c r="C1931" i="3"/>
  <c r="A1932" i="3"/>
  <c r="B1932" i="3"/>
  <c r="C1932" i="3"/>
  <c r="A1933" i="3"/>
  <c r="B1933" i="3"/>
  <c r="C1933" i="3"/>
  <c r="A1934" i="3"/>
  <c r="B1934" i="3"/>
  <c r="C1934" i="3"/>
  <c r="A1935" i="3"/>
  <c r="B1935" i="3"/>
  <c r="C1935" i="3"/>
  <c r="A1936" i="3"/>
  <c r="B1936" i="3"/>
  <c r="C1936" i="3"/>
  <c r="A1937" i="3"/>
  <c r="B1937" i="3"/>
  <c r="C1937" i="3"/>
  <c r="A1938" i="3"/>
  <c r="B1938" i="3"/>
  <c r="C1938" i="3"/>
  <c r="A1939" i="3"/>
  <c r="B1939" i="3"/>
  <c r="C1939" i="3"/>
  <c r="A1940" i="3"/>
  <c r="B1940" i="3"/>
  <c r="C1940" i="3"/>
  <c r="A1941" i="3"/>
  <c r="B1941" i="3"/>
  <c r="C1941" i="3"/>
  <c r="A1942" i="3"/>
  <c r="B1942" i="3"/>
  <c r="C1942" i="3"/>
  <c r="A1943" i="3"/>
  <c r="B1943" i="3"/>
  <c r="C1943" i="3"/>
  <c r="A1944" i="3"/>
  <c r="B1944" i="3"/>
  <c r="C1944" i="3"/>
  <c r="A1945" i="3"/>
  <c r="B1945" i="3"/>
  <c r="C1945" i="3"/>
  <c r="A1946" i="3"/>
  <c r="B1946" i="3"/>
  <c r="C1946" i="3"/>
  <c r="A1947" i="3"/>
  <c r="B1947" i="3"/>
  <c r="C1947" i="3"/>
  <c r="A1948" i="3"/>
  <c r="B1948" i="3"/>
  <c r="C1948" i="3"/>
  <c r="A1949" i="3"/>
  <c r="B1949" i="3"/>
  <c r="C1949" i="3"/>
  <c r="A1950" i="3"/>
  <c r="B1950" i="3"/>
  <c r="C1950" i="3"/>
  <c r="A1951" i="3"/>
  <c r="B1951" i="3"/>
  <c r="C1951" i="3"/>
  <c r="A1952" i="3"/>
  <c r="B1952" i="3"/>
  <c r="C1952" i="3"/>
  <c r="A1953" i="3"/>
  <c r="B1953" i="3"/>
  <c r="C1953" i="3"/>
  <c r="A1954" i="3"/>
  <c r="B1954" i="3"/>
  <c r="C1954" i="3"/>
  <c r="A1955" i="3"/>
  <c r="B1955" i="3"/>
  <c r="C1955" i="3"/>
  <c r="A1956" i="3"/>
  <c r="B1956" i="3"/>
  <c r="C1956" i="3"/>
  <c r="A1957" i="3"/>
  <c r="B1957" i="3"/>
  <c r="C1957" i="3"/>
  <c r="A1958" i="3"/>
  <c r="B1958" i="3"/>
  <c r="C1958" i="3"/>
  <c r="A1959" i="3"/>
  <c r="B1959" i="3"/>
  <c r="C1959" i="3"/>
  <c r="A1960" i="3"/>
  <c r="B1960" i="3"/>
  <c r="C1960" i="3"/>
  <c r="A1961" i="3"/>
  <c r="B1961" i="3"/>
  <c r="C1961" i="3"/>
  <c r="A1962" i="3"/>
  <c r="B1962" i="3"/>
  <c r="C1962" i="3"/>
  <c r="A1963" i="3"/>
  <c r="B1963" i="3"/>
  <c r="C1963" i="3"/>
  <c r="A1964" i="3"/>
  <c r="B1964" i="3"/>
  <c r="C1964" i="3"/>
  <c r="A1965" i="3"/>
  <c r="B1965" i="3"/>
  <c r="C1965" i="3"/>
  <c r="A1966" i="3"/>
  <c r="B1966" i="3"/>
  <c r="C1966" i="3"/>
  <c r="A1967" i="3"/>
  <c r="B1967" i="3"/>
  <c r="C1967" i="3"/>
  <c r="A1968" i="3"/>
  <c r="B1968" i="3"/>
  <c r="C1968" i="3"/>
  <c r="A1969" i="3"/>
  <c r="B1969" i="3"/>
  <c r="C1969" i="3"/>
  <c r="A1970" i="3"/>
  <c r="B1970" i="3"/>
  <c r="C1970" i="3"/>
  <c r="A1971" i="3"/>
  <c r="B1971" i="3"/>
  <c r="C1971" i="3"/>
  <c r="A1972" i="3"/>
  <c r="B1972" i="3"/>
  <c r="C1972" i="3"/>
  <c r="A1973" i="3"/>
  <c r="B1973" i="3"/>
  <c r="C1973" i="3"/>
  <c r="A1974" i="3"/>
  <c r="B1974" i="3"/>
  <c r="C1974" i="3"/>
  <c r="A1975" i="3"/>
  <c r="B1975" i="3"/>
  <c r="C1975" i="3"/>
  <c r="A1976" i="3"/>
  <c r="B1976" i="3"/>
  <c r="C1976" i="3"/>
  <c r="A1977" i="3"/>
  <c r="B1977" i="3"/>
  <c r="C1977" i="3"/>
  <c r="A1978" i="3"/>
  <c r="B1978" i="3"/>
  <c r="C1978" i="3"/>
  <c r="A1979" i="3"/>
  <c r="B1979" i="3"/>
  <c r="C1979" i="3"/>
  <c r="A1980" i="3"/>
  <c r="B1980" i="3"/>
  <c r="C1980" i="3"/>
  <c r="A1981" i="3"/>
  <c r="B1981" i="3"/>
  <c r="C1981" i="3"/>
  <c r="A1982" i="3"/>
  <c r="B1982" i="3"/>
  <c r="C1982" i="3"/>
  <c r="A1983" i="3"/>
  <c r="B1983" i="3"/>
  <c r="C1983" i="3"/>
  <c r="A1984" i="3"/>
  <c r="B1984" i="3"/>
  <c r="C1984" i="3"/>
  <c r="A1985" i="3"/>
  <c r="B1985" i="3"/>
  <c r="C1985" i="3"/>
  <c r="A1986" i="3"/>
  <c r="B1986" i="3"/>
  <c r="C1986" i="3"/>
  <c r="A1987" i="3"/>
  <c r="B1987" i="3"/>
  <c r="C1987" i="3"/>
  <c r="A1988" i="3"/>
  <c r="B1988" i="3"/>
  <c r="C1988" i="3"/>
  <c r="A1989" i="3"/>
  <c r="B1989" i="3"/>
  <c r="C1989" i="3"/>
  <c r="A1990" i="3"/>
  <c r="B1990" i="3"/>
  <c r="C1990" i="3"/>
  <c r="A1991" i="3"/>
  <c r="B1991" i="3"/>
  <c r="C1991" i="3"/>
  <c r="A1992" i="3"/>
  <c r="B1992" i="3"/>
  <c r="C1992" i="3"/>
  <c r="A1993" i="3"/>
  <c r="B1993" i="3"/>
  <c r="C1993" i="3"/>
  <c r="A1994" i="3"/>
  <c r="B1994" i="3"/>
  <c r="C1994" i="3"/>
  <c r="A1995" i="3"/>
  <c r="B1995" i="3"/>
  <c r="C1995" i="3"/>
  <c r="A1996" i="3"/>
  <c r="B1996" i="3"/>
  <c r="C1996" i="3"/>
  <c r="A1997" i="3"/>
  <c r="B1997" i="3"/>
  <c r="C1997" i="3"/>
  <c r="A1998" i="3"/>
  <c r="B1998" i="3"/>
  <c r="C1998" i="3"/>
  <c r="A1999" i="3"/>
  <c r="B1999" i="3"/>
  <c r="C1999" i="3"/>
  <c r="A2000" i="3"/>
  <c r="B2000" i="3"/>
  <c r="C2000" i="3"/>
  <c r="A2001" i="3"/>
  <c r="B2001" i="3"/>
  <c r="C2001" i="3"/>
  <c r="F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2" i="3"/>
  <c r="J32" i="1"/>
  <c r="J23" i="1"/>
  <c r="J14" i="1"/>
  <c r="J17" i="1"/>
  <c r="J27" i="1"/>
  <c r="J9" i="1"/>
  <c r="J18" i="1"/>
  <c r="J47" i="1"/>
  <c r="J71" i="1"/>
  <c r="J49" i="1"/>
  <c r="J79" i="1"/>
  <c r="J41" i="1"/>
  <c r="J87" i="1"/>
  <c r="J60" i="1"/>
  <c r="J43" i="1"/>
  <c r="J45" i="1"/>
  <c r="J96" i="1"/>
  <c r="J98" i="1"/>
  <c r="J54" i="1"/>
  <c r="J102" i="1"/>
  <c r="J111" i="1"/>
  <c r="J129" i="1"/>
  <c r="J138" i="1"/>
  <c r="J105" i="1"/>
  <c r="J132" i="1"/>
  <c r="J141" i="1"/>
  <c r="J123" i="1"/>
  <c r="J117" i="1"/>
  <c r="J135" i="1"/>
  <c r="J144" i="1"/>
  <c r="J126" i="1"/>
  <c r="J165" i="1"/>
  <c r="J184" i="1"/>
  <c r="J157" i="1"/>
  <c r="J177" i="1"/>
  <c r="J168" i="1"/>
  <c r="J187" i="1"/>
  <c r="J160" i="1"/>
  <c r="J151" i="1"/>
  <c r="J204" i="1"/>
  <c r="J205" i="1"/>
  <c r="J237" i="1"/>
  <c r="J253" i="1"/>
  <c r="J193" i="1"/>
  <c r="J210" i="1"/>
  <c r="J211" i="1"/>
  <c r="J241" i="1"/>
  <c r="J255" i="1"/>
  <c r="J217" i="1"/>
  <c r="J245" i="1"/>
  <c r="J257" i="1"/>
  <c r="J222" i="1"/>
  <c r="J223" i="1"/>
  <c r="J249" i="1"/>
  <c r="J259" i="1"/>
  <c r="J262" i="1"/>
  <c r="J271" i="1"/>
  <c r="J280" i="1"/>
  <c r="J290" i="1"/>
  <c r="J263" i="1"/>
  <c r="J275" i="1"/>
  <c r="J284" i="1"/>
  <c r="J294" i="1"/>
  <c r="J267" i="1"/>
  <c r="J315" i="1"/>
  <c r="J349" i="1"/>
  <c r="J342" i="1"/>
  <c r="J334" i="1"/>
  <c r="J317" i="1"/>
  <c r="J351" i="1"/>
  <c r="J344" i="1"/>
  <c r="J336" i="1"/>
  <c r="J319" i="1"/>
  <c r="J353" i="1"/>
  <c r="J302" i="1"/>
  <c r="J346" i="1"/>
  <c r="J321" i="1"/>
  <c r="J304" i="1"/>
  <c r="J421" i="1"/>
  <c r="J430" i="1"/>
  <c r="J380" i="1"/>
  <c r="J383" i="1"/>
  <c r="J432" i="1"/>
  <c r="J384" i="1"/>
  <c r="J410" i="1"/>
  <c r="J425" i="1"/>
  <c r="J387" i="1"/>
  <c r="J434" i="1"/>
  <c r="J388" i="1"/>
  <c r="J414" i="1"/>
  <c r="J427" i="1"/>
  <c r="J391" i="1"/>
  <c r="J436" i="1"/>
  <c r="J392" i="1"/>
  <c r="J418" i="1"/>
  <c r="J467" i="1"/>
  <c r="J438" i="1"/>
  <c r="J450" i="1"/>
  <c r="J451" i="1"/>
  <c r="J468" i="1"/>
  <c r="J441" i="1"/>
  <c r="J456" i="1"/>
  <c r="J457" i="1"/>
  <c r="J475" i="1"/>
  <c r="J462" i="1"/>
  <c r="J480" i="1"/>
  <c r="J481" i="1"/>
  <c r="J445" i="1"/>
  <c r="J512" i="1"/>
  <c r="J485" i="1"/>
  <c r="J498" i="1"/>
  <c r="J505" i="1"/>
  <c r="J516" i="1"/>
  <c r="J489" i="1"/>
  <c r="J506" i="1"/>
  <c r="J580" i="1"/>
  <c r="J590" i="1"/>
  <c r="J564" i="1"/>
  <c r="J555" i="1"/>
  <c r="J528" i="1"/>
  <c r="J546" i="1"/>
  <c r="J583" i="1"/>
  <c r="J597" i="1"/>
  <c r="J539" i="1"/>
  <c r="J558" i="1"/>
  <c r="J549" i="1"/>
  <c r="J576" i="1"/>
  <c r="J523" i="1"/>
  <c r="J602" i="1"/>
  <c r="J603" i="1"/>
  <c r="J542" i="1"/>
  <c r="J569" i="1"/>
  <c r="J560" i="1"/>
  <c r="J552" i="1"/>
  <c r="J680" i="1"/>
  <c r="J653" i="1"/>
  <c r="J669" i="1"/>
  <c r="J607" i="1"/>
  <c r="J643" i="1"/>
  <c r="J623" i="1"/>
  <c r="J624" i="1"/>
  <c r="J683" i="1"/>
  <c r="J656" i="1"/>
  <c r="J685" i="1"/>
  <c r="J686" i="1"/>
  <c r="J659" i="1"/>
  <c r="J699" i="1"/>
  <c r="J672" i="1"/>
  <c r="J700" i="1"/>
  <c r="J632" i="1"/>
  <c r="J633" i="1"/>
  <c r="J689" i="1"/>
  <c r="J636" i="1"/>
  <c r="J637" i="1"/>
  <c r="J692" i="1"/>
  <c r="J665" i="1"/>
  <c r="J667" i="1"/>
  <c r="J614" i="1"/>
  <c r="J649" i="1"/>
  <c r="J716" i="1"/>
  <c r="J795" i="1"/>
  <c r="J717" i="1"/>
  <c r="J741" i="1"/>
  <c r="J752" i="1"/>
  <c r="J720" i="1"/>
  <c r="J742" i="1"/>
  <c r="J721" i="1"/>
  <c r="J813" i="1"/>
  <c r="J799" i="1"/>
  <c r="J724" i="1"/>
  <c r="J814" i="1"/>
  <c r="J775" i="1"/>
  <c r="J776" i="1"/>
  <c r="J778" i="1"/>
  <c r="J779" i="1"/>
  <c r="J824" i="1"/>
  <c r="J802" i="1"/>
  <c r="J825" i="1"/>
  <c r="J804" i="1"/>
  <c r="J709" i="1"/>
  <c r="J759" i="1"/>
  <c r="J710" i="1"/>
  <c r="J786" i="1"/>
  <c r="J762" i="1"/>
  <c r="J789" i="1"/>
  <c r="J764" i="1"/>
  <c r="J737" i="1"/>
  <c r="J809" i="1"/>
  <c r="J830" i="1"/>
  <c r="J848" i="1"/>
  <c r="J843" i="1"/>
  <c r="J835" i="1"/>
  <c r="J853" i="1"/>
  <c r="J844" i="1"/>
  <c r="J859" i="1"/>
  <c r="J876" i="1"/>
  <c r="J860" i="1"/>
  <c r="J861" i="1"/>
  <c r="J877" i="1"/>
  <c r="J868" i="1"/>
  <c r="J870" i="1"/>
  <c r="J871" i="1"/>
  <c r="J882" i="1"/>
  <c r="J872" i="1"/>
  <c r="J955" i="1"/>
  <c r="J901" i="1"/>
  <c r="J937" i="1"/>
  <c r="J958" i="1"/>
  <c r="J923" i="1"/>
  <c r="J894" i="1"/>
  <c r="J912" i="1"/>
  <c r="J913" i="1"/>
  <c r="J904" i="1"/>
  <c r="J943" i="1"/>
  <c r="J887" i="1"/>
  <c r="J944" i="1"/>
  <c r="J946" i="1"/>
  <c r="J897" i="1"/>
  <c r="J915" i="1"/>
  <c r="J965" i="1"/>
  <c r="J930" i="1"/>
  <c r="J949" i="1"/>
  <c r="J890" i="1"/>
  <c r="J950" i="1"/>
  <c r="J968" i="1"/>
  <c r="J933" i="1"/>
  <c r="J973" i="1"/>
  <c r="J974" i="1"/>
  <c r="J975" i="1"/>
  <c r="J976" i="1"/>
  <c r="J977" i="1"/>
  <c r="J999" i="1"/>
  <c r="J1019" i="1"/>
  <c r="J1045" i="1"/>
  <c r="J982" i="1"/>
  <c r="J984" i="1"/>
  <c r="J1049" i="1"/>
  <c r="J1050" i="1"/>
  <c r="J985" i="1"/>
  <c r="J1009" i="1"/>
  <c r="J1024" i="1"/>
  <c r="J1027" i="1"/>
  <c r="J1028" i="1"/>
  <c r="J988" i="1"/>
  <c r="J1029" i="1"/>
  <c r="J1055" i="1"/>
  <c r="J1058" i="1"/>
  <c r="J1012" i="1"/>
  <c r="J1033" i="1"/>
  <c r="J1004" i="1"/>
  <c r="J1034" i="1"/>
  <c r="J1037" i="1"/>
  <c r="J994" i="1"/>
  <c r="J1038" i="1"/>
  <c r="J1064" i="1"/>
  <c r="J1065" i="1"/>
  <c r="J995" i="1"/>
  <c r="J997" i="1"/>
  <c r="J1015" i="1"/>
  <c r="J1115" i="1"/>
  <c r="J1142" i="1"/>
  <c r="J1132" i="1"/>
  <c r="J1099" i="1"/>
  <c r="J1133" i="1"/>
  <c r="J1100" i="1"/>
  <c r="J1118" i="1"/>
  <c r="J1079" i="1"/>
  <c r="J1102" i="1"/>
  <c r="J1120" i="1"/>
  <c r="J1080" i="1"/>
  <c r="J1072" i="1"/>
  <c r="J1147" i="1"/>
  <c r="J1169" i="1"/>
  <c r="J1073" i="1"/>
  <c r="J1149" i="1"/>
  <c r="J1172" i="1"/>
  <c r="J1091" i="1"/>
  <c r="J1173" i="1"/>
  <c r="J1174" i="1"/>
  <c r="J1092" i="1"/>
  <c r="J1177" i="1"/>
  <c r="J1125" i="1"/>
  <c r="J1107" i="1"/>
  <c r="J1152" i="1"/>
  <c r="J1180" i="1"/>
  <c r="J1127" i="1"/>
  <c r="J1109" i="1"/>
  <c r="J1154" i="1"/>
  <c r="J1138" i="1"/>
  <c r="J1110" i="1"/>
  <c r="J1128" i="1"/>
  <c r="J1112" i="1"/>
  <c r="J1130" i="1"/>
  <c r="J1085" i="1"/>
  <c r="J1195" i="1"/>
  <c r="J1211" i="1"/>
  <c r="J1212" i="1"/>
  <c r="J1213" i="1"/>
  <c r="J1219" i="1"/>
  <c r="J1198" i="1"/>
  <c r="J1220" i="1"/>
  <c r="J1221" i="1"/>
  <c r="J1222" i="1"/>
  <c r="J1190" i="1"/>
  <c r="J1192" i="1"/>
  <c r="J1250" i="1"/>
  <c r="J1251" i="1"/>
  <c r="J1277" i="1"/>
  <c r="J1278" i="1"/>
  <c r="J1240" i="1"/>
  <c r="J1268" i="1"/>
  <c r="J1282" i="1"/>
  <c r="J1242" i="1"/>
  <c r="J1234" i="1"/>
  <c r="J1256" i="1"/>
  <c r="J1285" i="1"/>
  <c r="J1286" i="1"/>
  <c r="J1244" i="1"/>
  <c r="J1236" i="1"/>
  <c r="J1260" i="1"/>
  <c r="J1271" i="1"/>
  <c r="J1261" i="1"/>
  <c r="J1320" i="1"/>
  <c r="J1302" i="1"/>
  <c r="J1333" i="1"/>
  <c r="J1312" i="1"/>
  <c r="J1334" i="1"/>
  <c r="J1294" i="1"/>
  <c r="J1321" i="1"/>
  <c r="J1338" i="1"/>
  <c r="J1296" i="1"/>
  <c r="J1305" i="1"/>
  <c r="J1339" i="1"/>
  <c r="J1315" i="1"/>
  <c r="J1340" i="1"/>
  <c r="J1343" i="1"/>
  <c r="J1317" i="1"/>
  <c r="J1344" i="1"/>
  <c r="J1299" i="1"/>
  <c r="J1326" i="1"/>
  <c r="J1308" i="1"/>
  <c r="J1349" i="1"/>
  <c r="J1409" i="1"/>
  <c r="J1384" i="1"/>
  <c r="J1372" i="1"/>
  <c r="J1388" i="1"/>
  <c r="J1353" i="1"/>
  <c r="J1354" i="1"/>
  <c r="J1412" i="1"/>
  <c r="J1389" i="1"/>
  <c r="J1358" i="1"/>
  <c r="J1415" i="1"/>
  <c r="J1393" i="1"/>
  <c r="J1375" i="1"/>
  <c r="J1428" i="1"/>
  <c r="J1394" i="1"/>
  <c r="J1363" i="1"/>
  <c r="J1398" i="1"/>
  <c r="J1364" i="1"/>
  <c r="J1419" i="1"/>
  <c r="J1421" i="1"/>
  <c r="J1402" i="1"/>
  <c r="J1378" i="1"/>
  <c r="J1431" i="1"/>
  <c r="J1403" i="1"/>
  <c r="J1368" i="1"/>
  <c r="J1473" i="1"/>
  <c r="J1515" i="1"/>
  <c r="J1474" i="1"/>
  <c r="J1533" i="1"/>
  <c r="J1504" i="1"/>
  <c r="J1452" i="1"/>
  <c r="J1549" i="1"/>
  <c r="J1535" i="1"/>
  <c r="J1505" i="1"/>
  <c r="J1454" i="1"/>
  <c r="J1550" i="1"/>
  <c r="J1443" i="1"/>
  <c r="J1435" i="1"/>
  <c r="J1506" i="1"/>
  <c r="J1456" i="1"/>
  <c r="J1551" i="1"/>
  <c r="J1444" i="1"/>
  <c r="J1436" i="1"/>
  <c r="J1457" i="1"/>
  <c r="J1483" i="1"/>
  <c r="J1552" i="1"/>
  <c r="J1445" i="1"/>
  <c r="J1459" i="1"/>
  <c r="J1487" i="1"/>
  <c r="J1522" i="1"/>
  <c r="J1488" i="1"/>
  <c r="J1438" i="1"/>
  <c r="J1461" i="1"/>
  <c r="J1491" i="1"/>
  <c r="J1524" i="1"/>
  <c r="J1492" i="1"/>
  <c r="J1542" i="1"/>
  <c r="J1493" i="1"/>
  <c r="J1526" i="1"/>
  <c r="J1496" i="1"/>
  <c r="J1544" i="1"/>
  <c r="J1497" i="1"/>
  <c r="J1527" i="1"/>
  <c r="J1498" i="1"/>
  <c r="J1500" i="1"/>
  <c r="J1529" i="1"/>
  <c r="J1502" i="1"/>
  <c r="J1547" i="1"/>
  <c r="J1511" i="1"/>
  <c r="J1561" i="1"/>
  <c r="J1637" i="1"/>
  <c r="J1604" i="1"/>
  <c r="J1565" i="1"/>
  <c r="J1566" i="1"/>
  <c r="J1567" i="1"/>
  <c r="J1594" i="1"/>
  <c r="J1655" i="1"/>
  <c r="J1571" i="1"/>
  <c r="J1595" i="1"/>
  <c r="J1656" i="1"/>
  <c r="J1607" i="1"/>
  <c r="J1624" i="1"/>
  <c r="J1625" i="1"/>
  <c r="J1647" i="1"/>
  <c r="J1626" i="1"/>
  <c r="J1648" i="1"/>
  <c r="J1576" i="1"/>
  <c r="J1640" i="1"/>
  <c r="J1610" i="1"/>
  <c r="J1577" i="1"/>
  <c r="J1641" i="1"/>
  <c r="J1581" i="1"/>
  <c r="J1582" i="1"/>
  <c r="J1583" i="1"/>
  <c r="J1598" i="1"/>
  <c r="J1659" i="1"/>
  <c r="J1587" i="1"/>
  <c r="J1599" i="1"/>
  <c r="J1660" i="1"/>
  <c r="J1615" i="1"/>
  <c r="J1632" i="1"/>
  <c r="J1633" i="1"/>
  <c r="J1651" i="1"/>
  <c r="J1634" i="1"/>
  <c r="J1635" i="1"/>
  <c r="J1652" i="1"/>
  <c r="J1715" i="1"/>
  <c r="J1680" i="1"/>
  <c r="J1672" i="1"/>
  <c r="J1698" i="1"/>
  <c r="J1734" i="1"/>
  <c r="J1664" i="1"/>
  <c r="J1708" i="1"/>
  <c r="J1717" i="1"/>
  <c r="J1682" i="1"/>
  <c r="J1691" i="1"/>
  <c r="J1674" i="1"/>
  <c r="J1700" i="1"/>
  <c r="J1737" i="1"/>
  <c r="J1710" i="1"/>
  <c r="J1719" i="1"/>
  <c r="J1684" i="1"/>
  <c r="J1693" i="1"/>
  <c r="J1703" i="1"/>
  <c r="J1739" i="1"/>
  <c r="J1669" i="1"/>
  <c r="J1730" i="1"/>
  <c r="J1712" i="1"/>
  <c r="J1721" i="1"/>
  <c r="J1678" i="1"/>
  <c r="J1740" i="1"/>
  <c r="J1687" i="1"/>
  <c r="J1696" i="1"/>
  <c r="J1829" i="1"/>
  <c r="J1811" i="1"/>
  <c r="J1750" i="1"/>
  <c r="J1777" i="1"/>
  <c r="J1803" i="1"/>
  <c r="J1789" i="1"/>
  <c r="J1778" i="1"/>
  <c r="J1804" i="1"/>
  <c r="J1743" i="1"/>
  <c r="J1790" i="1"/>
  <c r="J1791" i="1"/>
  <c r="J1822" i="1"/>
  <c r="J1770" i="1"/>
  <c r="J1823" i="1"/>
  <c r="J1771" i="1"/>
  <c r="J1832" i="1"/>
  <c r="J1762" i="1"/>
  <c r="J1814" i="1"/>
  <c r="J1753" i="1"/>
  <c r="J1780" i="1"/>
  <c r="J1794" i="1"/>
  <c r="J1781" i="1"/>
  <c r="J1807" i="1"/>
  <c r="J1746" i="1"/>
  <c r="J1796" i="1"/>
  <c r="J1797" i="1"/>
  <c r="J1825" i="1"/>
  <c r="J1755" i="1"/>
  <c r="J1799" i="1"/>
  <c r="J1826" i="1"/>
  <c r="J1774" i="1"/>
  <c r="J1835" i="1"/>
  <c r="J1765" i="1"/>
  <c r="J1817" i="1"/>
  <c r="J1756" i="1"/>
  <c r="J1818" i="1"/>
  <c r="J1757" i="1"/>
  <c r="J1848" i="1"/>
  <c r="J1882" i="1"/>
  <c r="J1874" i="1"/>
  <c r="J1866" i="1"/>
  <c r="J1840" i="1"/>
  <c r="J1858" i="1"/>
  <c r="J1849" i="1"/>
  <c r="J1867" i="1"/>
  <c r="J1842" i="1"/>
  <c r="J1860" i="1"/>
  <c r="J1851" i="1"/>
  <c r="J1885" i="1"/>
  <c r="J1877" i="1"/>
  <c r="J1869" i="1"/>
  <c r="J1843" i="1"/>
  <c r="J1886" i="1"/>
  <c r="J1879" i="1"/>
  <c r="J1871" i="1"/>
  <c r="J1845" i="1"/>
  <c r="J1863" i="1"/>
  <c r="J1854" i="1"/>
  <c r="J1959" i="1"/>
  <c r="J1889" i="1"/>
  <c r="J1898" i="1"/>
  <c r="J1907" i="1"/>
  <c r="J1925" i="1"/>
  <c r="J1926" i="1"/>
  <c r="J1928" i="1"/>
  <c r="J1917" i="1"/>
  <c r="J1946" i="1"/>
  <c r="J1947" i="1"/>
  <c r="J1961" i="1"/>
  <c r="J1891" i="1"/>
  <c r="J1929" i="1"/>
  <c r="J1892" i="1"/>
  <c r="J1910" i="1"/>
  <c r="J1931" i="1"/>
  <c r="J1932" i="1"/>
  <c r="J1971" i="1"/>
  <c r="J1919" i="1"/>
  <c r="J1902" i="1"/>
  <c r="J1920" i="1"/>
  <c r="J1952" i="1"/>
  <c r="J1964" i="1"/>
  <c r="J1894" i="1"/>
  <c r="J1903" i="1"/>
  <c r="J1912" i="1"/>
  <c r="J1936" i="1"/>
  <c r="J1973" i="1"/>
  <c r="J1913" i="1"/>
  <c r="J1937" i="1"/>
  <c r="J1938" i="1"/>
  <c r="J1974" i="1"/>
  <c r="J1922" i="1"/>
  <c r="J1956" i="1"/>
  <c r="J1957" i="1"/>
  <c r="J1896" i="1"/>
  <c r="J1978" i="1"/>
  <c r="J1994" i="1"/>
  <c r="J1979" i="1"/>
  <c r="J1980" i="1"/>
  <c r="J1995" i="1"/>
  <c r="J1981" i="1"/>
  <c r="J1982" i="1"/>
  <c r="J1984" i="1"/>
  <c r="J1985" i="1"/>
  <c r="J1999" i="1"/>
  <c r="J1989" i="1"/>
  <c r="J1990" i="1"/>
  <c r="J2000" i="1"/>
  <c r="J1991" i="1"/>
  <c r="J1992" i="1"/>
  <c r="J2001" i="1"/>
  <c r="J712" i="1"/>
  <c r="J970" i="1"/>
  <c r="J1005" i="1"/>
  <c r="J1068" i="1"/>
  <c r="J1151" i="1"/>
  <c r="J1218" i="1"/>
  <c r="J1228" i="1"/>
  <c r="J1259" i="1"/>
  <c r="J1290" i="1"/>
  <c r="J1314" i="1"/>
  <c r="J1307" i="1"/>
  <c r="J1429" i="1"/>
  <c r="J1367" i="1"/>
  <c r="J1458" i="1"/>
  <c r="J1446" i="1"/>
  <c r="J1463" i="1"/>
  <c r="J1528" i="1"/>
  <c r="J1580" i="1"/>
  <c r="J1617" i="1"/>
  <c r="J1701" i="1"/>
  <c r="J1722" i="1"/>
  <c r="J1793" i="1"/>
  <c r="J1815" i="1"/>
  <c r="J1766" i="1"/>
  <c r="J1857" i="1"/>
  <c r="J1868" i="1"/>
  <c r="J1887" i="1"/>
  <c r="J1962" i="1"/>
  <c r="J355" i="1"/>
  <c r="J1369" i="1"/>
  <c r="J1939" i="1"/>
  <c r="J1066" i="1"/>
  <c r="J1943" i="1"/>
  <c r="J26" i="1"/>
  <c r="J128" i="1"/>
  <c r="J125" i="1"/>
  <c r="J183" i="1"/>
  <c r="J159" i="1"/>
  <c r="J153" i="1"/>
  <c r="J225" i="1"/>
  <c r="J227" i="1"/>
  <c r="J229" i="1"/>
  <c r="J231" i="1"/>
  <c r="J279" i="1"/>
  <c r="J283" i="1"/>
  <c r="J307" i="1"/>
  <c r="J309" i="1"/>
  <c r="J311" i="1"/>
  <c r="J313" i="1"/>
  <c r="J367" i="1"/>
  <c r="J369" i="1"/>
  <c r="J371" i="1"/>
  <c r="J373" i="1"/>
  <c r="J449" i="1"/>
  <c r="J472" i="1"/>
  <c r="J511" i="1"/>
  <c r="J515" i="1"/>
  <c r="J592" i="1"/>
  <c r="J540" i="1"/>
  <c r="J524" i="1"/>
  <c r="J561" i="1"/>
  <c r="J652" i="1"/>
  <c r="J670" i="1"/>
  <c r="J744" i="1"/>
  <c r="J785" i="1"/>
  <c r="J808" i="1"/>
  <c r="J765" i="1"/>
  <c r="J842" i="1"/>
  <c r="J875" i="1"/>
  <c r="J939" i="1"/>
  <c r="J932" i="1"/>
  <c r="J993" i="1"/>
  <c r="J1117" i="1"/>
  <c r="J1134" i="1"/>
  <c r="J1081" i="1"/>
  <c r="J1175" i="1"/>
  <c r="J1156" i="1"/>
  <c r="J1209" i="1"/>
  <c r="J1231" i="1"/>
  <c r="J1235" i="1"/>
  <c r="J1348" i="1"/>
  <c r="J1373" i="1"/>
  <c r="J1397" i="1"/>
  <c r="J1478" i="1"/>
  <c r="J1495" i="1"/>
  <c r="J1586" i="1"/>
  <c r="J1589" i="1"/>
  <c r="J1726" i="1"/>
  <c r="J1677" i="1"/>
  <c r="J1704" i="1"/>
  <c r="J1768" i="1"/>
  <c r="J1754" i="1"/>
  <c r="J1816" i="1"/>
  <c r="J1827" i="1"/>
  <c r="J1850" i="1"/>
  <c r="J1878" i="1"/>
  <c r="J1844" i="1"/>
  <c r="J1914" i="1"/>
  <c r="K12" i="2"/>
  <c r="D28" i="2"/>
  <c r="J792" i="1"/>
  <c r="J1449" i="1"/>
  <c r="J63" i="1"/>
  <c r="J401" i="1"/>
  <c r="J99" i="1"/>
  <c r="J374" i="1"/>
  <c r="J331" i="1"/>
  <c r="J286" i="1"/>
  <c r="J810" i="1"/>
  <c r="J171" i="1"/>
  <c r="J419" i="1"/>
  <c r="J952" i="1"/>
  <c r="J891" i="1"/>
  <c r="J951" i="1"/>
  <c r="J828" i="1"/>
  <c r="J232" i="1"/>
  <c r="J908" i="1"/>
  <c r="J250" i="1"/>
  <c r="J19" i="1"/>
  <c r="J676" i="1"/>
  <c r="J534" i="1"/>
  <c r="J1556" i="1"/>
  <c r="J1661" i="1"/>
  <c r="J1713" i="1"/>
  <c r="J1432" i="1"/>
  <c r="J934" i="1"/>
  <c r="J846" i="1"/>
  <c r="J1836" i="1"/>
  <c r="J277" i="1"/>
  <c r="J1731" i="1"/>
  <c r="J855" i="1"/>
  <c r="J10" i="1"/>
  <c r="J1775" i="1"/>
  <c r="J1201" i="1"/>
  <c r="J180" i="1"/>
  <c r="J1139" i="1"/>
  <c r="J1600" i="1"/>
  <c r="J508" i="1"/>
  <c r="J1466" i="1"/>
  <c r="J365" i="1"/>
  <c r="J356" i="1"/>
  <c r="J791" i="1"/>
  <c r="J162" i="1"/>
  <c r="J1379" i="1"/>
  <c r="J1670" i="1"/>
  <c r="J979" i="1"/>
  <c r="J969" i="1"/>
  <c r="J490" i="1"/>
  <c r="J517" i="1"/>
  <c r="J1111" i="1"/>
  <c r="J570" i="1"/>
  <c r="J1905" i="1"/>
  <c r="J790" i="1"/>
  <c r="J507" i="1"/>
  <c r="J819" i="1"/>
  <c r="J1289" i="1"/>
  <c r="J739" i="1"/>
  <c r="J1591" i="1"/>
  <c r="J917" i="1"/>
  <c r="J322" i="1"/>
  <c r="J1129" i="1"/>
  <c r="J1590" i="1"/>
  <c r="J703" i="1"/>
  <c r="J837" i="1"/>
  <c r="J748" i="1"/>
  <c r="J268" i="1"/>
  <c r="J1966" i="1"/>
  <c r="J738" i="1"/>
  <c r="J694" i="1"/>
  <c r="J1405" i="1"/>
  <c r="J1423" i="1"/>
  <c r="J873" i="1"/>
  <c r="J1183" i="1"/>
  <c r="J1227" i="1"/>
  <c r="J1182" i="1"/>
  <c r="J1067" i="1"/>
  <c r="J97" i="1"/>
  <c r="J463" i="1"/>
  <c r="J1370" i="1"/>
  <c r="J1263" i="1"/>
  <c r="J1501" i="1"/>
  <c r="J1801" i="1"/>
  <c r="J640" i="1"/>
  <c r="J1041" i="1"/>
  <c r="J1272" i="1"/>
  <c r="J28" i="1"/>
  <c r="J189" i="1"/>
  <c r="J543" i="1"/>
  <c r="J1094" i="1"/>
  <c r="J605" i="1"/>
  <c r="J604" i="1"/>
  <c r="J108" i="1"/>
  <c r="J587" i="1"/>
  <c r="J1546" i="1"/>
  <c r="J996" i="1"/>
  <c r="J666" i="1"/>
  <c r="J693" i="1"/>
  <c r="J1404" i="1"/>
  <c r="J1422" i="1"/>
  <c r="J1226" i="1"/>
  <c r="J1181" i="1"/>
  <c r="J1262" i="1"/>
  <c r="J1499" i="1"/>
  <c r="J1800" i="1"/>
  <c r="J639" i="1"/>
  <c r="J1040" i="1"/>
  <c r="J1006" i="1"/>
  <c r="J1237" i="1"/>
  <c r="J37" i="1"/>
  <c r="J295" i="1"/>
  <c r="J197" i="1"/>
  <c r="J1748" i="1"/>
  <c r="J1616" i="1"/>
  <c r="J1245" i="1"/>
  <c r="J1465" i="1"/>
  <c r="J638" i="1"/>
  <c r="J1440" i="1"/>
  <c r="J1039" i="1"/>
  <c r="J1643" i="1"/>
  <c r="J1155" i="1"/>
  <c r="J221" i="1"/>
  <c r="J339" i="1"/>
  <c r="J347" i="1"/>
  <c r="J899" i="1"/>
  <c r="J1588" i="1"/>
  <c r="J525" i="1"/>
  <c r="J1809" i="1"/>
  <c r="J578" i="1"/>
  <c r="J1783" i="1"/>
  <c r="J1076" i="1"/>
  <c r="J1448" i="1"/>
  <c r="J62" i="1"/>
  <c r="J763" i="1"/>
  <c r="J711" i="1"/>
  <c r="J444" i="1"/>
  <c r="J303" i="1"/>
  <c r="J400" i="1"/>
  <c r="J1084" i="1"/>
  <c r="J95" i="1"/>
  <c r="J1695" i="1"/>
  <c r="J648" i="1"/>
  <c r="J330" i="1"/>
  <c r="J285" i="1"/>
  <c r="J1014" i="1"/>
  <c r="J170" i="1"/>
  <c r="J417" i="1"/>
  <c r="J312" i="1"/>
  <c r="J416" i="1"/>
  <c r="J827" i="1"/>
  <c r="J1853" i="1"/>
  <c r="J1686" i="1"/>
  <c r="J551" i="1"/>
  <c r="J907" i="1"/>
  <c r="J248" i="1"/>
  <c r="J479" i="1"/>
  <c r="J613" i="1"/>
  <c r="J1325" i="1"/>
  <c r="J390" i="1"/>
  <c r="J675" i="1"/>
  <c r="J533" i="1"/>
  <c r="J1555" i="1"/>
  <c r="J258" i="1"/>
  <c r="J845" i="1"/>
  <c r="J53" i="1"/>
  <c r="J276" i="1"/>
  <c r="J435" i="1"/>
  <c r="J478" i="1"/>
  <c r="J854" i="1"/>
  <c r="J143" i="1"/>
  <c r="J1862" i="1"/>
  <c r="J389" i="1"/>
  <c r="J1200" i="1"/>
  <c r="J179" i="1"/>
  <c r="J1298" i="1"/>
  <c r="J152" i="1"/>
  <c r="J1464" i="1"/>
  <c r="J134" i="1"/>
  <c r="J364" i="1"/>
  <c r="J788" i="1"/>
  <c r="J161" i="1"/>
  <c r="J978" i="1"/>
  <c r="J116" i="1"/>
  <c r="J967" i="1"/>
  <c r="J1288" i="1"/>
  <c r="J1904" i="1"/>
  <c r="J787" i="1"/>
  <c r="J818" i="1"/>
  <c r="J1287" i="1"/>
  <c r="J1191" i="1"/>
  <c r="J1895" i="1"/>
  <c r="J736" i="1"/>
  <c r="J916" i="1"/>
  <c r="J247" i="1"/>
  <c r="J702" i="1"/>
  <c r="J836" i="1"/>
  <c r="J747" i="1"/>
  <c r="J1510" i="1"/>
  <c r="J1965" i="1"/>
  <c r="J1545" i="1"/>
  <c r="J735" i="1"/>
  <c r="J220" i="1"/>
  <c r="J1955" i="1"/>
  <c r="J1225" i="1"/>
  <c r="J94" i="1"/>
  <c r="J1224" i="1"/>
  <c r="J1179" i="1"/>
  <c r="J93" i="1"/>
  <c r="J461" i="1"/>
  <c r="J1342" i="1"/>
  <c r="J1316" i="1"/>
  <c r="J807" i="1"/>
  <c r="J188" i="1"/>
  <c r="J1093" i="1"/>
  <c r="J107" i="1"/>
  <c r="J1585" i="1"/>
  <c r="J586" i="1"/>
  <c r="J734" i="1"/>
  <c r="J664" i="1"/>
  <c r="J691" i="1"/>
  <c r="J1401" i="1"/>
  <c r="J1420" i="1"/>
  <c r="J219" i="1"/>
  <c r="J1954" i="1"/>
  <c r="J1223" i="1"/>
  <c r="J1178" i="1"/>
  <c r="J1063" i="1"/>
  <c r="J92" i="1"/>
  <c r="J460" i="1"/>
  <c r="J1366" i="1"/>
  <c r="J1798" i="1"/>
  <c r="J1341" i="1"/>
  <c r="J881" i="1"/>
  <c r="J36" i="1"/>
  <c r="J1365" i="1"/>
  <c r="J196" i="1"/>
  <c r="J1747" i="1"/>
  <c r="J1614" i="1"/>
  <c r="J635" i="1"/>
  <c r="J1439" i="1"/>
  <c r="J1400" i="1"/>
  <c r="J1036" i="1"/>
  <c r="J1921" i="1"/>
  <c r="J1870" i="1"/>
  <c r="J426" i="1"/>
  <c r="J1642" i="1"/>
  <c r="J1153" i="1"/>
  <c r="J218" i="1"/>
  <c r="J338" i="1"/>
  <c r="J898" i="1"/>
  <c r="J931" i="1"/>
  <c r="J1584" i="1"/>
  <c r="J1808" i="1"/>
  <c r="J577" i="1"/>
  <c r="J1782" i="1"/>
  <c r="J1075" i="1"/>
  <c r="J44" i="1"/>
  <c r="J1447" i="1"/>
  <c r="J61" i="1"/>
  <c r="J124" i="1"/>
  <c r="J761" i="1"/>
  <c r="J443" i="1"/>
  <c r="J1935" i="1"/>
  <c r="J399" i="1"/>
  <c r="J1083" i="1"/>
  <c r="J1306" i="1"/>
  <c r="J91" i="1"/>
  <c r="J1694" i="1"/>
  <c r="J372" i="1"/>
  <c r="J647" i="1"/>
  <c r="J1650" i="1"/>
  <c r="J329" i="1"/>
  <c r="J1126" i="1"/>
  <c r="J1108" i="1"/>
  <c r="J1988" i="1"/>
  <c r="J1013" i="1"/>
  <c r="J806" i="1"/>
  <c r="J169" i="1"/>
  <c r="J415" i="1"/>
  <c r="J966" i="1"/>
  <c r="J1631" i="1"/>
  <c r="J948" i="1"/>
  <c r="J889" i="1"/>
  <c r="J1630" i="1"/>
  <c r="J1764" i="1"/>
  <c r="J947" i="1"/>
  <c r="J826" i="1"/>
  <c r="J230" i="1"/>
  <c r="J1852" i="1"/>
  <c r="J1685" i="1"/>
  <c r="J550" i="1"/>
  <c r="J906" i="1"/>
  <c r="J246" i="1"/>
  <c r="J477" i="1"/>
  <c r="J612" i="1"/>
  <c r="J1613" i="1"/>
  <c r="J1324" i="1"/>
  <c r="J674" i="1"/>
  <c r="J532" i="1"/>
  <c r="J1554" i="1"/>
  <c r="J1720" i="1"/>
  <c r="J1711" i="1"/>
  <c r="J559" i="1"/>
  <c r="J1430" i="1"/>
  <c r="J52" i="1"/>
  <c r="J1834" i="1"/>
  <c r="J476" i="1"/>
  <c r="J1729" i="1"/>
  <c r="J142" i="1"/>
  <c r="J8" i="1"/>
  <c r="J1861" i="1"/>
  <c r="J1773" i="1"/>
  <c r="J1199" i="1"/>
  <c r="J178" i="1"/>
  <c r="J1137" i="1"/>
  <c r="J1297" i="1"/>
  <c r="J504" i="1"/>
  <c r="J1462" i="1"/>
  <c r="J133" i="1"/>
  <c r="J363" i="1"/>
  <c r="J354" i="1"/>
  <c r="J1377" i="1"/>
  <c r="J1668" i="1"/>
  <c r="J115" i="1"/>
  <c r="J488" i="1"/>
  <c r="J1987" i="1"/>
  <c r="J568" i="1"/>
  <c r="J784" i="1"/>
  <c r="J503" i="1"/>
  <c r="J1738" i="1"/>
  <c r="J817" i="1"/>
  <c r="J733" i="1"/>
  <c r="J320" i="1"/>
  <c r="J701" i="1"/>
  <c r="J746" i="1"/>
  <c r="J266" i="1"/>
  <c r="J1509" i="1"/>
  <c r="J1543" i="1"/>
  <c r="J732" i="1"/>
  <c r="J663" i="1"/>
  <c r="J690" i="1"/>
  <c r="J1399" i="1"/>
  <c r="J1494" i="1"/>
  <c r="J869" i="1"/>
  <c r="J1525" i="1"/>
  <c r="J1953" i="1"/>
  <c r="J1062" i="1"/>
  <c r="J90" i="1"/>
  <c r="J1176" i="1"/>
  <c r="J1061" i="1"/>
  <c r="J459" i="1"/>
  <c r="J634" i="1"/>
  <c r="J1035" i="1"/>
  <c r="J1270" i="1"/>
  <c r="J805" i="1"/>
  <c r="J541" i="1"/>
  <c r="J601" i="1"/>
  <c r="J600" i="1"/>
  <c r="J106" i="1"/>
  <c r="J585" i="1"/>
  <c r="J731" i="1"/>
  <c r="J992" i="1"/>
  <c r="J662" i="1"/>
  <c r="J1418" i="1"/>
  <c r="J216" i="1"/>
  <c r="J1060" i="1"/>
  <c r="J458" i="1"/>
  <c r="J1258" i="1"/>
  <c r="J880" i="1"/>
  <c r="J35" i="1"/>
  <c r="J293" i="1"/>
  <c r="J1702" i="1"/>
  <c r="J1362" i="1"/>
  <c r="J195" i="1"/>
  <c r="J1612" i="1"/>
  <c r="J1243" i="1"/>
  <c r="J1676" i="1"/>
  <c r="J215" i="1"/>
  <c r="J1972" i="1"/>
  <c r="J337" i="1"/>
  <c r="J345" i="1"/>
  <c r="J760" i="1"/>
  <c r="J1934" i="1"/>
  <c r="J929" i="1"/>
  <c r="J1074" i="1"/>
  <c r="J783" i="1"/>
  <c r="J442" i="1"/>
  <c r="J301" i="1"/>
  <c r="J1933" i="1"/>
  <c r="J398" i="1"/>
  <c r="J1082" i="1"/>
  <c r="J646" i="1"/>
  <c r="J1649" i="1"/>
  <c r="J328" i="1"/>
  <c r="J1124" i="1"/>
  <c r="J1106" i="1"/>
  <c r="J1998" i="1"/>
  <c r="J1986" i="1"/>
  <c r="J413" i="1"/>
  <c r="J964" i="1"/>
  <c r="J1629" i="1"/>
  <c r="J888" i="1"/>
  <c r="J1628" i="1"/>
  <c r="J310" i="1"/>
  <c r="J412" i="1"/>
  <c r="J1763" i="1"/>
  <c r="J945" i="1"/>
  <c r="J905" i="1"/>
  <c r="J244" i="1"/>
  <c r="J611" i="1"/>
  <c r="J1611" i="1"/>
  <c r="J1323" i="1"/>
  <c r="J386" i="1"/>
  <c r="J16" i="1"/>
  <c r="J673" i="1"/>
  <c r="J531" i="1"/>
  <c r="J1553" i="1"/>
  <c r="J1658" i="1"/>
  <c r="J256" i="1"/>
  <c r="J928" i="1"/>
  <c r="J51" i="1"/>
  <c r="J1833" i="1"/>
  <c r="J274" i="1"/>
  <c r="J433" i="1"/>
  <c r="J1728" i="1"/>
  <c r="J852" i="1"/>
  <c r="J1911" i="1"/>
  <c r="J7" i="1"/>
  <c r="J1772" i="1"/>
  <c r="J385" i="1"/>
  <c r="J1136" i="1"/>
  <c r="J1150" i="1"/>
  <c r="J1597" i="1"/>
  <c r="J150" i="1"/>
  <c r="J502" i="1"/>
  <c r="J1460" i="1"/>
  <c r="J362" i="1"/>
  <c r="J782" i="1"/>
  <c r="J1376" i="1"/>
  <c r="J1667" i="1"/>
  <c r="J114" i="1"/>
  <c r="J963" i="1"/>
  <c r="J487" i="1"/>
  <c r="J1284" i="1"/>
  <c r="J514" i="1"/>
  <c r="J1824" i="1"/>
  <c r="J1105" i="1"/>
  <c r="J567" i="1"/>
  <c r="J781" i="1"/>
  <c r="J501" i="1"/>
  <c r="J816" i="1"/>
  <c r="J1283" i="1"/>
  <c r="J1189" i="1"/>
  <c r="J1893" i="1"/>
  <c r="J730" i="1"/>
  <c r="J1579" i="1"/>
  <c r="J914" i="1"/>
  <c r="J1123" i="1"/>
  <c r="J243" i="1"/>
  <c r="J1578" i="1"/>
  <c r="J834" i="1"/>
  <c r="J745" i="1"/>
  <c r="J265" i="1"/>
  <c r="J1508" i="1"/>
  <c r="J1963" i="1"/>
  <c r="J1541" i="1"/>
  <c r="J729" i="1"/>
  <c r="J991" i="1"/>
  <c r="J661" i="1"/>
  <c r="J688" i="1"/>
  <c r="J1396" i="1"/>
  <c r="J1490" i="1"/>
  <c r="J1417" i="1"/>
  <c r="J214" i="1"/>
  <c r="J867" i="1"/>
  <c r="J1523" i="1"/>
  <c r="J1951" i="1"/>
  <c r="J1059" i="1"/>
  <c r="J86" i="1"/>
  <c r="J85" i="1"/>
  <c r="J1361" i="1"/>
  <c r="J1257" i="1"/>
  <c r="J1489" i="1"/>
  <c r="J1795" i="1"/>
  <c r="J631" i="1"/>
  <c r="J1032" i="1"/>
  <c r="J1269" i="1"/>
  <c r="J25" i="1"/>
  <c r="J803" i="1"/>
  <c r="J186" i="1"/>
  <c r="J599" i="1"/>
  <c r="J598" i="1"/>
  <c r="J584" i="1"/>
  <c r="J1540" i="1"/>
  <c r="J728" i="1"/>
  <c r="J990" i="1"/>
  <c r="J660" i="1"/>
  <c r="J687" i="1"/>
  <c r="J1395" i="1"/>
  <c r="J1416" i="1"/>
  <c r="J213" i="1"/>
  <c r="J866" i="1"/>
  <c r="J1950" i="1"/>
  <c r="J1217" i="1"/>
  <c r="J1057" i="1"/>
  <c r="J84" i="1"/>
  <c r="J1360" i="1"/>
  <c r="J630" i="1"/>
  <c r="J1031" i="1"/>
  <c r="J1337" i="1"/>
  <c r="J879" i="1"/>
  <c r="J1003" i="1"/>
  <c r="J34" i="1"/>
  <c r="J292" i="1"/>
  <c r="J1359" i="1"/>
  <c r="J194" i="1"/>
  <c r="J1745" i="1"/>
  <c r="J629" i="1"/>
  <c r="J1437" i="1"/>
  <c r="J1675" i="1"/>
  <c r="J1030" i="1"/>
  <c r="J1876" i="1"/>
  <c r="J424" i="1"/>
  <c r="J212" i="1"/>
  <c r="J758" i="1"/>
  <c r="J896" i="1"/>
  <c r="J1884" i="1"/>
  <c r="J927" i="1"/>
  <c r="J522" i="1"/>
  <c r="J1806" i="1"/>
  <c r="J575" i="1"/>
  <c r="J42" i="1"/>
  <c r="J780" i="1"/>
  <c r="J59" i="1"/>
  <c r="J122" i="1"/>
  <c r="J757" i="1"/>
  <c r="J708" i="1"/>
  <c r="J300" i="1"/>
  <c r="J397" i="1"/>
  <c r="J1304" i="1"/>
  <c r="J83" i="1"/>
  <c r="J1692" i="1"/>
  <c r="J370" i="1"/>
  <c r="J645" i="1"/>
  <c r="J327" i="1"/>
  <c r="J1122" i="1"/>
  <c r="J1104" i="1"/>
  <c r="J1997" i="1"/>
  <c r="J282" i="1"/>
  <c r="J1011" i="1"/>
  <c r="J167" i="1"/>
  <c r="J411" i="1"/>
  <c r="J962" i="1"/>
  <c r="J1627" i="1"/>
  <c r="J228" i="1"/>
  <c r="J1683" i="1"/>
  <c r="J548" i="1"/>
  <c r="J242" i="1"/>
  <c r="J473" i="1"/>
  <c r="J610" i="1"/>
  <c r="J1609" i="1"/>
  <c r="J1322" i="1"/>
  <c r="J15" i="1"/>
  <c r="J530" i="1"/>
  <c r="J1657" i="1"/>
  <c r="J1718" i="1"/>
  <c r="J1709" i="1"/>
  <c r="J557" i="1"/>
  <c r="J926" i="1"/>
  <c r="J50" i="1"/>
  <c r="J273" i="1"/>
  <c r="J1727" i="1"/>
  <c r="J851" i="1"/>
  <c r="J6" i="1"/>
  <c r="J1859" i="1"/>
  <c r="J1197" i="1"/>
  <c r="J176" i="1"/>
  <c r="J1135" i="1"/>
  <c r="J1148" i="1"/>
  <c r="J1295" i="1"/>
  <c r="J1596" i="1"/>
  <c r="J149" i="1"/>
  <c r="J500" i="1"/>
  <c r="J131" i="1"/>
  <c r="J361" i="1"/>
  <c r="J352" i="1"/>
  <c r="J158" i="1"/>
  <c r="J1666" i="1"/>
  <c r="J113" i="1"/>
  <c r="J961" i="1"/>
  <c r="J486" i="1"/>
  <c r="J513" i="1"/>
  <c r="J1103" i="1"/>
  <c r="J1983" i="1"/>
  <c r="J566" i="1"/>
  <c r="J1901" i="1"/>
  <c r="J499" i="1"/>
  <c r="J1736" i="1"/>
  <c r="J815" i="1"/>
  <c r="J1281" i="1"/>
  <c r="J1188" i="1"/>
  <c r="J727" i="1"/>
  <c r="J1575" i="1"/>
  <c r="J318" i="1"/>
  <c r="J1121" i="1"/>
  <c r="J1574" i="1"/>
  <c r="J833" i="1"/>
  <c r="J264" i="1"/>
  <c r="J1507" i="1"/>
  <c r="J1539" i="1"/>
  <c r="J726" i="1"/>
  <c r="J989" i="1"/>
  <c r="J1486" i="1"/>
  <c r="J865" i="1"/>
  <c r="J1521" i="1"/>
  <c r="J1949" i="1"/>
  <c r="J1216" i="1"/>
  <c r="J1171" i="1"/>
  <c r="J1056" i="1"/>
  <c r="J82" i="1"/>
  <c r="J1215" i="1"/>
  <c r="J1170" i="1"/>
  <c r="J81" i="1"/>
  <c r="J455" i="1"/>
  <c r="J1255" i="1"/>
  <c r="J1485" i="1"/>
  <c r="J628" i="1"/>
  <c r="J1336" i="1"/>
  <c r="J24" i="1"/>
  <c r="J1313" i="1"/>
  <c r="J801" i="1"/>
  <c r="J185" i="1"/>
  <c r="J1090" i="1"/>
  <c r="J596" i="1"/>
  <c r="J104" i="1"/>
  <c r="J1573" i="1"/>
  <c r="J1538" i="1"/>
  <c r="J725" i="1"/>
  <c r="J658" i="1"/>
  <c r="J1392" i="1"/>
  <c r="J1484" i="1"/>
  <c r="J1414" i="1"/>
  <c r="J864" i="1"/>
  <c r="J1520" i="1"/>
  <c r="J1948" i="1"/>
  <c r="J1214" i="1"/>
  <c r="J1054" i="1"/>
  <c r="J80" i="1"/>
  <c r="J454" i="1"/>
  <c r="J1357" i="1"/>
  <c r="J1254" i="1"/>
  <c r="J1792" i="1"/>
  <c r="J627" i="1"/>
  <c r="J1335" i="1"/>
  <c r="J878" i="1"/>
  <c r="J1002" i="1"/>
  <c r="J1233" i="1"/>
  <c r="J33" i="1"/>
  <c r="J1841" i="1"/>
  <c r="J291" i="1"/>
  <c r="J289" i="1"/>
  <c r="J1839" i="1"/>
  <c r="J31" i="1"/>
  <c r="J1000" i="1"/>
  <c r="J1331" i="1"/>
  <c r="J1022" i="1"/>
  <c r="J621" i="1"/>
  <c r="J1788" i="1"/>
  <c r="J1475" i="1"/>
  <c r="J1351" i="1"/>
  <c r="J72" i="1"/>
  <c r="J1048" i="1"/>
  <c r="J1163" i="1"/>
  <c r="J1208" i="1"/>
  <c r="J1944" i="1"/>
  <c r="J1516" i="1"/>
  <c r="J1410" i="1"/>
  <c r="J1476" i="1"/>
  <c r="J1386" i="1"/>
  <c r="J681" i="1"/>
  <c r="J654" i="1"/>
  <c r="J719" i="1"/>
  <c r="J1534" i="1"/>
  <c r="J581" i="1"/>
  <c r="J593" i="1"/>
  <c r="J1088" i="1"/>
  <c r="J537" i="1"/>
  <c r="J797" i="1"/>
  <c r="J1311" i="1"/>
  <c r="J1266" i="1"/>
  <c r="J1332" i="1"/>
  <c r="J1023" i="1"/>
  <c r="J622" i="1"/>
  <c r="J1477" i="1"/>
  <c r="J1352" i="1"/>
  <c r="J73" i="1"/>
  <c r="J1164" i="1"/>
  <c r="J74" i="1"/>
  <c r="J1165" i="1"/>
  <c r="J1210" i="1"/>
  <c r="J1945" i="1"/>
  <c r="J1517" i="1"/>
  <c r="J1411" i="1"/>
  <c r="J1387" i="1"/>
  <c r="J682" i="1"/>
  <c r="J655" i="1"/>
  <c r="J1960" i="1"/>
  <c r="J831" i="1"/>
  <c r="J697" i="1"/>
  <c r="J316" i="1"/>
  <c r="J911" i="1"/>
  <c r="J1890" i="1"/>
  <c r="J1186" i="1"/>
  <c r="J495" i="1"/>
  <c r="J772" i="1"/>
  <c r="J1899" i="1"/>
  <c r="J1821" i="1"/>
  <c r="J484" i="1"/>
  <c r="J957" i="1"/>
  <c r="J156" i="1"/>
  <c r="J773" i="1"/>
  <c r="J350" i="1"/>
  <c r="J359" i="1"/>
  <c r="J496" i="1"/>
  <c r="J147" i="1"/>
  <c r="J1293" i="1"/>
  <c r="J1144" i="1"/>
  <c r="J174" i="1"/>
  <c r="J379" i="1"/>
  <c r="J1769" i="1"/>
  <c r="J4" i="1"/>
  <c r="J1908" i="1"/>
  <c r="J849" i="1"/>
  <c r="J1725" i="1"/>
  <c r="J1830" i="1"/>
  <c r="J48" i="1"/>
  <c r="J840" i="1"/>
  <c r="J922" i="1"/>
  <c r="J1426" i="1"/>
  <c r="J1707" i="1"/>
  <c r="J1716" i="1"/>
  <c r="J13" i="1"/>
  <c r="J1605" i="1"/>
  <c r="J608" i="1"/>
  <c r="J469" i="1"/>
  <c r="J238" i="1"/>
  <c r="J902" i="1"/>
  <c r="J1681" i="1"/>
  <c r="J226" i="1"/>
  <c r="J822" i="1"/>
  <c r="J1760" i="1"/>
  <c r="J406" i="1"/>
  <c r="J1622" i="1"/>
  <c r="J885" i="1"/>
  <c r="J940" i="1"/>
  <c r="J1623" i="1"/>
  <c r="J1812" i="1"/>
  <c r="J407" i="1"/>
  <c r="J798" i="1"/>
  <c r="J325" i="1"/>
  <c r="J1646" i="1"/>
  <c r="J368" i="1"/>
  <c r="J1690" i="1"/>
  <c r="J75" i="1"/>
  <c r="J395" i="1"/>
  <c r="J1927" i="1"/>
  <c r="J298" i="1"/>
  <c r="J439" i="1"/>
  <c r="J706" i="1"/>
  <c r="J753" i="1"/>
  <c r="J120" i="1"/>
  <c r="J57" i="1"/>
  <c r="J774" i="1"/>
  <c r="J1751" i="1"/>
  <c r="J40" i="1"/>
  <c r="J1071" i="1"/>
  <c r="J573" i="1"/>
  <c r="J520" i="1"/>
  <c r="J1568" i="1"/>
  <c r="J754" i="1"/>
  <c r="J1969" i="1"/>
  <c r="J206" i="1"/>
  <c r="J1145" i="1"/>
  <c r="J1638" i="1"/>
  <c r="J422" i="1"/>
  <c r="J1673" i="1"/>
  <c r="J1455" i="1"/>
  <c r="J1606" i="1"/>
  <c r="J192" i="1"/>
  <c r="J1699" i="1"/>
  <c r="J1232" i="1"/>
  <c r="J1001" i="1"/>
  <c r="J1025" i="1"/>
  <c r="J1479" i="1"/>
  <c r="J1252" i="1"/>
  <c r="J452" i="1"/>
  <c r="J1051" i="1"/>
  <c r="J1166" i="1"/>
  <c r="J1518" i="1"/>
  <c r="J862" i="1"/>
  <c r="J207" i="1"/>
  <c r="J1480" i="1"/>
  <c r="J986" i="1"/>
  <c r="J722" i="1"/>
  <c r="J1536" i="1"/>
  <c r="J582" i="1"/>
  <c r="J1569" i="1"/>
  <c r="J103" i="1"/>
  <c r="J594" i="1"/>
  <c r="J595" i="1"/>
  <c r="J1089" i="1"/>
  <c r="J538" i="1"/>
  <c r="J1267" i="1"/>
  <c r="J1026" i="1"/>
  <c r="J625" i="1"/>
  <c r="J1481" i="1"/>
  <c r="J1253" i="1"/>
  <c r="J1355" i="1"/>
  <c r="J453" i="1"/>
  <c r="J77" i="1"/>
  <c r="J1052" i="1"/>
  <c r="J1167" i="1"/>
  <c r="J78" i="1"/>
  <c r="J1053" i="1"/>
  <c r="J1168" i="1"/>
  <c r="J1519" i="1"/>
  <c r="J863" i="1"/>
  <c r="J208" i="1"/>
  <c r="J1413" i="1"/>
  <c r="J1482" i="1"/>
  <c r="J1390" i="1"/>
  <c r="J684" i="1"/>
  <c r="J657" i="1"/>
  <c r="J987" i="1"/>
  <c r="J723" i="1"/>
  <c r="J1537" i="1"/>
  <c r="J743" i="1"/>
  <c r="J832" i="1"/>
  <c r="J698" i="1"/>
  <c r="J1570" i="1"/>
  <c r="J239" i="1"/>
  <c r="J1119" i="1"/>
  <c r="J1187" i="1"/>
  <c r="J1279" i="1"/>
  <c r="J1735" i="1"/>
  <c r="J497" i="1"/>
  <c r="J1900" i="1"/>
  <c r="J565" i="1"/>
  <c r="J1101" i="1"/>
  <c r="J1280" i="1"/>
  <c r="J959" i="1"/>
  <c r="J112" i="1"/>
  <c r="J1665" i="1"/>
  <c r="J1374" i="1"/>
  <c r="J360" i="1"/>
  <c r="J130" i="1"/>
  <c r="J148" i="1"/>
  <c r="J1146" i="1"/>
  <c r="J175" i="1"/>
  <c r="J1196" i="1"/>
  <c r="J381" i="1"/>
  <c r="J139" i="1"/>
  <c r="J1909" i="1"/>
  <c r="J850" i="1"/>
  <c r="J470" i="1"/>
  <c r="J431" i="1"/>
  <c r="J272" i="1"/>
  <c r="J1831" i="1"/>
  <c r="J841" i="1"/>
  <c r="J924" i="1"/>
  <c r="J1427" i="1"/>
  <c r="J556" i="1"/>
  <c r="J254" i="1"/>
  <c r="J529" i="1"/>
  <c r="J671" i="1"/>
  <c r="J382" i="1"/>
  <c r="J609" i="1"/>
  <c r="J471" i="1"/>
  <c r="J240" i="1"/>
  <c r="J903" i="1"/>
  <c r="J547" i="1"/>
  <c r="J823" i="1"/>
  <c r="J941" i="1"/>
  <c r="J1761" i="1"/>
  <c r="J408" i="1"/>
  <c r="J308" i="1"/>
  <c r="J886" i="1"/>
  <c r="J942" i="1"/>
  <c r="J960" i="1"/>
  <c r="J1813" i="1"/>
  <c r="J409" i="1"/>
  <c r="J166" i="1"/>
  <c r="J800" i="1"/>
  <c r="J1010" i="1"/>
  <c r="J281" i="1"/>
  <c r="J1996" i="1"/>
  <c r="J326" i="1"/>
  <c r="J644" i="1"/>
  <c r="J1303" i="1"/>
  <c r="J396" i="1"/>
  <c r="J299" i="1"/>
  <c r="J440" i="1"/>
  <c r="J707" i="1"/>
  <c r="J755" i="1"/>
  <c r="J121" i="1"/>
  <c r="J777" i="1"/>
  <c r="J1752" i="1"/>
  <c r="J1779" i="1"/>
  <c r="J574" i="1"/>
  <c r="J1805" i="1"/>
  <c r="J521" i="1"/>
  <c r="J1572" i="1"/>
  <c r="J925" i="1"/>
  <c r="J1930" i="1"/>
  <c r="J1883" i="1"/>
  <c r="J895" i="1"/>
  <c r="J756" i="1"/>
  <c r="J343" i="1"/>
  <c r="J335" i="1"/>
  <c r="J1970" i="1"/>
  <c r="J209" i="1"/>
  <c r="J1639" i="1"/>
  <c r="J423" i="1"/>
  <c r="J1875" i="1"/>
  <c r="J1918" i="1"/>
  <c r="J1391" i="1"/>
  <c r="J626" i="1"/>
  <c r="J1241" i="1"/>
  <c r="J1608" i="1"/>
  <c r="J1744" i="1"/>
  <c r="J1356" i="1"/>
  <c r="J288" i="1"/>
  <c r="J1838" i="1"/>
  <c r="J30" i="1"/>
  <c r="J1230" i="1"/>
  <c r="J1329" i="1"/>
  <c r="J618" i="1"/>
  <c r="J1786" i="1"/>
  <c r="J1471" i="1"/>
  <c r="J1248" i="1"/>
  <c r="J448" i="1"/>
  <c r="J68" i="1"/>
  <c r="J1160" i="1"/>
  <c r="J1205" i="1"/>
  <c r="J1942" i="1"/>
  <c r="J1514" i="1"/>
  <c r="J858" i="1"/>
  <c r="J201" i="1"/>
  <c r="J1408" i="1"/>
  <c r="J1472" i="1"/>
  <c r="J1383" i="1"/>
  <c r="J679" i="1"/>
  <c r="J1532" i="1"/>
  <c r="J101" i="1"/>
  <c r="J591" i="1"/>
  <c r="J1087" i="1"/>
  <c r="J536" i="1"/>
  <c r="J182" i="1"/>
  <c r="J1310" i="1"/>
  <c r="J21" i="1"/>
  <c r="J1265" i="1"/>
  <c r="J1330" i="1"/>
  <c r="J1020" i="1"/>
  <c r="J619" i="1"/>
  <c r="J1787" i="1"/>
  <c r="J1249" i="1"/>
  <c r="J1046" i="1"/>
  <c r="J1161" i="1"/>
  <c r="J1206" i="1"/>
  <c r="J70" i="1"/>
  <c r="J1047" i="1"/>
  <c r="J1162" i="1"/>
  <c r="J1207" i="1"/>
  <c r="J202" i="1"/>
  <c r="J983" i="1"/>
  <c r="J261" i="1"/>
  <c r="J696" i="1"/>
  <c r="J1562" i="1"/>
  <c r="J235" i="1"/>
  <c r="J910" i="1"/>
  <c r="J1563" i="1"/>
  <c r="J718" i="1"/>
  <c r="J1185" i="1"/>
  <c r="J1275" i="1"/>
  <c r="J812" i="1"/>
  <c r="J1733" i="1"/>
  <c r="J493" i="1"/>
  <c r="J769" i="1"/>
  <c r="J563" i="1"/>
  <c r="J1977" i="1"/>
  <c r="J1097" i="1"/>
  <c r="J1820" i="1"/>
  <c r="J510" i="1"/>
  <c r="J1276" i="1"/>
  <c r="J483" i="1"/>
  <c r="J110" i="1"/>
  <c r="J972" i="1"/>
  <c r="J1663" i="1"/>
  <c r="J155" i="1"/>
  <c r="J770" i="1"/>
  <c r="J358" i="1"/>
  <c r="J494" i="1"/>
  <c r="J146" i="1"/>
  <c r="J1593" i="1"/>
  <c r="J1292" i="1"/>
  <c r="J173" i="1"/>
  <c r="J1194" i="1"/>
  <c r="J377" i="1"/>
  <c r="J1856" i="1"/>
  <c r="J3" i="1"/>
  <c r="J137" i="1"/>
  <c r="J1724" i="1"/>
  <c r="J466" i="1"/>
  <c r="J429" i="1"/>
  <c r="J270" i="1"/>
  <c r="J839" i="1"/>
  <c r="J920" i="1"/>
  <c r="J1425" i="1"/>
  <c r="J554" i="1"/>
  <c r="J1706" i="1"/>
  <c r="J252" i="1"/>
  <c r="J1654" i="1"/>
  <c r="J527" i="1"/>
  <c r="J12" i="1"/>
  <c r="J378" i="1"/>
  <c r="J1319" i="1"/>
  <c r="J1603" i="1"/>
  <c r="J236" i="1"/>
  <c r="J545" i="1"/>
  <c r="J1847" i="1"/>
  <c r="J821" i="1"/>
  <c r="J1759" i="1"/>
  <c r="J404" i="1"/>
  <c r="J306" i="1"/>
  <c r="J1620" i="1"/>
  <c r="J884" i="1"/>
  <c r="J938" i="1"/>
  <c r="J1621" i="1"/>
  <c r="J956" i="1"/>
  <c r="J405" i="1"/>
  <c r="J164" i="1"/>
  <c r="J796" i="1"/>
  <c r="J1008" i="1"/>
  <c r="J1098" i="1"/>
  <c r="J1116" i="1"/>
  <c r="J324" i="1"/>
  <c r="J1645" i="1"/>
  <c r="J642" i="1"/>
  <c r="J1689" i="1"/>
  <c r="J1301" i="1"/>
  <c r="J1078" i="1"/>
  <c r="J394" i="1"/>
  <c r="J297" i="1"/>
  <c r="J705" i="1"/>
  <c r="J751" i="1"/>
  <c r="J119" i="1"/>
  <c r="J56" i="1"/>
  <c r="J1442" i="1"/>
  <c r="J771" i="1"/>
  <c r="J39" i="1"/>
  <c r="J1070" i="1"/>
  <c r="J572" i="1"/>
  <c r="J519" i="1"/>
  <c r="J1564" i="1"/>
  <c r="J921" i="1"/>
  <c r="J1881" i="1"/>
  <c r="J893" i="1"/>
  <c r="J341" i="1"/>
  <c r="J333" i="1"/>
  <c r="J1968" i="1"/>
  <c r="J203" i="1"/>
  <c r="J1143" i="1"/>
  <c r="J1873" i="1"/>
  <c r="J1865" i="1"/>
  <c r="J1916" i="1"/>
  <c r="J1021" i="1"/>
  <c r="J1385" i="1"/>
  <c r="J1434" i="1"/>
  <c r="J620" i="1"/>
  <c r="J1453" i="1"/>
  <c r="J1239" i="1"/>
  <c r="J1742" i="1"/>
  <c r="J191" i="1"/>
  <c r="J1350" i="1"/>
  <c r="D11" i="2" l="1"/>
  <c r="D13" i="2"/>
  <c r="D9" i="2"/>
  <c r="J58" i="1"/>
  <c r="D10" i="2"/>
  <c r="J69" i="1"/>
  <c r="J5" i="1"/>
  <c r="J89" i="1"/>
  <c r="D8" i="2"/>
  <c r="J88" i="1"/>
  <c r="J474" i="1"/>
  <c r="D12" i="2"/>
  <c r="D14" i="2"/>
  <c r="J140" i="1"/>
  <c r="J22" i="1"/>
  <c r="J76" i="1"/>
  <c r="J1203" i="1" l="1"/>
  <c r="J1158" i="1"/>
  <c r="J1043" i="1"/>
  <c r="J65" i="1"/>
  <c r="J447" i="1"/>
  <c r="J1346" i="1"/>
  <c r="J1247" i="1"/>
  <c r="J1469" i="1"/>
  <c r="J1785" i="1"/>
  <c r="J616" i="1"/>
  <c r="J1017" i="1"/>
  <c r="J1328" i="1"/>
  <c r="J1264" i="1"/>
  <c r="J20" i="1"/>
  <c r="J1309" i="1"/>
  <c r="J793" i="1"/>
  <c r="J181" i="1"/>
  <c r="J535" i="1"/>
  <c r="J1086" i="1"/>
  <c r="J589" i="1"/>
  <c r="J588" i="1"/>
  <c r="J100" i="1"/>
  <c r="J1557" i="1"/>
  <c r="J579" i="1"/>
  <c r="J1530" i="1"/>
  <c r="J713" i="1"/>
  <c r="J980" i="1"/>
  <c r="J650" i="1"/>
  <c r="J677" i="1"/>
  <c r="J1380" i="1"/>
  <c r="J1468" i="1"/>
  <c r="J1406" i="1"/>
  <c r="J198" i="1"/>
  <c r="J856" i="1"/>
  <c r="J1512" i="1"/>
  <c r="J1940" i="1"/>
  <c r="J1202" i="1"/>
  <c r="J1157" i="1"/>
  <c r="J1042" i="1"/>
  <c r="J64" i="1"/>
  <c r="J446" i="1"/>
  <c r="J1345" i="1"/>
  <c r="D17" i="2" s="1"/>
  <c r="J1246" i="1"/>
  <c r="J1467" i="1"/>
  <c r="J1784" i="1"/>
  <c r="J615" i="1"/>
  <c r="J1016" i="1"/>
  <c r="J1327" i="1"/>
  <c r="J287" i="1"/>
  <c r="J1837" i="1"/>
  <c r="J29" i="1"/>
  <c r="J1229" i="1"/>
  <c r="J998" i="1"/>
  <c r="D18" i="2" s="1"/>
  <c r="J874" i="1"/>
  <c r="D21" i="2" s="1"/>
  <c r="J1924" i="1"/>
  <c r="J1880" i="1"/>
  <c r="J892" i="1"/>
  <c r="J750" i="1"/>
  <c r="J340" i="1"/>
  <c r="J332" i="1"/>
  <c r="J1967" i="1"/>
  <c r="J200" i="1"/>
  <c r="J1141" i="1"/>
  <c r="J1636" i="1"/>
  <c r="J420" i="1"/>
  <c r="J1872" i="1"/>
  <c r="J1864" i="1"/>
  <c r="J1915" i="1"/>
  <c r="J1018" i="1"/>
  <c r="J1671" i="1"/>
  <c r="J1382" i="1"/>
  <c r="J1433" i="1"/>
  <c r="J617" i="1"/>
  <c r="J1451" i="1"/>
  <c r="J1238" i="1"/>
  <c r="J1602" i="1"/>
  <c r="J1741" i="1"/>
  <c r="J190" i="1"/>
  <c r="J1347" i="1"/>
  <c r="J1697" i="1"/>
  <c r="J66" i="1"/>
  <c r="J1044" i="1"/>
  <c r="J1159" i="1"/>
  <c r="J1204" i="1"/>
  <c r="J1941" i="1"/>
  <c r="J1513" i="1"/>
  <c r="J857" i="1"/>
  <c r="J199" i="1"/>
  <c r="J1407" i="1"/>
  <c r="J1470" i="1"/>
  <c r="J1381" i="1"/>
  <c r="J678" i="1"/>
  <c r="J651" i="1"/>
  <c r="J981" i="1"/>
  <c r="J714" i="1"/>
  <c r="J1531" i="1"/>
  <c r="J1958" i="1"/>
  <c r="J1503" i="1"/>
  <c r="J260" i="1"/>
  <c r="J740" i="1"/>
  <c r="J829" i="1"/>
  <c r="J695" i="1"/>
  <c r="J1558" i="1"/>
  <c r="J233" i="1"/>
  <c r="J1113" i="1"/>
  <c r="J314" i="1"/>
  <c r="J909" i="1"/>
  <c r="J1559" i="1"/>
  <c r="J715" i="1"/>
  <c r="J1888" i="1"/>
  <c r="J1184" i="1"/>
  <c r="J1273" i="1"/>
  <c r="J811" i="1"/>
  <c r="J1732" i="1"/>
  <c r="J491" i="1"/>
  <c r="J766" i="1"/>
  <c r="J1897" i="1"/>
  <c r="J562" i="1"/>
  <c r="J1975" i="1"/>
  <c r="J1095" i="1"/>
  <c r="J1819" i="1"/>
  <c r="J509" i="1"/>
  <c r="J1274" i="1"/>
  <c r="J482" i="1"/>
  <c r="J953" i="1"/>
  <c r="J109" i="1"/>
  <c r="J971" i="1"/>
  <c r="J1662" i="1"/>
  <c r="J1371" i="1"/>
  <c r="J154" i="1"/>
  <c r="J767" i="1"/>
  <c r="J348" i="1"/>
  <c r="J357" i="1"/>
  <c r="J127" i="1"/>
  <c r="J1450" i="1"/>
  <c r="J492" i="1"/>
  <c r="J145" i="1"/>
  <c r="J1592" i="1"/>
  <c r="J1291" i="1"/>
  <c r="J1140" i="1"/>
  <c r="J1131" i="1"/>
  <c r="J172" i="1"/>
  <c r="J1193" i="1"/>
  <c r="J375" i="1"/>
  <c r="J1767" i="1"/>
  <c r="J1855" i="1"/>
  <c r="J2" i="1"/>
  <c r="J136" i="1"/>
  <c r="J1906" i="1"/>
  <c r="J847" i="1"/>
  <c r="J1723" i="1"/>
  <c r="J464" i="1"/>
  <c r="J428" i="1"/>
  <c r="J269" i="1"/>
  <c r="J1828" i="1"/>
  <c r="J46" i="1"/>
  <c r="J838" i="1"/>
  <c r="J918" i="1"/>
  <c r="J1424" i="1"/>
  <c r="J553" i="1"/>
  <c r="J1705" i="1"/>
  <c r="J251" i="1"/>
  <c r="J1714" i="1"/>
  <c r="J1653" i="1"/>
  <c r="J1548" i="1"/>
  <c r="J526" i="1"/>
  <c r="J668" i="1"/>
  <c r="J11" i="1"/>
  <c r="J376" i="1"/>
  <c r="J1318" i="1"/>
  <c r="J1601" i="1"/>
  <c r="J606" i="1"/>
  <c r="J465" i="1"/>
  <c r="J234" i="1"/>
  <c r="J900" i="1"/>
  <c r="J544" i="1"/>
  <c r="J1679" i="1"/>
  <c r="J1846" i="1"/>
  <c r="J224" i="1"/>
  <c r="J820" i="1"/>
  <c r="J935" i="1"/>
  <c r="J1758" i="1"/>
  <c r="J402" i="1"/>
  <c r="J305" i="1"/>
  <c r="J1618" i="1"/>
  <c r="J883" i="1"/>
  <c r="J936" i="1"/>
  <c r="J1619" i="1"/>
  <c r="J954" i="1"/>
  <c r="J1810" i="1"/>
  <c r="J403" i="1"/>
  <c r="J163" i="1"/>
  <c r="J794" i="1"/>
  <c r="J1007" i="1"/>
  <c r="J278" i="1"/>
  <c r="J1976" i="1"/>
  <c r="J1993" i="1"/>
  <c r="J1096" i="1"/>
  <c r="J1114" i="1"/>
  <c r="J323" i="1"/>
  <c r="J1644" i="1"/>
  <c r="J641" i="1"/>
  <c r="J366" i="1"/>
  <c r="J1688" i="1"/>
  <c r="J67" i="1"/>
  <c r="J1300" i="1"/>
  <c r="J1077" i="1"/>
  <c r="J393" i="1"/>
  <c r="J1923" i="1"/>
  <c r="J296" i="1"/>
  <c r="J437" i="1"/>
  <c r="J704" i="1"/>
  <c r="J749" i="1"/>
  <c r="J118" i="1"/>
  <c r="J55" i="1"/>
  <c r="J1441" i="1"/>
  <c r="J768" i="1"/>
  <c r="J1749" i="1"/>
  <c r="J38" i="1"/>
  <c r="J1069" i="1"/>
  <c r="J1776" i="1"/>
  <c r="J571" i="1"/>
  <c r="J1802" i="1"/>
  <c r="J518" i="1"/>
  <c r="J1560" i="1"/>
  <c r="J919" i="1"/>
  <c r="D19" i="2" l="1"/>
  <c r="D20" i="2"/>
  <c r="D22" i="2"/>
  <c r="K16" i="2" s="1"/>
  <c r="K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<sst xmlns="http://schemas.openxmlformats.org/spreadsheetml/2006/main" count="10051" uniqueCount="271">
  <si>
    <t>订单日期</t>
  </si>
  <si>
    <t>订单ID</t>
  </si>
  <si>
    <t>商品名称</t>
  </si>
  <si>
    <t>商品品类</t>
  </si>
  <si>
    <t>销售渠道</t>
  </si>
  <si>
    <t>销售数量</t>
  </si>
  <si>
    <t>销售金额</t>
  </si>
  <si>
    <t>ORD-0001</t>
  </si>
  <si>
    <t>PROD-003</t>
  </si>
  <si>
    <t>平板电脑C</t>
  </si>
  <si>
    <t>电子产品</t>
  </si>
  <si>
    <t>官网</t>
  </si>
  <si>
    <t>ORD-0002</t>
  </si>
  <si>
    <t>PROD-001</t>
  </si>
  <si>
    <t>智能手机A</t>
  </si>
  <si>
    <t>京东</t>
  </si>
  <si>
    <t>ORD-0003</t>
  </si>
  <si>
    <t>PROD-007</t>
  </si>
  <si>
    <t>耳机G</t>
  </si>
  <si>
    <t>数码配件</t>
  </si>
  <si>
    <t>ORD-0004</t>
  </si>
  <si>
    <t>PROD-008</t>
  </si>
  <si>
    <t>电竞鼠标H</t>
  </si>
  <si>
    <t>ORD-0005</t>
  </si>
  <si>
    <t>ORD-0006</t>
  </si>
  <si>
    <t>拼多多</t>
  </si>
  <si>
    <t>ORD-0007</t>
  </si>
  <si>
    <t>PROD-010</t>
  </si>
  <si>
    <t>游戏手柄J</t>
  </si>
  <si>
    <t>ORD-0008</t>
  </si>
  <si>
    <t>PROD-012</t>
  </si>
  <si>
    <t>行车记录仪L</t>
  </si>
  <si>
    <t>智能设备</t>
  </si>
  <si>
    <t>ORD-0009</t>
  </si>
  <si>
    <t>PROD-002</t>
  </si>
  <si>
    <t>笔记本电脑B</t>
  </si>
  <si>
    <t>ORD-0010</t>
  </si>
  <si>
    <t>ORD-0011</t>
  </si>
  <si>
    <t>PROD-011</t>
  </si>
  <si>
    <t>智能音箱K</t>
  </si>
  <si>
    <t>ORD-0012</t>
  </si>
  <si>
    <t>ORD-0013</t>
  </si>
  <si>
    <t>PROD-005</t>
  </si>
  <si>
    <t>平板电脑E</t>
  </si>
  <si>
    <t>ORD-0014</t>
  </si>
  <si>
    <t>ORD-0015</t>
  </si>
  <si>
    <t>ORD-0016</t>
  </si>
  <si>
    <t>ORD-0017</t>
  </si>
  <si>
    <t>ORD-0018</t>
  </si>
  <si>
    <t>ORD-0019</t>
  </si>
  <si>
    <t>ORD-0020</t>
  </si>
  <si>
    <t>PROD-009</t>
  </si>
  <si>
    <t>蓝牙耳机I</t>
  </si>
  <si>
    <t>ORD-0021</t>
  </si>
  <si>
    <t>ORD-0022</t>
  </si>
  <si>
    <t>ORD-0023</t>
  </si>
  <si>
    <t>ORD-0024</t>
  </si>
  <si>
    <t>ORD-0025</t>
  </si>
  <si>
    <t>ORD-0026</t>
  </si>
  <si>
    <t>ORD-0027</t>
  </si>
  <si>
    <t>PROD-004</t>
  </si>
  <si>
    <t>智能手表D</t>
  </si>
  <si>
    <t>ORD-0028</t>
  </si>
  <si>
    <t>ORD-0029</t>
  </si>
  <si>
    <t>ORD-0030</t>
  </si>
  <si>
    <t>ORD-0031</t>
  </si>
  <si>
    <t>ORD-0032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</si>
  <si>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</si>
  <si>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</si>
  <si>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</si>
  <si>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</si>
  <si>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</si>
  <si>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</si>
  <si>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</si>
  <si>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</si>
  <si>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PROD-006</t>
  </si>
  <si>
    <t>移动电源F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</si>
  <si>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</si>
  <si>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</si>
  <si>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</si>
  <si>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</si>
  <si>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</si>
  <si>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</si>
  <si>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</si>
  <si>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</si>
  <si>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</si>
  <si>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</si>
  <si>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</si>
  <si>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</si>
  <si>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</si>
  <si>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</si>
  <si>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</si>
  <si>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</si>
  <si>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</si>
  <si>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</si>
  <si>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</si>
  <si>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</si>
  <si>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</si>
  <si>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</si>
  <si>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</si>
  <si>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</si>
  <si>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</si>
  <si>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</si>
  <si>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</si>
  <si>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</si>
  <si>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</si>
  <si>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</si>
  <si>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</si>
  <si>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</si>
  <si>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</si>
  <si>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</si>
  <si>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</si>
  <si>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</si>
  <si>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</si>
  <si>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</si>
  <si>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</si>
  <si>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</si>
  <si>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</si>
  <si>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</si>
  <si>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</si>
  <si>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</si>
  <si>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</si>
  <si>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</si>
  <si>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</si>
  <si>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</si>
  <si>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</si>
  <si>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</si>
  <si>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</si>
  <si>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</si>
  <si>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</si>
  <si>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</si>
  <si>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</si>
  <si>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</si>
  <si>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</si>
  <si>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</si>
  <si>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</si>
  <si>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</si>
  <si>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</si>
  <si>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</si>
  <si>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</si>
  <si>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</si>
  <si>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</si>
  <si>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</si>
  <si>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</si>
  <si>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</si>
  <si>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</si>
  <si>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</si>
  <si>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</si>
  <si>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</si>
  <si>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</si>
  <si>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</si>
  <si>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</si>
  <si>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</si>
  <si>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</si>
  <si>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</si>
  <si>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</si>
  <si>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</si>
  <si>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</si>
  <si>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</si>
  <si>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</si>
  <si>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</si>
  <si>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</si>
  <si>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</si>
  <si>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</si>
  <si>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</si>
  <si>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</si>
  <si>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</si>
  <si>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</si>
  <si>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</si>
  <si>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</si>
  <si>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</si>
  <si>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</si>
  <si>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</si>
  <si>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</si>
  <si>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</si>
  <si>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</si>
  <si>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</si>
  <si>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</si>
  <si>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</si>
  <si>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</si>
  <si>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</si>
  <si>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</si>
  <si>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</si>
  <si>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</si>
  <si>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</si>
  <si>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</si>
  <si>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</si>
  <si>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</si>
  <si>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</si>
  <si>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</si>
  <si>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</si>
  <si>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</si>
  <si>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</si>
  <si>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</si>
  <si>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</si>
  <si>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</si>
  <si>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</si>
  <si>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</si>
  <si>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</si>
  <si>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</si>
  <si>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</si>
  <si>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</si>
  <si>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</si>
  <si>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</si>
  <si>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</si>
  <si>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</si>
  <si>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</si>
  <si>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</si>
  <si>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</si>
  <si>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</si>
  <si>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</si>
  <si>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</si>
  <si>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</si>
  <si>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</si>
  <si>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</si>
  <si>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</si>
  <si>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</si>
  <si>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</si>
  <si>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</si>
  <si>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</si>
  <si>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</si>
  <si>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</si>
  <si>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</si>
  <si>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</si>
  <si>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</si>
  <si>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</si>
  <si>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</si>
  <si>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</si>
  <si>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</si>
  <si>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</si>
  <si>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</si>
  <si>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</si>
  <si>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</si>
  <si>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</si>
  <si>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</si>
  <si>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UV</t>
    <phoneticPr fontId="1" type="noConversion"/>
  </si>
  <si>
    <t>PV</t>
    <phoneticPr fontId="1" type="noConversion"/>
  </si>
  <si>
    <t>退款金额</t>
    <phoneticPr fontId="1" type="noConversion"/>
  </si>
  <si>
    <t>总金额</t>
    <phoneticPr fontId="1" type="noConversion"/>
  </si>
  <si>
    <t>开始日期：</t>
    <phoneticPr fontId="1" type="noConversion"/>
  </si>
  <si>
    <t>结束日期：</t>
    <phoneticPr fontId="1" type="noConversion"/>
  </si>
  <si>
    <t>销售渠道：</t>
    <phoneticPr fontId="1" type="noConversion"/>
  </si>
  <si>
    <t>汇总销量显示区：</t>
    <phoneticPr fontId="1" type="noConversion"/>
  </si>
  <si>
    <t>京东</t>
    <phoneticPr fontId="1" type="noConversion"/>
  </si>
  <si>
    <t>销售数据统计</t>
    <phoneticPr fontId="1" type="noConversion"/>
  </si>
  <si>
    <t>净总金额</t>
    <phoneticPr fontId="1" type="noConversion"/>
  </si>
  <si>
    <t>总金额（未去退款额）</t>
    <phoneticPr fontId="1" type="noConversion"/>
  </si>
  <si>
    <t>抖音</t>
  </si>
  <si>
    <t>微信小店</t>
  </si>
  <si>
    <t>微信小店</t>
    <phoneticPr fontId="1" type="noConversion"/>
  </si>
  <si>
    <t>淘宝</t>
  </si>
  <si>
    <t>淘宝</t>
    <phoneticPr fontId="1" type="noConversion"/>
  </si>
  <si>
    <t>拼多多</t>
    <phoneticPr fontId="1" type="noConversion"/>
  </si>
  <si>
    <t>净金额</t>
    <phoneticPr fontId="1" type="noConversion"/>
  </si>
  <si>
    <t>抖音</t>
    <phoneticPr fontId="1" type="noConversion"/>
  </si>
  <si>
    <t>总退款额</t>
  </si>
  <si>
    <t>（净金额减总金额）</t>
  </si>
  <si>
    <t>整体转化率</t>
    <phoneticPr fontId="1" type="noConversion"/>
  </si>
  <si>
    <t>客单价</t>
    <phoneticPr fontId="1" type="noConversion"/>
  </si>
  <si>
    <t>按日期 / 渠道汇总销量</t>
    <phoneticPr fontId="1" type="noConversion"/>
  </si>
  <si>
    <r>
      <rPr>
        <b/>
        <sz val="11"/>
        <color rgb="FFF5F5F2"/>
        <rFont val="微软雅黑"/>
        <family val="2"/>
        <charset val="134"/>
      </rPr>
      <t>商品</t>
    </r>
    <r>
      <rPr>
        <b/>
        <sz val="11"/>
        <color rgb="FFF5F5F2"/>
        <rFont val="Calibri"/>
        <family val="2"/>
      </rPr>
      <t>ID</t>
    </r>
    <phoneticPr fontId="1" type="noConversion"/>
  </si>
  <si>
    <t>（销售数除以总访问数）</t>
    <phoneticPr fontId="1" type="noConversion"/>
  </si>
  <si>
    <t>(净销售额除以支付订单数)</t>
    <phoneticPr fontId="1" type="noConversion"/>
  </si>
  <si>
    <t>mouth</t>
    <phoneticPr fontId="1" type="noConversion"/>
  </si>
  <si>
    <t>官网</t>
    <phoneticPr fontId="1" type="noConversion"/>
  </si>
  <si>
    <t>销售数量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</si>
  <si>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</si>
  <si>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</si>
  <si>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</si>
  <si>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length_errorbar</t>
    <phoneticPr fontId="1" type="noConversion"/>
  </si>
  <si>
    <t>平均值：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</si>
</sst>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¥&quot;#,##0;&quot;¥&quot;\-#,##0"/>
    <numFmt numFmtId="7" formatCode="&quot;¥&quot;#,##0.00;&quot;¥&quot;\-#,##0.00"/>
    <numFmt numFmtId="176" formatCode="yyyy/mm/dd"/>
    <numFmt numFmtId="177" formatCode="0.00_ "/>
    <numFmt numFmtId="178" formatCode="0.000%"/>
    <numFmt numFmtId="179" formatCode="#,##0_ "/>
    <numFmt numFmtId="180" formatCode="0_ "/>
  </numFmts>
  <fonts count="2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34495E"/>
      <name val="等线"/>
      <family val="2"/>
      <charset val="134"/>
      <scheme val="minor"/>
    </font>
    <font>
      <sz val="11"/>
      <color rgb="FFBDC3C7"/>
      <name val="等线"/>
      <family val="2"/>
      <charset val="134"/>
      <scheme val="minor"/>
    </font>
    <font>
      <b/>
      <sz val="14"/>
      <color rgb="FF34495E"/>
      <name val="微软雅黑"/>
      <family val="2"/>
      <charset val="134"/>
    </font>
    <font>
      <b/>
      <sz val="11"/>
      <color rgb="FF34495E"/>
      <name val="等线"/>
      <family val="2"/>
      <charset val="134"/>
      <scheme val="minor"/>
    </font>
    <font>
      <b/>
      <sz val="24"/>
      <color rgb="FF2C3E50"/>
      <name val="微软雅黑"/>
      <family val="2"/>
      <charset val="134"/>
    </font>
    <font>
      <sz val="11"/>
      <color rgb="FF34495E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rgb="FFB71C1C"/>
      <name val="等线"/>
      <family val="3"/>
      <charset val="134"/>
      <scheme val="minor"/>
    </font>
    <font>
      <b/>
      <sz val="11"/>
      <color rgb="FFF5F5F2"/>
      <name val="Calibri"/>
      <family val="2"/>
    </font>
    <font>
      <b/>
      <sz val="11"/>
      <color rgb="FFF5F5F2"/>
      <name val="Calibri"/>
      <family val="2"/>
      <charset val="134"/>
    </font>
    <font>
      <b/>
      <sz val="11"/>
      <color rgb="FFF5F5F2"/>
      <name val="微软雅黑"/>
      <family val="2"/>
      <charset val="134"/>
    </font>
    <font>
      <b/>
      <sz val="11"/>
      <color rgb="FFF5F5F2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4"/>
      <color rgb="FFF5F5F2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5D4037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7F8C8D"/>
      </top>
      <bottom style="medium">
        <color rgb="FF7F8C8D"/>
      </bottom>
      <diagonal/>
    </border>
    <border>
      <left/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 style="medium">
        <color rgb="FF7F8C8D"/>
      </right>
      <top style="medium">
        <color rgb="FF7F8C8D"/>
      </top>
      <bottom style="medium">
        <color rgb="FF7F8C8D"/>
      </bottom>
      <diagonal/>
    </border>
    <border>
      <left style="medium">
        <color rgb="FF7F8C8D"/>
      </left>
      <right/>
      <top style="medium">
        <color rgb="FF7F8C8D"/>
      </top>
      <bottom style="medium">
        <color rgb="FF7F8C8D"/>
      </bottom>
      <diagonal/>
    </border>
    <border>
      <left/>
      <right style="medium">
        <color rgb="FF7F8C8D"/>
      </right>
      <top/>
      <bottom style="medium">
        <color rgb="FF7F8C8D"/>
      </bottom>
      <diagonal/>
    </border>
    <border>
      <left style="medium">
        <color rgb="FF7F8C8D"/>
      </left>
      <right style="medium">
        <color rgb="FF7F8C8D"/>
      </right>
      <top/>
      <bottom style="medium">
        <color rgb="FF7F8C8D"/>
      </bottom>
      <diagonal/>
    </border>
    <border>
      <left style="medium">
        <color rgb="FF7F8C8D"/>
      </left>
      <right/>
      <top/>
      <bottom style="medium">
        <color rgb="FF7F8C8D"/>
      </bottom>
      <diagonal/>
    </border>
    <border>
      <left/>
      <right/>
      <top/>
      <bottom style="thick">
        <color rgb="FF5D4037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176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7" fontId="4" fillId="2" borderId="0" xfId="0" applyNumberFormat="1" applyFont="1" applyFill="1" applyAlignment="1">
      <alignment horizontal="left" vertical="center"/>
    </xf>
    <xf numFmtId="0" fontId="5" fillId="2" borderId="8" xfId="0" applyFont="1" applyFill="1" applyBorder="1" applyAlignment="1">
      <alignment horizontal="left" vertical="center" indent="1"/>
    </xf>
    <xf numFmtId="0" fontId="4" fillId="2" borderId="8" xfId="0" applyFont="1" applyFill="1" applyBorder="1">
      <alignment vertical="center"/>
    </xf>
    <xf numFmtId="5" fontId="3" fillId="2" borderId="4" xfId="0" applyNumberFormat="1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5" borderId="0" xfId="0" applyFont="1" applyFill="1">
      <alignment vertical="center"/>
    </xf>
    <xf numFmtId="0" fontId="9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2"/>
    </xf>
    <xf numFmtId="0" fontId="11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left" vertical="center" indent="2"/>
    </xf>
    <xf numFmtId="0" fontId="1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2"/>
    </xf>
    <xf numFmtId="0" fontId="5" fillId="2" borderId="9" xfId="0" applyFont="1" applyFill="1" applyBorder="1" applyAlignment="1">
      <alignment horizontal="left" vertical="center" indent="1"/>
    </xf>
    <xf numFmtId="0" fontId="4" fillId="2" borderId="9" xfId="0" applyFont="1" applyFill="1" applyBorder="1">
      <alignment vertical="center"/>
    </xf>
    <xf numFmtId="176" fontId="3" fillId="2" borderId="7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77" fontId="16" fillId="6" borderId="0" xfId="0" applyNumberFormat="1" applyFont="1" applyFill="1" applyAlignment="1">
      <alignment horizontal="center" vertical="center"/>
    </xf>
    <xf numFmtId="5" fontId="0" fillId="2" borderId="4" xfId="0" applyNumberFormat="1" applyFill="1" applyBorder="1" applyAlignment="1">
      <alignment horizontal="center" vertical="center"/>
    </xf>
    <xf numFmtId="5" fontId="0" fillId="2" borderId="7" xfId="0" applyNumberFormat="1" applyFill="1" applyBorder="1" applyAlignment="1">
      <alignment horizontal="center" vertical="center"/>
    </xf>
    <xf numFmtId="179" fontId="0" fillId="3" borderId="4" xfId="0" applyNumberFormat="1" applyFill="1" applyBorder="1" applyAlignment="1">
      <alignment horizontal="center" vertical="center"/>
    </xf>
    <xf numFmtId="5" fontId="0" fillId="3" borderId="4" xfId="0" applyNumberForma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7" fillId="5" borderId="10" xfId="0" applyFont="1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176" fontId="17" fillId="6" borderId="10" xfId="0" applyNumberFormat="1" applyFont="1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17" fillId="6" borderId="10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80" fontId="17" fillId="6" borderId="10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0" fontId="18" fillId="0" borderId="0" xfId="0" applyFont="1">
      <alignment vertical="center"/>
    </xf>
    <xf numFmtId="0" fontId="19" fillId="7" borderId="0" xfId="0" applyFont="1" applyFill="1">
      <alignment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9" fillId="3" borderId="3" xfId="0" applyFont="1" applyFill="1" applyBorder="1" applyAlignment="1">
      <alignment horizontal="left" vertical="center" indent="1"/>
    </xf>
    <xf numFmtId="177" fontId="8" fillId="2" borderId="5" xfId="0" applyNumberFormat="1" applyFont="1" applyFill="1" applyBorder="1" applyAlignment="1">
      <alignment horizontal="left" vertical="center" indent="1"/>
    </xf>
    <xf numFmtId="177" fontId="8" fillId="2" borderId="6" xfId="0" applyNumberFormat="1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left" vertical="center" indent="1"/>
    </xf>
    <xf numFmtId="0" fontId="6" fillId="2" borderId="8" xfId="0" applyFont="1" applyFill="1" applyBorder="1" applyAlignment="1">
      <alignment horizontal="left" vertical="center" indent="1"/>
    </xf>
    <xf numFmtId="7" fontId="0" fillId="3" borderId="0" xfId="0" applyNumberForma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5" fontId="2" fillId="4" borderId="0" xfId="0" applyNumberFormat="1" applyFon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12" fillId="5" borderId="0" xfId="0" applyNumberFormat="1" applyFont="1" applyFill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</cellXfs>
  <cellStyles count="1">
    <cellStyle name="常规" xfId="0" builtinId="0"/>
  </cellStyles>
  <dxfs count="16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77" formatCode="0.00_ "/>
      <alignment horizontal="center" vertical="bottom" textRotation="0" wrapText="0" indent="0" justifyLastLine="0" shrinkToFit="0" readingOrder="0"/>
    </dxf>
    <dxf>
      <numFmt numFmtId="177" formatCode="0.00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76" formatCode="yyyy/mm/dd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5F5F2"/>
        <name val="Calibri"/>
        <family val="2"/>
        <scheme val="none"/>
      </font>
      <fill>
        <patternFill patternType="solid">
          <fgColor indexed="64"/>
          <bgColor rgb="FF2C3E50"/>
        </patternFill>
      </fill>
      <alignment horizontal="center" vertical="center" textRotation="0" wrapText="0" indent="0" justifyLastLine="0" shrinkToFit="0" readingOrder="0"/>
    </dxf>
    <dxf>
      <fill>
        <patternFill>
          <bgColor rgb="FFF5F5F2"/>
        </patternFill>
      </fill>
    </dxf>
    <dxf>
      <fill>
        <patternFill>
          <bgColor rgb="FFBDC3C7"/>
        </patternFill>
      </fill>
    </dxf>
  </dxfs>
  <tableStyles count="1" defaultTableStyle="TableStyleMedium2" defaultPivotStyle="PivotStyleLight16">
    <tableStyle name="表样式 1" pivot="0" count="2" xr9:uid="{F8733B70-0F0C-4CD9-9E54-CBCB9BC1D964}">
      <tableStyleElement type="firstRowStripe" dxfId="15"/>
      <tableStyleElement type="secondRowStripe" dxfId="14"/>
    </tableStyle>
  </tableStyles>
  <colors>
    <mruColors>
      <color rgb="FFF5F5F2"/>
      <color rgb="FF5D4037"/>
      <color rgb="FF607D8B"/>
      <color rgb="FFBDC3C7"/>
      <color rgb="FF2C3E50"/>
      <color rgb="FFB71C1C"/>
      <color rgb="FF7F8C8D"/>
      <color rgb="FFD7CCC8"/>
      <color rgb="FF8E24AA"/>
      <color rgb="FF3449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077B6-A29B-4D0C-AEEE-92370997D140}" name="表1" displayName="表1" ref="A1:L2001" totalsRowShown="0" headerRowDxfId="13" dataDxfId="12">
  <autoFilter ref="A1:L2001" xr:uid="{11B077B6-A29B-4D0C-AEEE-92370997D140}"/>
  <sortState xmlns:xlrd2="http://schemas.microsoft.com/office/spreadsheetml/2017/richdata2" ref="A2:L2001">
    <sortCondition ref="A11:A2001"/>
  </sortState>
  <tableColumns count="12">
    <tableColumn id="1" xr3:uid="{E6ECD43E-8FE4-44AC-A801-76847A6F449C}" name="订单日期" dataDxfId="11"/>
    <tableColumn id="2" xr3:uid="{71DCABB7-B1A8-4598-84C6-CD20E6FC70F3}" name="销售渠道" dataDxfId="10"/>
    <tableColumn id="3" xr3:uid="{2A3AA11F-7339-425A-AD56-8367E605E7E8}" name="商品品类" dataDxfId="9"/>
    <tableColumn id="4" xr3:uid="{7C2C3049-BF58-4891-B928-68BED1A7EAE9}" name="订单ID" dataDxfId="8"/>
    <tableColumn id="5" xr3:uid="{DEF97F5E-4E1E-4081-BD26-B80660A8DC06}" name="商品ID" dataDxfId="7"/>
    <tableColumn id="6" xr3:uid="{61F27BD4-D7D0-422F-A90A-45059CAFD38D}" name="商品名称" dataDxfId="6"/>
    <tableColumn id="7" xr3:uid="{1E26B7E8-D8EC-40DC-8D96-93D5890F81E4}" name="销售数量" dataDxfId="5"/>
    <tableColumn id="8" xr3:uid="{614224B9-906F-4C4F-9F9D-2911D95BBFB5}" name="销售金额" dataDxfId="4"/>
    <tableColumn id="10" xr3:uid="{1C4920C4-8DCE-42F6-8259-E4DDB62058A2}" name="退款金额" dataDxfId="3"/>
    <tableColumn id="11" xr3:uid="{3F261F8C-0B6C-406E-8B8F-61F9085C4A49}" name="净总金额" dataDxfId="2">
      <calculatedColumnFormula>表1[[#This Row],[销售金额]]-表1[[#This Row],[退款金额]]</calculatedColumnFormula>
    </tableColumn>
    <tableColumn id="12" xr3:uid="{6807A951-CAD0-4A92-B5D3-59E4EA84D470}" name="PV" dataDxfId="1"/>
    <tableColumn id="13" xr3:uid="{BDDBF7CC-7440-4BA8-9262-E806F4F74C9B}" name="UV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A708-F7A4-4A5A-829D-00BFC42B3C34}">
  <dimension ref="A1:L2002"/>
  <sheetViews>
    <sheetView tabSelected="1" zoomScaleNormal="100" workbookViewId="0">
      <selection activeCell="B7" sqref="B7"/>
    </sheetView>
  </sheetViews>
  <sheetFormatPr defaultRowHeight="14" x14ac:dyDescent="0.3"/>
  <cols>
    <col min="1" max="1" width="12.6640625" style="3" bestFit="1" customWidth="1"/>
    <col min="2" max="3" width="12.6640625" bestFit="1" customWidth="1"/>
    <col min="4" max="5" width="10.6640625" bestFit="1" customWidth="1"/>
    <col min="6" max="6" width="12.6640625" bestFit="1" customWidth="1"/>
    <col min="7" max="7" width="12.4140625" style="5" customWidth="1"/>
    <col min="8" max="8" width="12.6640625" style="5" bestFit="1" customWidth="1"/>
    <col min="9" max="9" width="12.83203125" style="7" bestFit="1" customWidth="1"/>
    <col min="10" max="10" width="12.33203125" style="7" bestFit="1" customWidth="1"/>
  </cols>
  <sheetData>
    <row r="1" spans="1:12" ht="16.5" x14ac:dyDescent="0.3">
      <c r="A1" s="28" t="s">
        <v>0</v>
      </c>
      <c r="B1" s="29" t="s">
        <v>4</v>
      </c>
      <c r="C1" s="29" t="s">
        <v>3</v>
      </c>
      <c r="D1" s="29" t="s">
        <v>1</v>
      </c>
      <c r="E1" s="30" t="s">
        <v>260</v>
      </c>
      <c r="F1" s="29" t="s">
        <v>2</v>
      </c>
      <c r="G1" s="29" t="s">
        <v>5</v>
      </c>
      <c r="H1" s="29" t="s">
        <v>6</v>
      </c>
      <c r="I1" s="31" t="s">
        <v>237</v>
      </c>
      <c r="J1" s="31" t="s">
        <v>245</v>
      </c>
      <c r="K1" s="29" t="s">
        <v>236</v>
      </c>
      <c r="L1" s="29" t="s">
        <v>235</v>
      </c>
    </row>
    <row r="2" spans="1:12" x14ac:dyDescent="0.3">
      <c r="A2" s="2">
        <v>45901</v>
      </c>
      <c r="B2" s="1" t="s">
        <v>25</v>
      </c>
      <c r="C2" s="1" t="s">
        <v>32</v>
      </c>
      <c r="D2" s="1" t="s">
        <v>155</v>
      </c>
      <c r="E2" s="1" t="s">
        <v>60</v>
      </c>
      <c r="F2" s="1" t="s">
        <v>61</v>
      </c>
      <c r="G2" s="4">
        <v>2</v>
      </c>
      <c r="H2" s="4">
        <v>3353</v>
      </c>
      <c r="I2" s="6">
        <v>2450.5687916618472</v>
      </c>
      <c r="J2" s="6">
        <f>表1[[#This Row],[销售金额]]-表1[[#This Row],[退款金额]]</f>
        <v>902.43120833815283</v>
      </c>
      <c r="K2" s="1">
        <v>680</v>
      </c>
      <c r="L2" s="1">
        <v>331</v>
      </c>
    </row>
    <row r="3" spans="1:12" x14ac:dyDescent="0.3">
      <c r="A3" s="2">
        <v>45901</v>
      </c>
      <c r="B3" s="1" t="s">
        <v>25</v>
      </c>
      <c r="C3" s="1" t="s">
        <v>32</v>
      </c>
      <c r="D3" s="1" t="s">
        <v>155</v>
      </c>
      <c r="E3" s="1" t="s">
        <v>60</v>
      </c>
      <c r="F3" s="1" t="s">
        <v>61</v>
      </c>
      <c r="G3" s="4">
        <v>2</v>
      </c>
      <c r="H3" s="4">
        <v>3831</v>
      </c>
      <c r="I3" s="6">
        <v>2450.5687916618472</v>
      </c>
      <c r="J3" s="6">
        <f>表1[[#This Row],[销售金额]]-表1[[#This Row],[退款金额]]</f>
        <v>1380.4312083381528</v>
      </c>
      <c r="K3" s="1">
        <v>680</v>
      </c>
      <c r="L3" s="1">
        <v>331</v>
      </c>
    </row>
    <row r="4" spans="1:12" x14ac:dyDescent="0.3">
      <c r="A4" s="2">
        <v>45901</v>
      </c>
      <c r="B4" s="1" t="s">
        <v>25</v>
      </c>
      <c r="C4" s="1" t="s">
        <v>32</v>
      </c>
      <c r="D4" s="1" t="s">
        <v>155</v>
      </c>
      <c r="E4" s="1" t="s">
        <v>60</v>
      </c>
      <c r="F4" s="1" t="s">
        <v>61</v>
      </c>
      <c r="G4" s="4">
        <v>2</v>
      </c>
      <c r="H4" s="4">
        <v>3646</v>
      </c>
      <c r="I4" s="6">
        <v>2450.5687916618472</v>
      </c>
      <c r="J4" s="6">
        <f>表1[[#This Row],[销售金额]]-表1[[#This Row],[退款金额]]</f>
        <v>1195.4312083381528</v>
      </c>
      <c r="K4" s="1">
        <v>680</v>
      </c>
      <c r="L4" s="1">
        <v>331</v>
      </c>
    </row>
    <row r="5" spans="1:12" x14ac:dyDescent="0.3">
      <c r="A5" s="2">
        <v>45901</v>
      </c>
      <c r="B5" s="1" t="s">
        <v>25</v>
      </c>
      <c r="C5" s="1" t="s">
        <v>32</v>
      </c>
      <c r="D5" s="1" t="s">
        <v>155</v>
      </c>
      <c r="E5" s="1" t="s">
        <v>60</v>
      </c>
      <c r="F5" s="1" t="s">
        <v>61</v>
      </c>
      <c r="G5" s="4">
        <v>2</v>
      </c>
      <c r="H5" s="4">
        <v>7034</v>
      </c>
      <c r="I5" s="6">
        <v>2450.5687916618472</v>
      </c>
      <c r="J5" s="6">
        <f>表1[[#This Row],[销售金额]]-表1[[#This Row],[退款金额]]</f>
        <v>4583.4312083381528</v>
      </c>
      <c r="K5" s="1">
        <v>680</v>
      </c>
      <c r="L5" s="1">
        <v>331</v>
      </c>
    </row>
    <row r="6" spans="1:12" x14ac:dyDescent="0.3">
      <c r="A6" s="2">
        <v>45901</v>
      </c>
      <c r="B6" s="1" t="s">
        <v>25</v>
      </c>
      <c r="C6" s="1" t="s">
        <v>32</v>
      </c>
      <c r="D6" s="1" t="s">
        <v>155</v>
      </c>
      <c r="E6" s="1" t="s">
        <v>60</v>
      </c>
      <c r="F6" s="1" t="s">
        <v>61</v>
      </c>
      <c r="G6" s="4">
        <v>2</v>
      </c>
      <c r="H6" s="4">
        <v>2782</v>
      </c>
      <c r="I6" s="6">
        <v>2450.5687916618472</v>
      </c>
      <c r="J6" s="6">
        <f>表1[[#This Row],[销售金额]]-表1[[#This Row],[退款金额]]</f>
        <v>331.43120833815283</v>
      </c>
      <c r="K6" s="1">
        <v>680</v>
      </c>
      <c r="L6" s="1">
        <v>331</v>
      </c>
    </row>
    <row r="7" spans="1:12" x14ac:dyDescent="0.3">
      <c r="A7" s="2">
        <v>45901</v>
      </c>
      <c r="B7" s="1" t="s">
        <v>25</v>
      </c>
      <c r="C7" s="1" t="s">
        <v>32</v>
      </c>
      <c r="D7" s="1" t="s">
        <v>155</v>
      </c>
      <c r="E7" s="1" t="s">
        <v>60</v>
      </c>
      <c r="F7" s="1" t="s">
        <v>61</v>
      </c>
      <c r="G7" s="4">
        <v>2</v>
      </c>
      <c r="H7" s="4">
        <v>7161</v>
      </c>
      <c r="I7" s="6">
        <v>2450.5687916618472</v>
      </c>
      <c r="J7" s="6">
        <f>表1[[#This Row],[销售金额]]-表1[[#This Row],[退款金额]]</f>
        <v>4710.4312083381528</v>
      </c>
      <c r="K7" s="1">
        <v>680</v>
      </c>
      <c r="L7" s="1">
        <v>331</v>
      </c>
    </row>
    <row r="8" spans="1:12" x14ac:dyDescent="0.3">
      <c r="A8" s="2">
        <v>45901</v>
      </c>
      <c r="B8" s="1" t="s">
        <v>25</v>
      </c>
      <c r="C8" s="1" t="s">
        <v>32</v>
      </c>
      <c r="D8" s="1" t="s">
        <v>155</v>
      </c>
      <c r="E8" s="1" t="s">
        <v>60</v>
      </c>
      <c r="F8" s="1" t="s">
        <v>61</v>
      </c>
      <c r="G8" s="4">
        <v>2</v>
      </c>
      <c r="H8" s="4">
        <v>6397</v>
      </c>
      <c r="I8" s="6">
        <v>2450.5687916618472</v>
      </c>
      <c r="J8" s="6">
        <f>表1[[#This Row],[销售金额]]-表1[[#This Row],[退款金额]]</f>
        <v>3946.4312083381528</v>
      </c>
      <c r="K8" s="1">
        <v>680</v>
      </c>
      <c r="L8" s="1">
        <v>331</v>
      </c>
    </row>
    <row r="9" spans="1:12" x14ac:dyDescent="0.3">
      <c r="A9" s="2">
        <v>45901</v>
      </c>
      <c r="B9" s="1" t="s">
        <v>25</v>
      </c>
      <c r="C9" s="1" t="s">
        <v>32</v>
      </c>
      <c r="D9" s="1" t="s">
        <v>155</v>
      </c>
      <c r="E9" s="1" t="s">
        <v>60</v>
      </c>
      <c r="F9" s="1" t="s">
        <v>61</v>
      </c>
      <c r="G9" s="4">
        <v>2</v>
      </c>
      <c r="H9" s="4">
        <v>6061</v>
      </c>
      <c r="I9" s="6">
        <v>2450.5687916618472</v>
      </c>
      <c r="J9" s="6">
        <f>表1[[#This Row],[销售金额]]-表1[[#This Row],[退款金额]]</f>
        <v>3610.4312083381528</v>
      </c>
      <c r="K9" s="1">
        <v>680</v>
      </c>
      <c r="L9" s="1">
        <v>331</v>
      </c>
    </row>
    <row r="10" spans="1:12" x14ac:dyDescent="0.3">
      <c r="A10" s="2">
        <v>45901</v>
      </c>
      <c r="B10" s="1" t="s">
        <v>25</v>
      </c>
      <c r="C10" s="1" t="s">
        <v>32</v>
      </c>
      <c r="D10" s="1" t="s">
        <v>155</v>
      </c>
      <c r="E10" s="1" t="s">
        <v>60</v>
      </c>
      <c r="F10" s="1" t="s">
        <v>61</v>
      </c>
      <c r="G10" s="4">
        <v>2</v>
      </c>
      <c r="H10" s="4">
        <v>5757</v>
      </c>
      <c r="I10" s="6">
        <v>2450.5687916618472</v>
      </c>
      <c r="J10" s="6">
        <f>表1[[#This Row],[销售金额]]-表1[[#This Row],[退款金额]]</f>
        <v>3306.4312083381528</v>
      </c>
      <c r="K10" s="1">
        <v>680</v>
      </c>
      <c r="L10" s="1">
        <v>331</v>
      </c>
    </row>
    <row r="11" spans="1:12" x14ac:dyDescent="0.3">
      <c r="A11" s="2">
        <v>45901</v>
      </c>
      <c r="B11" s="1" t="s">
        <v>25</v>
      </c>
      <c r="C11" s="1" t="s">
        <v>19</v>
      </c>
      <c r="D11" s="1" t="s">
        <v>176</v>
      </c>
      <c r="E11" s="1" t="s">
        <v>21</v>
      </c>
      <c r="F11" s="1" t="s">
        <v>22</v>
      </c>
      <c r="G11" s="4">
        <v>4</v>
      </c>
      <c r="H11" s="4">
        <v>4002</v>
      </c>
      <c r="I11" s="6">
        <v>1168.0658273064535</v>
      </c>
      <c r="J11" s="6">
        <f>表1[[#This Row],[销售金额]]-表1[[#This Row],[退款金额]]</f>
        <v>2833.9341726935463</v>
      </c>
      <c r="K11" s="1">
        <v>477</v>
      </c>
      <c r="L11" s="1">
        <v>757</v>
      </c>
    </row>
    <row r="12" spans="1:12" x14ac:dyDescent="0.3">
      <c r="A12" s="2">
        <v>45901</v>
      </c>
      <c r="B12" s="1" t="s">
        <v>25</v>
      </c>
      <c r="C12" s="1" t="s">
        <v>19</v>
      </c>
      <c r="D12" s="1" t="s">
        <v>176</v>
      </c>
      <c r="E12" s="1" t="s">
        <v>21</v>
      </c>
      <c r="F12" s="1" t="s">
        <v>22</v>
      </c>
      <c r="G12" s="4">
        <v>4</v>
      </c>
      <c r="H12" s="4">
        <v>5836</v>
      </c>
      <c r="I12" s="6">
        <v>1168.0658273064535</v>
      </c>
      <c r="J12" s="6">
        <f>表1[[#This Row],[销售金额]]-表1[[#This Row],[退款金额]]</f>
        <v>4667.9341726935463</v>
      </c>
      <c r="K12" s="1">
        <v>477</v>
      </c>
      <c r="L12" s="1">
        <v>757</v>
      </c>
    </row>
    <row r="13" spans="1:12" x14ac:dyDescent="0.3">
      <c r="A13" s="2">
        <v>45901</v>
      </c>
      <c r="B13" s="1" t="s">
        <v>25</v>
      </c>
      <c r="C13" s="1" t="s">
        <v>19</v>
      </c>
      <c r="D13" s="1" t="s">
        <v>176</v>
      </c>
      <c r="E13" s="1" t="s">
        <v>21</v>
      </c>
      <c r="F13" s="1" t="s">
        <v>22</v>
      </c>
      <c r="G13" s="4">
        <v>4</v>
      </c>
      <c r="H13" s="4">
        <v>3721</v>
      </c>
      <c r="I13" s="6">
        <v>1168.0658273064535</v>
      </c>
      <c r="J13" s="6">
        <f>表1[[#This Row],[销售金额]]-表1[[#This Row],[退款金额]]</f>
        <v>2552.9341726935463</v>
      </c>
      <c r="K13" s="1">
        <v>477</v>
      </c>
      <c r="L13" s="1">
        <v>757</v>
      </c>
    </row>
    <row r="14" spans="1:12" x14ac:dyDescent="0.3">
      <c r="A14" s="2">
        <v>45901</v>
      </c>
      <c r="B14" s="1" t="s">
        <v>25</v>
      </c>
      <c r="C14" s="1" t="s">
        <v>19</v>
      </c>
      <c r="D14" s="1" t="s">
        <v>176</v>
      </c>
      <c r="E14" s="1" t="s">
        <v>21</v>
      </c>
      <c r="F14" s="1" t="s">
        <v>22</v>
      </c>
      <c r="G14" s="4">
        <v>4</v>
      </c>
      <c r="H14" s="4">
        <v>3472</v>
      </c>
      <c r="I14" s="6">
        <v>1168.0658273064535</v>
      </c>
      <c r="J14" s="6">
        <f>表1[[#This Row],[销售金额]]-表1[[#This Row],[退款金额]]</f>
        <v>2303.9341726935463</v>
      </c>
      <c r="K14" s="1">
        <v>477</v>
      </c>
      <c r="L14" s="1">
        <v>757</v>
      </c>
    </row>
    <row r="15" spans="1:12" x14ac:dyDescent="0.3">
      <c r="A15" s="2">
        <v>45901</v>
      </c>
      <c r="B15" s="1" t="s">
        <v>25</v>
      </c>
      <c r="C15" s="1" t="s">
        <v>19</v>
      </c>
      <c r="D15" s="1" t="s">
        <v>176</v>
      </c>
      <c r="E15" s="1" t="s">
        <v>21</v>
      </c>
      <c r="F15" s="1" t="s">
        <v>22</v>
      </c>
      <c r="G15" s="4">
        <v>4</v>
      </c>
      <c r="H15" s="4">
        <v>5344</v>
      </c>
      <c r="I15" s="6">
        <v>1168.0658273064535</v>
      </c>
      <c r="J15" s="6">
        <f>表1[[#This Row],[销售金额]]-表1[[#This Row],[退款金额]]</f>
        <v>4175.9341726935463</v>
      </c>
      <c r="K15" s="1">
        <v>477</v>
      </c>
      <c r="L15" s="1">
        <v>757</v>
      </c>
    </row>
    <row r="16" spans="1:12" x14ac:dyDescent="0.3">
      <c r="A16" s="2">
        <v>45901</v>
      </c>
      <c r="B16" s="1" t="s">
        <v>25</v>
      </c>
      <c r="C16" s="1" t="s">
        <v>19</v>
      </c>
      <c r="D16" s="1" t="s">
        <v>176</v>
      </c>
      <c r="E16" s="1" t="s">
        <v>21</v>
      </c>
      <c r="F16" s="1" t="s">
        <v>22</v>
      </c>
      <c r="G16" s="4">
        <v>4</v>
      </c>
      <c r="H16" s="4">
        <v>1462</v>
      </c>
      <c r="I16" s="6">
        <v>1168.0658273064535</v>
      </c>
      <c r="J16" s="6">
        <f>表1[[#This Row],[销售金额]]-表1[[#This Row],[退款金额]]</f>
        <v>293.93417269354654</v>
      </c>
      <c r="K16" s="1">
        <v>477</v>
      </c>
      <c r="L16" s="1">
        <v>757</v>
      </c>
    </row>
    <row r="17" spans="1:12" x14ac:dyDescent="0.3">
      <c r="A17" s="2">
        <v>45901</v>
      </c>
      <c r="B17" s="1" t="s">
        <v>25</v>
      </c>
      <c r="C17" s="1" t="s">
        <v>19</v>
      </c>
      <c r="D17" s="1" t="s">
        <v>176</v>
      </c>
      <c r="E17" s="1" t="s">
        <v>21</v>
      </c>
      <c r="F17" s="1" t="s">
        <v>22</v>
      </c>
      <c r="G17" s="4">
        <v>4</v>
      </c>
      <c r="H17" s="4">
        <v>4148</v>
      </c>
      <c r="I17" s="6">
        <v>1168.0658273064535</v>
      </c>
      <c r="J17" s="6">
        <f>表1[[#This Row],[销售金额]]-表1[[#This Row],[退款金额]]</f>
        <v>2979.9341726935463</v>
      </c>
      <c r="K17" s="1">
        <v>477</v>
      </c>
      <c r="L17" s="1">
        <v>757</v>
      </c>
    </row>
    <row r="18" spans="1:12" x14ac:dyDescent="0.3">
      <c r="A18" s="2">
        <v>45901</v>
      </c>
      <c r="B18" s="1" t="s">
        <v>25</v>
      </c>
      <c r="C18" s="1" t="s">
        <v>19</v>
      </c>
      <c r="D18" s="1" t="s">
        <v>176</v>
      </c>
      <c r="E18" s="1" t="s">
        <v>21</v>
      </c>
      <c r="F18" s="1" t="s">
        <v>22</v>
      </c>
      <c r="G18" s="4">
        <v>4</v>
      </c>
      <c r="H18" s="4">
        <v>2893</v>
      </c>
      <c r="I18" s="6">
        <v>1168.0658273064535</v>
      </c>
      <c r="J18" s="6">
        <f>表1[[#This Row],[销售金额]]-表1[[#This Row],[退款金额]]</f>
        <v>1724.9341726935465</v>
      </c>
      <c r="K18" s="1">
        <v>477</v>
      </c>
      <c r="L18" s="1">
        <v>757</v>
      </c>
    </row>
    <row r="19" spans="1:12" x14ac:dyDescent="0.3">
      <c r="A19" s="2">
        <v>45901</v>
      </c>
      <c r="B19" s="1" t="s">
        <v>25</v>
      </c>
      <c r="C19" s="1" t="s">
        <v>19</v>
      </c>
      <c r="D19" s="1" t="s">
        <v>176</v>
      </c>
      <c r="E19" s="1" t="s">
        <v>21</v>
      </c>
      <c r="F19" s="1" t="s">
        <v>22</v>
      </c>
      <c r="G19" s="4">
        <v>4</v>
      </c>
      <c r="H19" s="4">
        <v>2893</v>
      </c>
      <c r="I19" s="6">
        <v>1168.0658273064535</v>
      </c>
      <c r="J19" s="6">
        <f>表1[[#This Row],[销售金额]]-表1[[#This Row],[退款金额]]</f>
        <v>1724.9341726935465</v>
      </c>
      <c r="K19" s="1">
        <v>477</v>
      </c>
      <c r="L19" s="1">
        <v>757</v>
      </c>
    </row>
    <row r="20" spans="1:12" x14ac:dyDescent="0.3">
      <c r="A20" s="2">
        <v>45901</v>
      </c>
      <c r="B20" s="1" t="s">
        <v>15</v>
      </c>
      <c r="C20" s="1" t="s">
        <v>32</v>
      </c>
      <c r="D20" s="1" t="s">
        <v>79</v>
      </c>
      <c r="E20" s="1" t="s">
        <v>60</v>
      </c>
      <c r="F20" s="1" t="s">
        <v>61</v>
      </c>
      <c r="G20" s="4">
        <v>11</v>
      </c>
      <c r="H20" s="4">
        <v>11576</v>
      </c>
      <c r="I20" s="6">
        <v>10363.049277185755</v>
      </c>
      <c r="J20" s="6">
        <f>表1[[#This Row],[销售金额]]-表1[[#This Row],[退款金额]]</f>
        <v>1212.9507228142447</v>
      </c>
      <c r="K20" s="1">
        <v>187</v>
      </c>
      <c r="L20" s="1">
        <v>986</v>
      </c>
    </row>
    <row r="21" spans="1:12" x14ac:dyDescent="0.3">
      <c r="A21" s="2">
        <v>45901</v>
      </c>
      <c r="B21" s="1" t="s">
        <v>15</v>
      </c>
      <c r="C21" s="1" t="s">
        <v>32</v>
      </c>
      <c r="D21" s="1" t="s">
        <v>79</v>
      </c>
      <c r="E21" s="1" t="s">
        <v>60</v>
      </c>
      <c r="F21" s="1" t="s">
        <v>61</v>
      </c>
      <c r="G21" s="4">
        <v>11</v>
      </c>
      <c r="H21" s="4">
        <v>12503</v>
      </c>
      <c r="I21" s="6">
        <v>10363.049277185755</v>
      </c>
      <c r="J21" s="6">
        <f>表1[[#This Row],[销售金额]]-表1[[#This Row],[退款金额]]</f>
        <v>2139.9507228142447</v>
      </c>
      <c r="K21" s="1">
        <v>187</v>
      </c>
      <c r="L21" s="1">
        <v>986</v>
      </c>
    </row>
    <row r="22" spans="1:12" x14ac:dyDescent="0.3">
      <c r="A22" s="2">
        <v>45901</v>
      </c>
      <c r="B22" s="1" t="s">
        <v>15</v>
      </c>
      <c r="C22" s="1" t="s">
        <v>32</v>
      </c>
      <c r="D22" s="1" t="s">
        <v>79</v>
      </c>
      <c r="E22" s="1" t="s">
        <v>60</v>
      </c>
      <c r="F22" s="1" t="s">
        <v>61</v>
      </c>
      <c r="G22" s="4">
        <v>11</v>
      </c>
      <c r="H22" s="4">
        <v>11738</v>
      </c>
      <c r="I22" s="6">
        <v>10363.049277185755</v>
      </c>
      <c r="J22" s="6">
        <f>表1[[#This Row],[销售金额]]-表1[[#This Row],[退款金额]]</f>
        <v>1374.9507228142447</v>
      </c>
      <c r="K22" s="1">
        <v>187</v>
      </c>
      <c r="L22" s="1">
        <v>986</v>
      </c>
    </row>
    <row r="23" spans="1:12" x14ac:dyDescent="0.3">
      <c r="A23" s="2">
        <v>45901</v>
      </c>
      <c r="B23" s="1" t="s">
        <v>15</v>
      </c>
      <c r="C23" s="1" t="s">
        <v>32</v>
      </c>
      <c r="D23" s="1" t="s">
        <v>79</v>
      </c>
      <c r="E23" s="1" t="s">
        <v>60</v>
      </c>
      <c r="F23" s="1" t="s">
        <v>61</v>
      </c>
      <c r="G23" s="4">
        <v>11</v>
      </c>
      <c r="H23" s="4">
        <v>13664</v>
      </c>
      <c r="I23" s="6">
        <v>10363.049277185755</v>
      </c>
      <c r="J23" s="6">
        <f>表1[[#This Row],[销售金额]]-表1[[#This Row],[退款金额]]</f>
        <v>3300.9507228142447</v>
      </c>
      <c r="K23" s="1">
        <v>187</v>
      </c>
      <c r="L23" s="1">
        <v>986</v>
      </c>
    </row>
    <row r="24" spans="1:12" x14ac:dyDescent="0.3">
      <c r="A24" s="2">
        <v>45901</v>
      </c>
      <c r="B24" s="1" t="s">
        <v>15</v>
      </c>
      <c r="C24" s="1" t="s">
        <v>32</v>
      </c>
      <c r="D24" s="1" t="s">
        <v>79</v>
      </c>
      <c r="E24" s="1" t="s">
        <v>60</v>
      </c>
      <c r="F24" s="1" t="s">
        <v>61</v>
      </c>
      <c r="G24" s="4">
        <v>11</v>
      </c>
      <c r="H24" s="4">
        <v>12543</v>
      </c>
      <c r="I24" s="6">
        <v>10363.049277185755</v>
      </c>
      <c r="J24" s="6">
        <f>表1[[#This Row],[销售金额]]-表1[[#This Row],[退款金额]]</f>
        <v>2179.9507228142447</v>
      </c>
      <c r="K24" s="1">
        <v>187</v>
      </c>
      <c r="L24" s="1">
        <v>986</v>
      </c>
    </row>
    <row r="25" spans="1:12" x14ac:dyDescent="0.3">
      <c r="A25" s="2">
        <v>45901</v>
      </c>
      <c r="B25" s="1" t="s">
        <v>15</v>
      </c>
      <c r="C25" s="1" t="s">
        <v>32</v>
      </c>
      <c r="D25" s="1" t="s">
        <v>79</v>
      </c>
      <c r="E25" s="1" t="s">
        <v>60</v>
      </c>
      <c r="F25" s="1" t="s">
        <v>61</v>
      </c>
      <c r="G25" s="4">
        <v>11</v>
      </c>
      <c r="H25" s="4">
        <v>11494</v>
      </c>
      <c r="I25" s="6">
        <v>10363.049277185755</v>
      </c>
      <c r="J25" s="6">
        <f>表1[[#This Row],[销售金额]]-表1[[#This Row],[退款金额]]</f>
        <v>1130.9507228142447</v>
      </c>
      <c r="K25" s="1">
        <v>187</v>
      </c>
      <c r="L25" s="1">
        <v>986</v>
      </c>
    </row>
    <row r="26" spans="1:12" x14ac:dyDescent="0.3">
      <c r="A26" s="2">
        <v>45901</v>
      </c>
      <c r="B26" s="1" t="s">
        <v>15</v>
      </c>
      <c r="C26" s="1" t="s">
        <v>32</v>
      </c>
      <c r="D26" s="1" t="s">
        <v>79</v>
      </c>
      <c r="E26" s="1" t="s">
        <v>60</v>
      </c>
      <c r="F26" s="1" t="s">
        <v>61</v>
      </c>
      <c r="G26" s="4">
        <v>11</v>
      </c>
      <c r="H26" s="4">
        <v>14273</v>
      </c>
      <c r="I26" s="6">
        <v>10363.049277185755</v>
      </c>
      <c r="J26" s="6">
        <f>表1[[#This Row],[销售金额]]-表1[[#This Row],[退款金额]]</f>
        <v>3909.9507228142447</v>
      </c>
      <c r="K26" s="1">
        <v>187</v>
      </c>
      <c r="L26" s="1">
        <v>986</v>
      </c>
    </row>
    <row r="27" spans="1:12" x14ac:dyDescent="0.3">
      <c r="A27" s="2">
        <v>45901</v>
      </c>
      <c r="B27" s="1" t="s">
        <v>15</v>
      </c>
      <c r="C27" s="1" t="s">
        <v>32</v>
      </c>
      <c r="D27" s="1" t="s">
        <v>79</v>
      </c>
      <c r="E27" s="1" t="s">
        <v>60</v>
      </c>
      <c r="F27" s="1" t="s">
        <v>61</v>
      </c>
      <c r="G27" s="4">
        <v>11</v>
      </c>
      <c r="H27" s="4">
        <v>11480</v>
      </c>
      <c r="I27" s="6">
        <v>10363.049277185755</v>
      </c>
      <c r="J27" s="6">
        <f>表1[[#This Row],[销售金额]]-表1[[#This Row],[退款金额]]</f>
        <v>1116.9507228142447</v>
      </c>
      <c r="K27" s="1">
        <v>187</v>
      </c>
      <c r="L27" s="1">
        <v>986</v>
      </c>
    </row>
    <row r="28" spans="1:12" x14ac:dyDescent="0.3">
      <c r="A28" s="2">
        <v>45901</v>
      </c>
      <c r="B28" s="1" t="s">
        <v>15</v>
      </c>
      <c r="C28" s="1" t="s">
        <v>32</v>
      </c>
      <c r="D28" s="1" t="s">
        <v>79</v>
      </c>
      <c r="E28" s="1" t="s">
        <v>60</v>
      </c>
      <c r="F28" s="1" t="s">
        <v>61</v>
      </c>
      <c r="G28" s="4">
        <v>11</v>
      </c>
      <c r="H28" s="4">
        <v>11177</v>
      </c>
      <c r="I28" s="6">
        <v>10363.049277185755</v>
      </c>
      <c r="J28" s="6">
        <f>表1[[#This Row],[销售金额]]-表1[[#This Row],[退款金额]]</f>
        <v>813.95072281424473</v>
      </c>
      <c r="K28" s="1">
        <v>187</v>
      </c>
      <c r="L28" s="1">
        <v>986</v>
      </c>
    </row>
    <row r="29" spans="1:12" x14ac:dyDescent="0.3">
      <c r="A29" s="2">
        <v>45901</v>
      </c>
      <c r="B29" s="1" t="s">
        <v>15</v>
      </c>
      <c r="C29" s="1" t="s">
        <v>19</v>
      </c>
      <c r="D29" s="1" t="s">
        <v>16</v>
      </c>
      <c r="E29" s="1" t="s">
        <v>17</v>
      </c>
      <c r="F29" s="1" t="s">
        <v>18</v>
      </c>
      <c r="G29" s="4">
        <v>17</v>
      </c>
      <c r="H29" s="4">
        <v>10615</v>
      </c>
      <c r="I29" s="6">
        <v>7381.6740219241437</v>
      </c>
      <c r="J29" s="6">
        <f>表1[[#This Row],[销售金额]]-表1[[#This Row],[退款金额]]</f>
        <v>3233.3259780758563</v>
      </c>
      <c r="K29" s="1">
        <v>778</v>
      </c>
      <c r="L29" s="1">
        <v>32</v>
      </c>
    </row>
    <row r="30" spans="1:12" x14ac:dyDescent="0.3">
      <c r="A30" s="2">
        <v>45901</v>
      </c>
      <c r="B30" s="1" t="s">
        <v>15</v>
      </c>
      <c r="C30" s="1" t="s">
        <v>19</v>
      </c>
      <c r="D30" s="1" t="s">
        <v>16</v>
      </c>
      <c r="E30" s="1" t="s">
        <v>17</v>
      </c>
      <c r="F30" s="1" t="s">
        <v>18</v>
      </c>
      <c r="G30" s="4">
        <v>17</v>
      </c>
      <c r="H30" s="4">
        <v>9448</v>
      </c>
      <c r="I30" s="6">
        <v>7381.6740219241437</v>
      </c>
      <c r="J30" s="6">
        <f>表1[[#This Row],[销售金额]]-表1[[#This Row],[退款金额]]</f>
        <v>2066.3259780758563</v>
      </c>
      <c r="K30" s="1">
        <v>778</v>
      </c>
      <c r="L30" s="1">
        <v>32</v>
      </c>
    </row>
    <row r="31" spans="1:12" x14ac:dyDescent="0.3">
      <c r="A31" s="2">
        <v>45901</v>
      </c>
      <c r="B31" s="1" t="s">
        <v>15</v>
      </c>
      <c r="C31" s="1" t="s">
        <v>19</v>
      </c>
      <c r="D31" s="1" t="s">
        <v>16</v>
      </c>
      <c r="E31" s="1" t="s">
        <v>17</v>
      </c>
      <c r="F31" s="1" t="s">
        <v>18</v>
      </c>
      <c r="G31" s="4">
        <v>17</v>
      </c>
      <c r="H31" s="4">
        <v>9993</v>
      </c>
      <c r="I31" s="6">
        <v>7381.6740219241437</v>
      </c>
      <c r="J31" s="6">
        <f>表1[[#This Row],[销售金额]]-表1[[#This Row],[退款金额]]</f>
        <v>2611.3259780758563</v>
      </c>
      <c r="K31" s="1">
        <v>778</v>
      </c>
      <c r="L31" s="1">
        <v>32</v>
      </c>
    </row>
    <row r="32" spans="1:12" x14ac:dyDescent="0.3">
      <c r="A32" s="2">
        <v>45901</v>
      </c>
      <c r="B32" s="1" t="s">
        <v>15</v>
      </c>
      <c r="C32" s="1" t="s">
        <v>19</v>
      </c>
      <c r="D32" s="1" t="s">
        <v>16</v>
      </c>
      <c r="E32" s="1" t="s">
        <v>17</v>
      </c>
      <c r="F32" s="1" t="s">
        <v>18</v>
      </c>
      <c r="G32" s="4">
        <v>17</v>
      </c>
      <c r="H32" s="4">
        <v>9796</v>
      </c>
      <c r="I32" s="6">
        <v>7381.6740219241437</v>
      </c>
      <c r="J32" s="6">
        <f>表1[[#This Row],[销售金额]]-表1[[#This Row],[退款金额]]</f>
        <v>2414.3259780758563</v>
      </c>
      <c r="K32" s="1">
        <v>778</v>
      </c>
      <c r="L32" s="1">
        <v>32</v>
      </c>
    </row>
    <row r="33" spans="1:12" x14ac:dyDescent="0.3">
      <c r="A33" s="2">
        <v>45901</v>
      </c>
      <c r="B33" s="1" t="s">
        <v>15</v>
      </c>
      <c r="C33" s="1" t="s">
        <v>19</v>
      </c>
      <c r="D33" s="1" t="s">
        <v>16</v>
      </c>
      <c r="E33" s="1" t="s">
        <v>17</v>
      </c>
      <c r="F33" s="1" t="s">
        <v>18</v>
      </c>
      <c r="G33" s="4">
        <v>17</v>
      </c>
      <c r="H33" s="4">
        <v>10747</v>
      </c>
      <c r="I33" s="6">
        <v>7381.6740219241437</v>
      </c>
      <c r="J33" s="6">
        <f>表1[[#This Row],[销售金额]]-表1[[#This Row],[退款金额]]</f>
        <v>3365.3259780758563</v>
      </c>
      <c r="K33" s="1">
        <v>778</v>
      </c>
      <c r="L33" s="1">
        <v>32</v>
      </c>
    </row>
    <row r="34" spans="1:12" x14ac:dyDescent="0.3">
      <c r="A34" s="2">
        <v>45901</v>
      </c>
      <c r="B34" s="1" t="s">
        <v>15</v>
      </c>
      <c r="C34" s="1" t="s">
        <v>19</v>
      </c>
      <c r="D34" s="1" t="s">
        <v>16</v>
      </c>
      <c r="E34" s="1" t="s">
        <v>17</v>
      </c>
      <c r="F34" s="1" t="s">
        <v>18</v>
      </c>
      <c r="G34" s="4">
        <v>17</v>
      </c>
      <c r="H34" s="4">
        <v>11984</v>
      </c>
      <c r="I34" s="6">
        <v>7381.6740219241437</v>
      </c>
      <c r="J34" s="6">
        <f>表1[[#This Row],[销售金额]]-表1[[#This Row],[退款金额]]</f>
        <v>4602.3259780758563</v>
      </c>
      <c r="K34" s="1">
        <v>778</v>
      </c>
      <c r="L34" s="1">
        <v>32</v>
      </c>
    </row>
    <row r="35" spans="1:12" x14ac:dyDescent="0.3">
      <c r="A35" s="2">
        <v>45901</v>
      </c>
      <c r="B35" s="1" t="s">
        <v>15</v>
      </c>
      <c r="C35" s="1" t="s">
        <v>19</v>
      </c>
      <c r="D35" s="1" t="s">
        <v>16</v>
      </c>
      <c r="E35" s="1" t="s">
        <v>17</v>
      </c>
      <c r="F35" s="1" t="s">
        <v>18</v>
      </c>
      <c r="G35" s="4">
        <v>17</v>
      </c>
      <c r="H35" s="4">
        <v>8451</v>
      </c>
      <c r="I35" s="6">
        <v>7381.6740219241437</v>
      </c>
      <c r="J35" s="6">
        <f>表1[[#This Row],[销售金额]]-表1[[#This Row],[退款金额]]</f>
        <v>1069.3259780758563</v>
      </c>
      <c r="K35" s="1">
        <v>778</v>
      </c>
      <c r="L35" s="1">
        <v>32</v>
      </c>
    </row>
    <row r="36" spans="1:12" x14ac:dyDescent="0.3">
      <c r="A36" s="2">
        <v>45901</v>
      </c>
      <c r="B36" s="1" t="s">
        <v>15</v>
      </c>
      <c r="C36" s="1" t="s">
        <v>19</v>
      </c>
      <c r="D36" s="1" t="s">
        <v>16</v>
      </c>
      <c r="E36" s="1" t="s">
        <v>17</v>
      </c>
      <c r="F36" s="1" t="s">
        <v>18</v>
      </c>
      <c r="G36" s="4">
        <v>17</v>
      </c>
      <c r="H36" s="4">
        <v>11789</v>
      </c>
      <c r="I36" s="6">
        <v>7381.6740219241437</v>
      </c>
      <c r="J36" s="6">
        <f>表1[[#This Row],[销售金额]]-表1[[#This Row],[退款金额]]</f>
        <v>4407.3259780758563</v>
      </c>
      <c r="K36" s="1">
        <v>778</v>
      </c>
      <c r="L36" s="1">
        <v>32</v>
      </c>
    </row>
    <row r="37" spans="1:12" x14ac:dyDescent="0.3">
      <c r="A37" s="2">
        <v>45901</v>
      </c>
      <c r="B37" s="1" t="s">
        <v>15</v>
      </c>
      <c r="C37" s="1" t="s">
        <v>19</v>
      </c>
      <c r="D37" s="1" t="s">
        <v>16</v>
      </c>
      <c r="E37" s="1" t="s">
        <v>17</v>
      </c>
      <c r="F37" s="1" t="s">
        <v>18</v>
      </c>
      <c r="G37" s="4">
        <v>17</v>
      </c>
      <c r="H37" s="4">
        <v>8983</v>
      </c>
      <c r="I37" s="6">
        <v>7381.6740219241437</v>
      </c>
      <c r="J37" s="6">
        <f>表1[[#This Row],[销售金额]]-表1[[#This Row],[退款金额]]</f>
        <v>1601.3259780758563</v>
      </c>
      <c r="K37" s="1">
        <v>778</v>
      </c>
      <c r="L37" s="1">
        <v>32</v>
      </c>
    </row>
    <row r="38" spans="1:12" x14ac:dyDescent="0.3">
      <c r="A38" s="2">
        <v>45902</v>
      </c>
      <c r="B38" s="1" t="s">
        <v>250</v>
      </c>
      <c r="C38" s="1" t="s">
        <v>10</v>
      </c>
      <c r="D38" s="1" t="s">
        <v>227</v>
      </c>
      <c r="E38" s="1" t="s">
        <v>8</v>
      </c>
      <c r="F38" s="1" t="s">
        <v>9</v>
      </c>
      <c r="G38" s="4">
        <v>5</v>
      </c>
      <c r="H38" s="4">
        <v>20122</v>
      </c>
      <c r="I38" s="6">
        <v>15848.588331274375</v>
      </c>
      <c r="J38" s="6">
        <f>表1[[#This Row],[销售金额]]-表1[[#This Row],[退款金额]]</f>
        <v>4273.4116687256246</v>
      </c>
      <c r="K38" s="1">
        <v>271</v>
      </c>
      <c r="L38" s="1">
        <v>780</v>
      </c>
    </row>
    <row r="39" spans="1:12" x14ac:dyDescent="0.3">
      <c r="A39" s="2">
        <v>45902</v>
      </c>
      <c r="B39" s="1" t="s">
        <v>250</v>
      </c>
      <c r="C39" s="1" t="s">
        <v>10</v>
      </c>
      <c r="D39" s="1" t="s">
        <v>227</v>
      </c>
      <c r="E39" s="1" t="s">
        <v>8</v>
      </c>
      <c r="F39" s="1" t="s">
        <v>9</v>
      </c>
      <c r="G39" s="4">
        <v>5</v>
      </c>
      <c r="H39" s="4">
        <v>18437</v>
      </c>
      <c r="I39" s="6">
        <v>15848.588331274375</v>
      </c>
      <c r="J39" s="6">
        <f>表1[[#This Row],[销售金额]]-表1[[#This Row],[退款金额]]</f>
        <v>2588.4116687256246</v>
      </c>
      <c r="K39" s="1">
        <v>271</v>
      </c>
      <c r="L39" s="1">
        <v>780</v>
      </c>
    </row>
    <row r="40" spans="1:12" x14ac:dyDescent="0.3">
      <c r="A40" s="2">
        <v>45902</v>
      </c>
      <c r="B40" s="1" t="s">
        <v>250</v>
      </c>
      <c r="C40" s="1" t="s">
        <v>10</v>
      </c>
      <c r="D40" s="1" t="s">
        <v>227</v>
      </c>
      <c r="E40" s="1" t="s">
        <v>8</v>
      </c>
      <c r="F40" s="1" t="s">
        <v>9</v>
      </c>
      <c r="G40" s="4">
        <v>5</v>
      </c>
      <c r="H40" s="4">
        <v>18575</v>
      </c>
      <c r="I40" s="6">
        <v>15848.588331274375</v>
      </c>
      <c r="J40" s="6">
        <f>表1[[#This Row],[销售金额]]-表1[[#This Row],[退款金额]]</f>
        <v>2726.4116687256246</v>
      </c>
      <c r="K40" s="1">
        <v>271</v>
      </c>
      <c r="L40" s="1">
        <v>780</v>
      </c>
    </row>
    <row r="41" spans="1:12" x14ac:dyDescent="0.3">
      <c r="A41" s="2">
        <v>45902</v>
      </c>
      <c r="B41" s="1" t="s">
        <v>250</v>
      </c>
      <c r="C41" s="1" t="s">
        <v>10</v>
      </c>
      <c r="D41" s="1" t="s">
        <v>227</v>
      </c>
      <c r="E41" s="1" t="s">
        <v>8</v>
      </c>
      <c r="F41" s="1" t="s">
        <v>9</v>
      </c>
      <c r="G41" s="4">
        <v>5</v>
      </c>
      <c r="H41" s="4">
        <v>19699</v>
      </c>
      <c r="I41" s="6">
        <v>15848.588331274375</v>
      </c>
      <c r="J41" s="6">
        <f>表1[[#This Row],[销售金额]]-表1[[#This Row],[退款金额]]</f>
        <v>3850.4116687256246</v>
      </c>
      <c r="K41" s="1">
        <v>271</v>
      </c>
      <c r="L41" s="1">
        <v>780</v>
      </c>
    </row>
    <row r="42" spans="1:12" x14ac:dyDescent="0.3">
      <c r="A42" s="2">
        <v>45902</v>
      </c>
      <c r="B42" s="1" t="s">
        <v>250</v>
      </c>
      <c r="C42" s="1" t="s">
        <v>10</v>
      </c>
      <c r="D42" s="1" t="s">
        <v>227</v>
      </c>
      <c r="E42" s="1" t="s">
        <v>8</v>
      </c>
      <c r="F42" s="1" t="s">
        <v>9</v>
      </c>
      <c r="G42" s="4">
        <v>5</v>
      </c>
      <c r="H42" s="4">
        <v>20490</v>
      </c>
      <c r="I42" s="6">
        <v>15848.588331274375</v>
      </c>
      <c r="J42" s="6">
        <f>表1[[#This Row],[销售金额]]-表1[[#This Row],[退款金额]]</f>
        <v>4641.4116687256246</v>
      </c>
      <c r="K42" s="1">
        <v>271</v>
      </c>
      <c r="L42" s="1">
        <v>780</v>
      </c>
    </row>
    <row r="43" spans="1:12" x14ac:dyDescent="0.3">
      <c r="A43" s="2">
        <v>45902</v>
      </c>
      <c r="B43" s="1" t="s">
        <v>250</v>
      </c>
      <c r="C43" s="1" t="s">
        <v>10</v>
      </c>
      <c r="D43" s="1" t="s">
        <v>227</v>
      </c>
      <c r="E43" s="1" t="s">
        <v>8</v>
      </c>
      <c r="F43" s="1" t="s">
        <v>9</v>
      </c>
      <c r="G43" s="4">
        <v>5</v>
      </c>
      <c r="H43" s="4">
        <v>16556</v>
      </c>
      <c r="I43" s="6">
        <v>15848.588331274375</v>
      </c>
      <c r="J43" s="6">
        <f>表1[[#This Row],[销售金额]]-表1[[#This Row],[退款金额]]</f>
        <v>707.41166872562462</v>
      </c>
      <c r="K43" s="1">
        <v>271</v>
      </c>
      <c r="L43" s="1">
        <v>780</v>
      </c>
    </row>
    <row r="44" spans="1:12" x14ac:dyDescent="0.3">
      <c r="A44" s="2">
        <v>45902</v>
      </c>
      <c r="B44" s="1" t="s">
        <v>250</v>
      </c>
      <c r="C44" s="1" t="s">
        <v>10</v>
      </c>
      <c r="D44" s="1" t="s">
        <v>227</v>
      </c>
      <c r="E44" s="1" t="s">
        <v>8</v>
      </c>
      <c r="F44" s="1" t="s">
        <v>9</v>
      </c>
      <c r="G44" s="4">
        <v>5</v>
      </c>
      <c r="H44" s="4">
        <v>16914</v>
      </c>
      <c r="I44" s="6">
        <v>15848.588331274375</v>
      </c>
      <c r="J44" s="6">
        <f>表1[[#This Row],[销售金额]]-表1[[#This Row],[退款金额]]</f>
        <v>1065.4116687256246</v>
      </c>
      <c r="K44" s="1">
        <v>271</v>
      </c>
      <c r="L44" s="1">
        <v>780</v>
      </c>
    </row>
    <row r="45" spans="1:12" x14ac:dyDescent="0.3">
      <c r="A45" s="2">
        <v>45902</v>
      </c>
      <c r="B45" s="1" t="s">
        <v>250</v>
      </c>
      <c r="C45" s="1" t="s">
        <v>10</v>
      </c>
      <c r="D45" s="1" t="s">
        <v>227</v>
      </c>
      <c r="E45" s="1" t="s">
        <v>8</v>
      </c>
      <c r="F45" s="1" t="s">
        <v>9</v>
      </c>
      <c r="G45" s="4">
        <v>5</v>
      </c>
      <c r="H45" s="4">
        <v>19886</v>
      </c>
      <c r="I45" s="6">
        <v>15848.588331274375</v>
      </c>
      <c r="J45" s="6">
        <f>表1[[#This Row],[销售金额]]-表1[[#This Row],[退款金额]]</f>
        <v>4037.4116687256246</v>
      </c>
      <c r="K45" s="1">
        <v>271</v>
      </c>
      <c r="L45" s="1">
        <v>780</v>
      </c>
    </row>
    <row r="46" spans="1:12" x14ac:dyDescent="0.3">
      <c r="A46" s="2">
        <v>45902</v>
      </c>
      <c r="B46" s="1" t="s">
        <v>25</v>
      </c>
      <c r="C46" s="1" t="s">
        <v>32</v>
      </c>
      <c r="D46" s="1" t="s">
        <v>164</v>
      </c>
      <c r="E46" s="1" t="s">
        <v>30</v>
      </c>
      <c r="F46" s="1" t="s">
        <v>31</v>
      </c>
      <c r="G46" s="4">
        <v>11</v>
      </c>
      <c r="H46" s="4">
        <v>5449</v>
      </c>
      <c r="I46" s="6">
        <v>2190.4390491527861</v>
      </c>
      <c r="J46" s="6">
        <f>表1[[#This Row],[销售金额]]-表1[[#This Row],[退款金额]]</f>
        <v>3258.5609508472139</v>
      </c>
      <c r="K46" s="1">
        <v>304</v>
      </c>
      <c r="L46" s="1">
        <v>527</v>
      </c>
    </row>
    <row r="47" spans="1:12" x14ac:dyDescent="0.3">
      <c r="A47" s="2">
        <v>45902</v>
      </c>
      <c r="B47" s="1" t="s">
        <v>25</v>
      </c>
      <c r="C47" s="1" t="s">
        <v>32</v>
      </c>
      <c r="D47" s="1" t="s">
        <v>164</v>
      </c>
      <c r="E47" s="1" t="s">
        <v>30</v>
      </c>
      <c r="F47" s="1" t="s">
        <v>31</v>
      </c>
      <c r="G47" s="4">
        <v>11</v>
      </c>
      <c r="H47" s="4">
        <v>3468</v>
      </c>
      <c r="I47" s="6">
        <v>2190.4390491527861</v>
      </c>
      <c r="J47" s="6">
        <f>表1[[#This Row],[销售金额]]-表1[[#This Row],[退款金额]]</f>
        <v>1277.5609508472139</v>
      </c>
      <c r="K47" s="1">
        <v>304</v>
      </c>
      <c r="L47" s="1">
        <v>527</v>
      </c>
    </row>
    <row r="48" spans="1:12" x14ac:dyDescent="0.3">
      <c r="A48" s="2">
        <v>45902</v>
      </c>
      <c r="B48" s="1" t="s">
        <v>25</v>
      </c>
      <c r="C48" s="1" t="s">
        <v>32</v>
      </c>
      <c r="D48" s="1" t="s">
        <v>164</v>
      </c>
      <c r="E48" s="1" t="s">
        <v>30</v>
      </c>
      <c r="F48" s="1" t="s">
        <v>31</v>
      </c>
      <c r="G48" s="4">
        <v>11</v>
      </c>
      <c r="H48" s="4">
        <v>2647</v>
      </c>
      <c r="I48" s="6">
        <v>2190.4390491527861</v>
      </c>
      <c r="J48" s="6">
        <f>表1[[#This Row],[销售金额]]-表1[[#This Row],[退款金额]]</f>
        <v>456.56095084721392</v>
      </c>
      <c r="K48" s="1">
        <v>304</v>
      </c>
      <c r="L48" s="1">
        <v>527</v>
      </c>
    </row>
    <row r="49" spans="1:12" x14ac:dyDescent="0.3">
      <c r="A49" s="2">
        <v>45902</v>
      </c>
      <c r="B49" s="1" t="s">
        <v>25</v>
      </c>
      <c r="C49" s="1" t="s">
        <v>32</v>
      </c>
      <c r="D49" s="1" t="s">
        <v>164</v>
      </c>
      <c r="E49" s="1" t="s">
        <v>30</v>
      </c>
      <c r="F49" s="1" t="s">
        <v>31</v>
      </c>
      <c r="G49" s="4">
        <v>11</v>
      </c>
      <c r="H49" s="4">
        <v>3383</v>
      </c>
      <c r="I49" s="6">
        <v>2190.4390491527861</v>
      </c>
      <c r="J49" s="6">
        <f>表1[[#This Row],[销售金额]]-表1[[#This Row],[退款金额]]</f>
        <v>1192.5609508472139</v>
      </c>
      <c r="K49" s="1">
        <v>304</v>
      </c>
      <c r="L49" s="1">
        <v>527</v>
      </c>
    </row>
    <row r="50" spans="1:12" x14ac:dyDescent="0.3">
      <c r="A50" s="2">
        <v>45902</v>
      </c>
      <c r="B50" s="1" t="s">
        <v>25</v>
      </c>
      <c r="C50" s="1" t="s">
        <v>32</v>
      </c>
      <c r="D50" s="1" t="s">
        <v>164</v>
      </c>
      <c r="E50" s="1" t="s">
        <v>30</v>
      </c>
      <c r="F50" s="1" t="s">
        <v>31</v>
      </c>
      <c r="G50" s="4">
        <v>11</v>
      </c>
      <c r="H50" s="4">
        <v>6634</v>
      </c>
      <c r="I50" s="6">
        <v>2190.4390491527861</v>
      </c>
      <c r="J50" s="6">
        <f>表1[[#This Row],[销售金额]]-表1[[#This Row],[退款金额]]</f>
        <v>4443.5609508472135</v>
      </c>
      <c r="K50" s="1">
        <v>304</v>
      </c>
      <c r="L50" s="1">
        <v>527</v>
      </c>
    </row>
    <row r="51" spans="1:12" x14ac:dyDescent="0.3">
      <c r="A51" s="2">
        <v>45902</v>
      </c>
      <c r="B51" s="1" t="s">
        <v>25</v>
      </c>
      <c r="C51" s="1" t="s">
        <v>32</v>
      </c>
      <c r="D51" s="1" t="s">
        <v>164</v>
      </c>
      <c r="E51" s="1" t="s">
        <v>30</v>
      </c>
      <c r="F51" s="1" t="s">
        <v>31</v>
      </c>
      <c r="G51" s="4">
        <v>11</v>
      </c>
      <c r="H51" s="4">
        <v>3732</v>
      </c>
      <c r="I51" s="6">
        <v>2190.4390491527861</v>
      </c>
      <c r="J51" s="6">
        <f>表1[[#This Row],[销售金额]]-表1[[#This Row],[退款金额]]</f>
        <v>1541.5609508472139</v>
      </c>
      <c r="K51" s="1">
        <v>304</v>
      </c>
      <c r="L51" s="1">
        <v>527</v>
      </c>
    </row>
    <row r="52" spans="1:12" x14ac:dyDescent="0.3">
      <c r="A52" s="2">
        <v>45902</v>
      </c>
      <c r="B52" s="1" t="s">
        <v>25</v>
      </c>
      <c r="C52" s="1" t="s">
        <v>32</v>
      </c>
      <c r="D52" s="1" t="s">
        <v>164</v>
      </c>
      <c r="E52" s="1" t="s">
        <v>30</v>
      </c>
      <c r="F52" s="1" t="s">
        <v>31</v>
      </c>
      <c r="G52" s="4">
        <v>11</v>
      </c>
      <c r="H52" s="4">
        <v>3351</v>
      </c>
      <c r="I52" s="6">
        <v>2190.4390491527861</v>
      </c>
      <c r="J52" s="6">
        <f>表1[[#This Row],[销售金额]]-表1[[#This Row],[退款金额]]</f>
        <v>1160.5609508472139</v>
      </c>
      <c r="K52" s="1">
        <v>304</v>
      </c>
      <c r="L52" s="1">
        <v>527</v>
      </c>
    </row>
    <row r="53" spans="1:12" x14ac:dyDescent="0.3">
      <c r="A53" s="2">
        <v>45902</v>
      </c>
      <c r="B53" s="1" t="s">
        <v>25</v>
      </c>
      <c r="C53" s="1" t="s">
        <v>32</v>
      </c>
      <c r="D53" s="1" t="s">
        <v>164</v>
      </c>
      <c r="E53" s="1" t="s">
        <v>30</v>
      </c>
      <c r="F53" s="1" t="s">
        <v>31</v>
      </c>
      <c r="G53" s="4">
        <v>11</v>
      </c>
      <c r="H53" s="4">
        <v>2755</v>
      </c>
      <c r="I53" s="6">
        <v>2190.4390491527861</v>
      </c>
      <c r="J53" s="6">
        <f>表1[[#This Row],[销售金额]]-表1[[#This Row],[退款金额]]</f>
        <v>564.56095084721392</v>
      </c>
      <c r="K53" s="1">
        <v>304</v>
      </c>
      <c r="L53" s="1">
        <v>527</v>
      </c>
    </row>
    <row r="54" spans="1:12" x14ac:dyDescent="0.3">
      <c r="A54" s="2">
        <v>45902</v>
      </c>
      <c r="B54" s="1" t="s">
        <v>25</v>
      </c>
      <c r="C54" s="1" t="s">
        <v>32</v>
      </c>
      <c r="D54" s="1" t="s">
        <v>164</v>
      </c>
      <c r="E54" s="1" t="s">
        <v>30</v>
      </c>
      <c r="F54" s="1" t="s">
        <v>31</v>
      </c>
      <c r="G54" s="4">
        <v>11</v>
      </c>
      <c r="H54" s="4">
        <v>7156</v>
      </c>
      <c r="I54" s="6">
        <v>2190.4390491527861</v>
      </c>
      <c r="J54" s="6">
        <f>表1[[#This Row],[销售金额]]-表1[[#This Row],[退款金额]]</f>
        <v>4965.5609508472135</v>
      </c>
      <c r="K54" s="1">
        <v>304</v>
      </c>
      <c r="L54" s="1">
        <v>527</v>
      </c>
    </row>
    <row r="55" spans="1:12" x14ac:dyDescent="0.3">
      <c r="A55" s="2">
        <v>45902</v>
      </c>
      <c r="B55" s="1" t="s">
        <v>250</v>
      </c>
      <c r="C55" s="1" t="s">
        <v>10</v>
      </c>
      <c r="D55" s="1" t="s">
        <v>223</v>
      </c>
      <c r="E55" s="1" t="s">
        <v>42</v>
      </c>
      <c r="F55" s="1" t="s">
        <v>43</v>
      </c>
      <c r="G55" s="4">
        <v>13</v>
      </c>
      <c r="H55" s="4">
        <v>13061</v>
      </c>
      <c r="I55" s="6">
        <v>9729.7761735621934</v>
      </c>
      <c r="J55" s="6">
        <f>表1[[#This Row],[销售金额]]-表1[[#This Row],[退款金额]]</f>
        <v>3331.2238264378066</v>
      </c>
      <c r="K55" s="1">
        <v>322</v>
      </c>
      <c r="L55" s="1">
        <v>565</v>
      </c>
    </row>
    <row r="56" spans="1:12" x14ac:dyDescent="0.3">
      <c r="A56" s="2">
        <v>45902</v>
      </c>
      <c r="B56" s="1" t="s">
        <v>250</v>
      </c>
      <c r="C56" s="1" t="s">
        <v>10</v>
      </c>
      <c r="D56" s="1" t="s">
        <v>223</v>
      </c>
      <c r="E56" s="1" t="s">
        <v>42</v>
      </c>
      <c r="F56" s="1" t="s">
        <v>43</v>
      </c>
      <c r="G56" s="4">
        <v>13</v>
      </c>
      <c r="H56" s="4">
        <v>13716</v>
      </c>
      <c r="I56" s="6">
        <v>9729.7761735621934</v>
      </c>
      <c r="J56" s="6">
        <f>表1[[#This Row],[销售金额]]-表1[[#This Row],[退款金额]]</f>
        <v>3986.2238264378066</v>
      </c>
      <c r="K56" s="1">
        <v>322</v>
      </c>
      <c r="L56" s="1">
        <v>565</v>
      </c>
    </row>
    <row r="57" spans="1:12" x14ac:dyDescent="0.3">
      <c r="A57" s="2">
        <v>45902</v>
      </c>
      <c r="B57" s="1" t="s">
        <v>250</v>
      </c>
      <c r="C57" s="1" t="s">
        <v>10</v>
      </c>
      <c r="D57" s="1" t="s">
        <v>223</v>
      </c>
      <c r="E57" s="1" t="s">
        <v>42</v>
      </c>
      <c r="F57" s="1" t="s">
        <v>43</v>
      </c>
      <c r="G57" s="4">
        <v>13</v>
      </c>
      <c r="H57" s="4">
        <v>10789</v>
      </c>
      <c r="I57" s="6">
        <v>9729.7761735621934</v>
      </c>
      <c r="J57" s="6">
        <f>表1[[#This Row],[销售金额]]-表1[[#This Row],[退款金额]]</f>
        <v>1059.2238264378066</v>
      </c>
      <c r="K57" s="1">
        <v>322</v>
      </c>
      <c r="L57" s="1">
        <v>565</v>
      </c>
    </row>
    <row r="58" spans="1:12" x14ac:dyDescent="0.3">
      <c r="A58" s="2">
        <v>45902</v>
      </c>
      <c r="B58" s="1" t="s">
        <v>250</v>
      </c>
      <c r="C58" s="1" t="s">
        <v>10</v>
      </c>
      <c r="D58" s="1" t="s">
        <v>223</v>
      </c>
      <c r="E58" s="1" t="s">
        <v>42</v>
      </c>
      <c r="F58" s="1" t="s">
        <v>43</v>
      </c>
      <c r="G58" s="4">
        <v>13</v>
      </c>
      <c r="H58" s="4">
        <v>11383</v>
      </c>
      <c r="I58" s="6">
        <v>9729.7761735621934</v>
      </c>
      <c r="J58" s="6">
        <f>表1[[#This Row],[销售金额]]-表1[[#This Row],[退款金额]]</f>
        <v>1653.2238264378066</v>
      </c>
      <c r="K58" s="1">
        <v>322</v>
      </c>
      <c r="L58" s="1">
        <v>565</v>
      </c>
    </row>
    <row r="59" spans="1:12" x14ac:dyDescent="0.3">
      <c r="A59" s="2">
        <v>45902</v>
      </c>
      <c r="B59" s="1" t="s">
        <v>250</v>
      </c>
      <c r="C59" s="1" t="s">
        <v>10</v>
      </c>
      <c r="D59" s="1" t="s">
        <v>223</v>
      </c>
      <c r="E59" s="1" t="s">
        <v>42</v>
      </c>
      <c r="F59" s="1" t="s">
        <v>43</v>
      </c>
      <c r="G59" s="4">
        <v>13</v>
      </c>
      <c r="H59" s="4">
        <v>13856</v>
      </c>
      <c r="I59" s="6">
        <v>9729.7761735621934</v>
      </c>
      <c r="J59" s="6">
        <f>表1[[#This Row],[销售金额]]-表1[[#This Row],[退款金额]]</f>
        <v>4126.2238264378066</v>
      </c>
      <c r="K59" s="1">
        <v>322</v>
      </c>
      <c r="L59" s="1">
        <v>565</v>
      </c>
    </row>
    <row r="60" spans="1:12" x14ac:dyDescent="0.3">
      <c r="A60" s="2">
        <v>45902</v>
      </c>
      <c r="B60" s="1" t="s">
        <v>250</v>
      </c>
      <c r="C60" s="1" t="s">
        <v>10</v>
      </c>
      <c r="D60" s="1" t="s">
        <v>223</v>
      </c>
      <c r="E60" s="1" t="s">
        <v>42</v>
      </c>
      <c r="F60" s="1" t="s">
        <v>43</v>
      </c>
      <c r="G60" s="4">
        <v>13</v>
      </c>
      <c r="H60" s="4">
        <v>14463</v>
      </c>
      <c r="I60" s="6">
        <v>9729.7761735621934</v>
      </c>
      <c r="J60" s="6">
        <f>表1[[#This Row],[销售金额]]-表1[[#This Row],[退款金额]]</f>
        <v>4733.2238264378066</v>
      </c>
      <c r="K60" s="1">
        <v>322</v>
      </c>
      <c r="L60" s="1">
        <v>565</v>
      </c>
    </row>
    <row r="61" spans="1:12" x14ac:dyDescent="0.3">
      <c r="A61" s="2">
        <v>45902</v>
      </c>
      <c r="B61" s="1" t="s">
        <v>250</v>
      </c>
      <c r="C61" s="1" t="s">
        <v>10</v>
      </c>
      <c r="D61" s="1" t="s">
        <v>223</v>
      </c>
      <c r="E61" s="1" t="s">
        <v>42</v>
      </c>
      <c r="F61" s="1" t="s">
        <v>43</v>
      </c>
      <c r="G61" s="4">
        <v>13</v>
      </c>
      <c r="H61" s="4">
        <v>14420</v>
      </c>
      <c r="I61" s="6">
        <v>9729.7761735621934</v>
      </c>
      <c r="J61" s="6">
        <f>表1[[#This Row],[销售金额]]-表1[[#This Row],[退款金额]]</f>
        <v>4690.2238264378066</v>
      </c>
      <c r="K61" s="1">
        <v>322</v>
      </c>
      <c r="L61" s="1">
        <v>565</v>
      </c>
    </row>
    <row r="62" spans="1:12" x14ac:dyDescent="0.3">
      <c r="A62" s="2">
        <v>45902</v>
      </c>
      <c r="B62" s="1" t="s">
        <v>250</v>
      </c>
      <c r="C62" s="1" t="s">
        <v>10</v>
      </c>
      <c r="D62" s="1" t="s">
        <v>223</v>
      </c>
      <c r="E62" s="1" t="s">
        <v>42</v>
      </c>
      <c r="F62" s="1" t="s">
        <v>43</v>
      </c>
      <c r="G62" s="4">
        <v>13</v>
      </c>
      <c r="H62" s="4">
        <v>13420</v>
      </c>
      <c r="I62" s="6">
        <v>9729.7761735621934</v>
      </c>
      <c r="J62" s="6">
        <f>表1[[#This Row],[销售金额]]-表1[[#This Row],[退款金额]]</f>
        <v>3690.2238264378066</v>
      </c>
      <c r="K62" s="1">
        <v>322</v>
      </c>
      <c r="L62" s="1">
        <v>565</v>
      </c>
    </row>
    <row r="63" spans="1:12" x14ac:dyDescent="0.3">
      <c r="A63" s="2">
        <v>45902</v>
      </c>
      <c r="B63" s="1" t="s">
        <v>250</v>
      </c>
      <c r="C63" s="1" t="s">
        <v>10</v>
      </c>
      <c r="D63" s="1" t="s">
        <v>223</v>
      </c>
      <c r="E63" s="1" t="s">
        <v>42</v>
      </c>
      <c r="F63" s="1" t="s">
        <v>43</v>
      </c>
      <c r="G63" s="4">
        <v>13</v>
      </c>
      <c r="H63" s="4">
        <v>9833</v>
      </c>
      <c r="I63" s="6">
        <v>9729.7761735621934</v>
      </c>
      <c r="J63" s="6">
        <f>表1[[#This Row],[销售金额]]-表1[[#This Row],[退款金额]]</f>
        <v>103.22382643780657</v>
      </c>
      <c r="K63" s="1">
        <v>322</v>
      </c>
      <c r="L63" s="1">
        <v>565</v>
      </c>
    </row>
    <row r="64" spans="1:12" x14ac:dyDescent="0.3">
      <c r="A64" s="2">
        <v>45902</v>
      </c>
      <c r="B64" s="1" t="s">
        <v>11</v>
      </c>
      <c r="C64" s="1" t="s">
        <v>19</v>
      </c>
      <c r="D64" s="1" t="s">
        <v>89</v>
      </c>
      <c r="E64" s="1" t="s">
        <v>75</v>
      </c>
      <c r="F64" s="1" t="s">
        <v>76</v>
      </c>
      <c r="G64" s="4">
        <v>20</v>
      </c>
      <c r="H64" s="4">
        <v>7674</v>
      </c>
      <c r="I64" s="6">
        <v>4814.9143498306967</v>
      </c>
      <c r="J64" s="6">
        <f>表1[[#This Row],[销售金额]]-表1[[#This Row],[退款金额]]</f>
        <v>2859.0856501693033</v>
      </c>
      <c r="K64" s="1">
        <v>568</v>
      </c>
      <c r="L64" s="1">
        <v>679</v>
      </c>
    </row>
    <row r="65" spans="1:12" x14ac:dyDescent="0.3">
      <c r="A65" s="2">
        <v>45902</v>
      </c>
      <c r="B65" s="1" t="s">
        <v>11</v>
      </c>
      <c r="C65" s="1" t="s">
        <v>19</v>
      </c>
      <c r="D65" s="1" t="s">
        <v>89</v>
      </c>
      <c r="E65" s="1" t="s">
        <v>75</v>
      </c>
      <c r="F65" s="1" t="s">
        <v>76</v>
      </c>
      <c r="G65" s="4">
        <v>20</v>
      </c>
      <c r="H65" s="4">
        <v>5886</v>
      </c>
      <c r="I65" s="6">
        <v>4814.9143498306967</v>
      </c>
      <c r="J65" s="6">
        <f>表1[[#This Row],[销售金额]]-表1[[#This Row],[退款金额]]</f>
        <v>1071.0856501693033</v>
      </c>
      <c r="K65" s="1">
        <v>568</v>
      </c>
      <c r="L65" s="1">
        <v>679</v>
      </c>
    </row>
    <row r="66" spans="1:12" x14ac:dyDescent="0.3">
      <c r="A66" s="2">
        <v>45902</v>
      </c>
      <c r="B66" s="1" t="s">
        <v>11</v>
      </c>
      <c r="C66" s="1" t="s">
        <v>19</v>
      </c>
      <c r="D66" s="1" t="s">
        <v>89</v>
      </c>
      <c r="E66" s="1" t="s">
        <v>75</v>
      </c>
      <c r="F66" s="1" t="s">
        <v>76</v>
      </c>
      <c r="G66" s="4">
        <v>20</v>
      </c>
      <c r="H66" s="4">
        <v>6392</v>
      </c>
      <c r="I66" s="6">
        <v>4814.9143498306967</v>
      </c>
      <c r="J66" s="6">
        <f>表1[[#This Row],[销售金额]]-表1[[#This Row],[退款金额]]</f>
        <v>1577.0856501693033</v>
      </c>
      <c r="K66" s="1">
        <v>568</v>
      </c>
      <c r="L66" s="1">
        <v>679</v>
      </c>
    </row>
    <row r="67" spans="1:12" x14ac:dyDescent="0.3">
      <c r="A67" s="2">
        <v>45902</v>
      </c>
      <c r="B67" s="1" t="s">
        <v>15</v>
      </c>
      <c r="C67" s="1" t="s">
        <v>10</v>
      </c>
      <c r="D67" s="1" t="s">
        <v>213</v>
      </c>
      <c r="E67" s="1" t="s">
        <v>34</v>
      </c>
      <c r="F67" s="1" t="s">
        <v>35</v>
      </c>
      <c r="G67" s="4">
        <v>20</v>
      </c>
      <c r="H67" s="4">
        <v>81243</v>
      </c>
      <c r="I67" s="6">
        <v>77728.496684045313</v>
      </c>
      <c r="J67" s="6">
        <f>表1[[#This Row],[销售金额]]-表1[[#This Row],[退款金额]]</f>
        <v>3514.5033159546874</v>
      </c>
      <c r="K67" s="1">
        <v>594</v>
      </c>
      <c r="L67" s="1">
        <v>784</v>
      </c>
    </row>
    <row r="68" spans="1:12" x14ac:dyDescent="0.3">
      <c r="A68" s="2">
        <v>45902</v>
      </c>
      <c r="B68" s="1" t="s">
        <v>11</v>
      </c>
      <c r="C68" s="1" t="s">
        <v>19</v>
      </c>
      <c r="D68" s="1" t="s">
        <v>89</v>
      </c>
      <c r="E68" s="1" t="s">
        <v>75</v>
      </c>
      <c r="F68" s="1" t="s">
        <v>76</v>
      </c>
      <c r="G68" s="4">
        <v>20</v>
      </c>
      <c r="H68" s="4">
        <v>5976</v>
      </c>
      <c r="I68" s="6">
        <v>4814.9143498306967</v>
      </c>
      <c r="J68" s="6">
        <f>表1[[#This Row],[销售金额]]-表1[[#This Row],[退款金额]]</f>
        <v>1161.0856501693033</v>
      </c>
      <c r="K68" s="1">
        <v>568</v>
      </c>
      <c r="L68" s="1">
        <v>679</v>
      </c>
    </row>
    <row r="69" spans="1:12" x14ac:dyDescent="0.3">
      <c r="A69" s="2">
        <v>45902</v>
      </c>
      <c r="B69" s="1" t="s">
        <v>11</v>
      </c>
      <c r="C69" s="1" t="s">
        <v>19</v>
      </c>
      <c r="D69" s="1" t="s">
        <v>89</v>
      </c>
      <c r="E69" s="1" t="s">
        <v>75</v>
      </c>
      <c r="F69" s="1" t="s">
        <v>76</v>
      </c>
      <c r="G69" s="4">
        <v>20</v>
      </c>
      <c r="H69" s="4">
        <v>6398</v>
      </c>
      <c r="I69" s="6">
        <v>4814.9143498306967</v>
      </c>
      <c r="J69" s="6">
        <f>表1[[#This Row],[销售金额]]-表1[[#This Row],[退款金额]]</f>
        <v>1583.0856501693033</v>
      </c>
      <c r="K69" s="1">
        <v>568</v>
      </c>
      <c r="L69" s="1">
        <v>679</v>
      </c>
    </row>
    <row r="70" spans="1:12" x14ac:dyDescent="0.3">
      <c r="A70" s="2">
        <v>45902</v>
      </c>
      <c r="B70" s="1" t="s">
        <v>11</v>
      </c>
      <c r="C70" s="1" t="s">
        <v>19</v>
      </c>
      <c r="D70" s="1" t="s">
        <v>89</v>
      </c>
      <c r="E70" s="1" t="s">
        <v>75</v>
      </c>
      <c r="F70" s="1" t="s">
        <v>76</v>
      </c>
      <c r="G70" s="4">
        <v>20</v>
      </c>
      <c r="H70" s="4">
        <v>8167</v>
      </c>
      <c r="I70" s="6">
        <v>4814.9143498306967</v>
      </c>
      <c r="J70" s="6">
        <f>表1[[#This Row],[销售金额]]-表1[[#This Row],[退款金额]]</f>
        <v>3352.0856501693033</v>
      </c>
      <c r="K70" s="1">
        <v>568</v>
      </c>
      <c r="L70" s="1">
        <v>679</v>
      </c>
    </row>
    <row r="71" spans="1:12" x14ac:dyDescent="0.3">
      <c r="A71" s="2">
        <v>45902</v>
      </c>
      <c r="B71" s="1" t="s">
        <v>15</v>
      </c>
      <c r="C71" s="1" t="s">
        <v>10</v>
      </c>
      <c r="D71" s="1" t="s">
        <v>213</v>
      </c>
      <c r="E71" s="1" t="s">
        <v>34</v>
      </c>
      <c r="F71" s="1" t="s">
        <v>35</v>
      </c>
      <c r="G71" s="4">
        <v>20</v>
      </c>
      <c r="H71" s="4">
        <v>79029</v>
      </c>
      <c r="I71" s="6">
        <v>77728.496684045313</v>
      </c>
      <c r="J71" s="6">
        <f>表1[[#This Row],[销售金额]]-表1[[#This Row],[退款金额]]</f>
        <v>1300.5033159546874</v>
      </c>
      <c r="K71" s="1">
        <v>594</v>
      </c>
      <c r="L71" s="1">
        <v>784</v>
      </c>
    </row>
    <row r="72" spans="1:12" x14ac:dyDescent="0.3">
      <c r="A72" s="2">
        <v>45902</v>
      </c>
      <c r="B72" s="1" t="s">
        <v>11</v>
      </c>
      <c r="C72" s="1" t="s">
        <v>19</v>
      </c>
      <c r="D72" s="1" t="s">
        <v>89</v>
      </c>
      <c r="E72" s="1" t="s">
        <v>75</v>
      </c>
      <c r="F72" s="1" t="s">
        <v>76</v>
      </c>
      <c r="G72" s="4">
        <v>20</v>
      </c>
      <c r="H72" s="4">
        <v>4988</v>
      </c>
      <c r="I72" s="6">
        <v>4814.9143498306967</v>
      </c>
      <c r="J72" s="6">
        <f>表1[[#This Row],[销售金额]]-表1[[#This Row],[退款金额]]</f>
        <v>173.08565016930334</v>
      </c>
      <c r="K72" s="1">
        <v>568</v>
      </c>
      <c r="L72" s="1">
        <v>679</v>
      </c>
    </row>
    <row r="73" spans="1:12" x14ac:dyDescent="0.3">
      <c r="A73" s="2">
        <v>45902</v>
      </c>
      <c r="B73" s="1" t="s">
        <v>11</v>
      </c>
      <c r="C73" s="1" t="s">
        <v>19</v>
      </c>
      <c r="D73" s="1" t="s">
        <v>89</v>
      </c>
      <c r="E73" s="1" t="s">
        <v>75</v>
      </c>
      <c r="F73" s="1" t="s">
        <v>76</v>
      </c>
      <c r="G73" s="4">
        <v>20</v>
      </c>
      <c r="H73" s="4">
        <v>5445</v>
      </c>
      <c r="I73" s="6">
        <v>4814.9143498306967</v>
      </c>
      <c r="J73" s="6">
        <f>表1[[#This Row],[销售金额]]-表1[[#This Row],[退款金额]]</f>
        <v>630.08565016930334</v>
      </c>
      <c r="K73" s="1">
        <v>568</v>
      </c>
      <c r="L73" s="1">
        <v>679</v>
      </c>
    </row>
    <row r="74" spans="1:12" x14ac:dyDescent="0.3">
      <c r="A74" s="2">
        <v>45902</v>
      </c>
      <c r="B74" s="1" t="s">
        <v>11</v>
      </c>
      <c r="C74" s="1" t="s">
        <v>19</v>
      </c>
      <c r="D74" s="1" t="s">
        <v>89</v>
      </c>
      <c r="E74" s="1" t="s">
        <v>75</v>
      </c>
      <c r="F74" s="1" t="s">
        <v>76</v>
      </c>
      <c r="G74" s="4">
        <v>20</v>
      </c>
      <c r="H74" s="4">
        <v>7863</v>
      </c>
      <c r="I74" s="6">
        <v>4814.9143498306967</v>
      </c>
      <c r="J74" s="6">
        <f>表1[[#This Row],[销售金额]]-表1[[#This Row],[退款金额]]</f>
        <v>3048.0856501693033</v>
      </c>
      <c r="K74" s="1">
        <v>568</v>
      </c>
      <c r="L74" s="1">
        <v>679</v>
      </c>
    </row>
    <row r="75" spans="1:12" x14ac:dyDescent="0.3">
      <c r="A75" s="2">
        <v>45902</v>
      </c>
      <c r="B75" s="1" t="s">
        <v>15</v>
      </c>
      <c r="C75" s="1" t="s">
        <v>10</v>
      </c>
      <c r="D75" s="1" t="s">
        <v>213</v>
      </c>
      <c r="E75" s="1" t="s">
        <v>34</v>
      </c>
      <c r="F75" s="1" t="s">
        <v>35</v>
      </c>
      <c r="G75" s="4">
        <v>20</v>
      </c>
      <c r="H75" s="4">
        <v>80851</v>
      </c>
      <c r="I75" s="6">
        <v>77728.496684045313</v>
      </c>
      <c r="J75" s="6">
        <f>表1[[#This Row],[销售金额]]-表1[[#This Row],[退款金额]]</f>
        <v>3122.5033159546874</v>
      </c>
      <c r="K75" s="1">
        <v>594</v>
      </c>
      <c r="L75" s="1">
        <v>784</v>
      </c>
    </row>
    <row r="76" spans="1:12" x14ac:dyDescent="0.3">
      <c r="A76" s="2">
        <v>45902</v>
      </c>
      <c r="B76" s="1" t="s">
        <v>11</v>
      </c>
      <c r="C76" s="1" t="s">
        <v>19</v>
      </c>
      <c r="D76" s="1" t="s">
        <v>89</v>
      </c>
      <c r="E76" s="1" t="s">
        <v>75</v>
      </c>
      <c r="F76" s="1" t="s">
        <v>76</v>
      </c>
      <c r="G76" s="4">
        <v>20</v>
      </c>
      <c r="H76" s="4">
        <v>8480</v>
      </c>
      <c r="I76" s="6">
        <v>4814.9143498306967</v>
      </c>
      <c r="J76" s="6">
        <f>表1[[#This Row],[销售金额]]-表1[[#This Row],[退款金额]]</f>
        <v>3665.0856501693033</v>
      </c>
      <c r="K76" s="1">
        <v>568</v>
      </c>
      <c r="L76" s="1">
        <v>679</v>
      </c>
    </row>
    <row r="77" spans="1:12" x14ac:dyDescent="0.3">
      <c r="A77" s="2">
        <v>45902</v>
      </c>
      <c r="B77" s="1" t="s">
        <v>11</v>
      </c>
      <c r="C77" s="1" t="s">
        <v>19</v>
      </c>
      <c r="D77" s="1" t="s">
        <v>89</v>
      </c>
      <c r="E77" s="1" t="s">
        <v>75</v>
      </c>
      <c r="F77" s="1" t="s">
        <v>76</v>
      </c>
      <c r="G77" s="4">
        <v>20</v>
      </c>
      <c r="H77" s="4">
        <v>9197</v>
      </c>
      <c r="I77" s="6">
        <v>4814.9143498306967</v>
      </c>
      <c r="J77" s="6">
        <f>表1[[#This Row],[销售金额]]-表1[[#This Row],[退款金额]]</f>
        <v>4382.0856501693033</v>
      </c>
      <c r="K77" s="1">
        <v>568</v>
      </c>
      <c r="L77" s="1">
        <v>679</v>
      </c>
    </row>
    <row r="78" spans="1:12" x14ac:dyDescent="0.3">
      <c r="A78" s="2">
        <v>45902</v>
      </c>
      <c r="B78" s="1" t="s">
        <v>11</v>
      </c>
      <c r="C78" s="1" t="s">
        <v>19</v>
      </c>
      <c r="D78" s="1" t="s">
        <v>89</v>
      </c>
      <c r="E78" s="1" t="s">
        <v>75</v>
      </c>
      <c r="F78" s="1" t="s">
        <v>76</v>
      </c>
      <c r="G78" s="4">
        <v>20</v>
      </c>
      <c r="H78" s="4">
        <v>9018</v>
      </c>
      <c r="I78" s="6">
        <v>4814.9143498306967</v>
      </c>
      <c r="J78" s="6">
        <f>表1[[#This Row],[销售金额]]-表1[[#This Row],[退款金额]]</f>
        <v>4203.0856501693033</v>
      </c>
      <c r="K78" s="1">
        <v>568</v>
      </c>
      <c r="L78" s="1">
        <v>679</v>
      </c>
    </row>
    <row r="79" spans="1:12" x14ac:dyDescent="0.3">
      <c r="A79" s="2">
        <v>45902</v>
      </c>
      <c r="B79" s="1" t="s">
        <v>15</v>
      </c>
      <c r="C79" s="1" t="s">
        <v>10</v>
      </c>
      <c r="D79" s="1" t="s">
        <v>213</v>
      </c>
      <c r="E79" s="1" t="s">
        <v>34</v>
      </c>
      <c r="F79" s="1" t="s">
        <v>35</v>
      </c>
      <c r="G79" s="4">
        <v>20</v>
      </c>
      <c r="H79" s="4">
        <v>82513</v>
      </c>
      <c r="I79" s="6">
        <v>77728.496684045313</v>
      </c>
      <c r="J79" s="6">
        <f>表1[[#This Row],[销售金额]]-表1[[#This Row],[退款金额]]</f>
        <v>4784.5033159546874</v>
      </c>
      <c r="K79" s="1">
        <v>594</v>
      </c>
      <c r="L79" s="1">
        <v>784</v>
      </c>
    </row>
    <row r="80" spans="1:12" x14ac:dyDescent="0.3">
      <c r="A80" s="2">
        <v>45902</v>
      </c>
      <c r="B80" s="1" t="s">
        <v>11</v>
      </c>
      <c r="C80" s="1" t="s">
        <v>19</v>
      </c>
      <c r="D80" s="1" t="s">
        <v>89</v>
      </c>
      <c r="E80" s="1" t="s">
        <v>75</v>
      </c>
      <c r="F80" s="1" t="s">
        <v>76</v>
      </c>
      <c r="G80" s="4">
        <v>20</v>
      </c>
      <c r="H80" s="4">
        <v>6466</v>
      </c>
      <c r="I80" s="6">
        <v>4814.9143498306967</v>
      </c>
      <c r="J80" s="6">
        <f>表1[[#This Row],[销售金额]]-表1[[#This Row],[退款金额]]</f>
        <v>1651.0856501693033</v>
      </c>
      <c r="K80" s="1">
        <v>568</v>
      </c>
      <c r="L80" s="1">
        <v>679</v>
      </c>
    </row>
    <row r="81" spans="1:12" x14ac:dyDescent="0.3">
      <c r="A81" s="2">
        <v>45902</v>
      </c>
      <c r="B81" s="1" t="s">
        <v>11</v>
      </c>
      <c r="C81" s="1" t="s">
        <v>19</v>
      </c>
      <c r="D81" s="1" t="s">
        <v>89</v>
      </c>
      <c r="E81" s="1" t="s">
        <v>75</v>
      </c>
      <c r="F81" s="1" t="s">
        <v>76</v>
      </c>
      <c r="G81" s="4">
        <v>20</v>
      </c>
      <c r="H81" s="4">
        <v>6913</v>
      </c>
      <c r="I81" s="6">
        <v>4814.9143498306967</v>
      </c>
      <c r="J81" s="6">
        <f>表1[[#This Row],[销售金额]]-表1[[#This Row],[退款金额]]</f>
        <v>2098.0856501693033</v>
      </c>
      <c r="K81" s="1">
        <v>568</v>
      </c>
      <c r="L81" s="1">
        <v>679</v>
      </c>
    </row>
    <row r="82" spans="1:12" x14ac:dyDescent="0.3">
      <c r="A82" s="2">
        <v>45902</v>
      </c>
      <c r="B82" s="1" t="s">
        <v>11</v>
      </c>
      <c r="C82" s="1" t="s">
        <v>19</v>
      </c>
      <c r="D82" s="1" t="s">
        <v>89</v>
      </c>
      <c r="E82" s="1" t="s">
        <v>75</v>
      </c>
      <c r="F82" s="1" t="s">
        <v>76</v>
      </c>
      <c r="G82" s="4">
        <v>20</v>
      </c>
      <c r="H82" s="4">
        <v>4968</v>
      </c>
      <c r="I82" s="6">
        <v>4814.9143498306967</v>
      </c>
      <c r="J82" s="6">
        <f>表1[[#This Row],[销售金额]]-表1[[#This Row],[退款金额]]</f>
        <v>153.08565016930334</v>
      </c>
      <c r="K82" s="1">
        <v>568</v>
      </c>
      <c r="L82" s="1">
        <v>679</v>
      </c>
    </row>
    <row r="83" spans="1:12" x14ac:dyDescent="0.3">
      <c r="A83" s="2">
        <v>45902</v>
      </c>
      <c r="B83" s="1" t="s">
        <v>15</v>
      </c>
      <c r="C83" s="1" t="s">
        <v>10</v>
      </c>
      <c r="D83" s="1" t="s">
        <v>213</v>
      </c>
      <c r="E83" s="1" t="s">
        <v>34</v>
      </c>
      <c r="F83" s="1" t="s">
        <v>35</v>
      </c>
      <c r="G83" s="4">
        <v>20</v>
      </c>
      <c r="H83" s="4">
        <v>78429</v>
      </c>
      <c r="I83" s="6">
        <v>77728.496684045313</v>
      </c>
      <c r="J83" s="6">
        <f>表1[[#This Row],[销售金额]]-表1[[#This Row],[退款金额]]</f>
        <v>700.50331595468742</v>
      </c>
      <c r="K83" s="1">
        <v>594</v>
      </c>
      <c r="L83" s="1">
        <v>784</v>
      </c>
    </row>
    <row r="84" spans="1:12" x14ac:dyDescent="0.3">
      <c r="A84" s="2">
        <v>45902</v>
      </c>
      <c r="B84" s="1" t="s">
        <v>11</v>
      </c>
      <c r="C84" s="1" t="s">
        <v>19</v>
      </c>
      <c r="D84" s="1" t="s">
        <v>89</v>
      </c>
      <c r="E84" s="1" t="s">
        <v>75</v>
      </c>
      <c r="F84" s="1" t="s">
        <v>76</v>
      </c>
      <c r="G84" s="4">
        <v>20</v>
      </c>
      <c r="H84" s="4">
        <v>8243</v>
      </c>
      <c r="I84" s="6">
        <v>4814.9143498306967</v>
      </c>
      <c r="J84" s="6">
        <f>表1[[#This Row],[销售金额]]-表1[[#This Row],[退款金额]]</f>
        <v>3428.0856501693033</v>
      </c>
      <c r="K84" s="1">
        <v>568</v>
      </c>
      <c r="L84" s="1">
        <v>679</v>
      </c>
    </row>
    <row r="85" spans="1:12" x14ac:dyDescent="0.3">
      <c r="A85" s="2">
        <v>45902</v>
      </c>
      <c r="B85" s="1" t="s">
        <v>11</v>
      </c>
      <c r="C85" s="1" t="s">
        <v>19</v>
      </c>
      <c r="D85" s="1" t="s">
        <v>89</v>
      </c>
      <c r="E85" s="1" t="s">
        <v>75</v>
      </c>
      <c r="F85" s="1" t="s">
        <v>76</v>
      </c>
      <c r="G85" s="4">
        <v>20</v>
      </c>
      <c r="H85" s="4">
        <v>8196</v>
      </c>
      <c r="I85" s="6">
        <v>4814.9143498306967</v>
      </c>
      <c r="J85" s="6">
        <f>表1[[#This Row],[销售金额]]-表1[[#This Row],[退款金额]]</f>
        <v>3381.0856501693033</v>
      </c>
      <c r="K85" s="1">
        <v>568</v>
      </c>
      <c r="L85" s="1">
        <v>679</v>
      </c>
    </row>
    <row r="86" spans="1:12" x14ac:dyDescent="0.3">
      <c r="A86" s="2">
        <v>45902</v>
      </c>
      <c r="B86" s="1" t="s">
        <v>11</v>
      </c>
      <c r="C86" s="1" t="s">
        <v>19</v>
      </c>
      <c r="D86" s="1" t="s">
        <v>89</v>
      </c>
      <c r="E86" s="1" t="s">
        <v>75</v>
      </c>
      <c r="F86" s="1" t="s">
        <v>76</v>
      </c>
      <c r="G86" s="4">
        <v>20</v>
      </c>
      <c r="H86" s="4">
        <v>9517</v>
      </c>
      <c r="I86" s="6">
        <v>4814.9143498306967</v>
      </c>
      <c r="J86" s="6">
        <f>表1[[#This Row],[销售金额]]-表1[[#This Row],[退款金额]]</f>
        <v>4702.0856501693033</v>
      </c>
      <c r="K86" s="1">
        <v>568</v>
      </c>
      <c r="L86" s="1">
        <v>679</v>
      </c>
    </row>
    <row r="87" spans="1:12" x14ac:dyDescent="0.3">
      <c r="A87" s="2">
        <v>45902</v>
      </c>
      <c r="B87" s="1" t="s">
        <v>15</v>
      </c>
      <c r="C87" s="1" t="s">
        <v>10</v>
      </c>
      <c r="D87" s="1" t="s">
        <v>213</v>
      </c>
      <c r="E87" s="1" t="s">
        <v>34</v>
      </c>
      <c r="F87" s="1" t="s">
        <v>35</v>
      </c>
      <c r="G87" s="4">
        <v>20</v>
      </c>
      <c r="H87" s="4">
        <v>80636</v>
      </c>
      <c r="I87" s="6">
        <v>77728.496684045313</v>
      </c>
      <c r="J87" s="6">
        <f>表1[[#This Row],[销售金额]]-表1[[#This Row],[退款金额]]</f>
        <v>2907.5033159546874</v>
      </c>
      <c r="K87" s="1">
        <v>594</v>
      </c>
      <c r="L87" s="1">
        <v>784</v>
      </c>
    </row>
    <row r="88" spans="1:12" x14ac:dyDescent="0.3">
      <c r="A88" s="2">
        <v>45902</v>
      </c>
      <c r="B88" s="1" t="s">
        <v>11</v>
      </c>
      <c r="C88" s="1" t="s">
        <v>19</v>
      </c>
      <c r="D88" s="1" t="s">
        <v>89</v>
      </c>
      <c r="E88" s="1" t="s">
        <v>75</v>
      </c>
      <c r="F88" s="1" t="s">
        <v>76</v>
      </c>
      <c r="G88" s="4">
        <v>20</v>
      </c>
      <c r="H88" s="4">
        <v>8000</v>
      </c>
      <c r="I88" s="6">
        <v>4814.9143498306967</v>
      </c>
      <c r="J88" s="6">
        <f>表1[[#This Row],[销售金额]]-表1[[#This Row],[退款金额]]</f>
        <v>3185.0856501693033</v>
      </c>
      <c r="K88" s="1">
        <v>568</v>
      </c>
      <c r="L88" s="1">
        <v>679</v>
      </c>
    </row>
    <row r="89" spans="1:12" x14ac:dyDescent="0.3">
      <c r="A89" s="2">
        <v>45902</v>
      </c>
      <c r="B89" s="1" t="s">
        <v>11</v>
      </c>
      <c r="C89" s="1" t="s">
        <v>19</v>
      </c>
      <c r="D89" s="1" t="s">
        <v>89</v>
      </c>
      <c r="E89" s="1" t="s">
        <v>75</v>
      </c>
      <c r="F89" s="1" t="s">
        <v>76</v>
      </c>
      <c r="G89" s="4">
        <v>20</v>
      </c>
      <c r="H89" s="4">
        <v>7210</v>
      </c>
      <c r="I89" s="6">
        <v>4814.9143498306967</v>
      </c>
      <c r="J89" s="6">
        <f>表1[[#This Row],[销售金额]]-表1[[#This Row],[退款金额]]</f>
        <v>2395.0856501693033</v>
      </c>
      <c r="K89" s="1">
        <v>568</v>
      </c>
      <c r="L89" s="1">
        <v>679</v>
      </c>
    </row>
    <row r="90" spans="1:12" x14ac:dyDescent="0.3">
      <c r="A90" s="2">
        <v>45902</v>
      </c>
      <c r="B90" s="1" t="s">
        <v>11</v>
      </c>
      <c r="C90" s="1" t="s">
        <v>19</v>
      </c>
      <c r="D90" s="1" t="s">
        <v>89</v>
      </c>
      <c r="E90" s="1" t="s">
        <v>75</v>
      </c>
      <c r="F90" s="1" t="s">
        <v>76</v>
      </c>
      <c r="G90" s="4">
        <v>20</v>
      </c>
      <c r="H90" s="4">
        <v>9034</v>
      </c>
      <c r="I90" s="6">
        <v>4814.9143498306967</v>
      </c>
      <c r="J90" s="6">
        <f>表1[[#This Row],[销售金额]]-表1[[#This Row],[退款金额]]</f>
        <v>4219.0856501693033</v>
      </c>
      <c r="K90" s="1">
        <v>568</v>
      </c>
      <c r="L90" s="1">
        <v>679</v>
      </c>
    </row>
    <row r="91" spans="1:12" x14ac:dyDescent="0.3">
      <c r="A91" s="2">
        <v>45902</v>
      </c>
      <c r="B91" s="1" t="s">
        <v>15</v>
      </c>
      <c r="C91" s="1" t="s">
        <v>10</v>
      </c>
      <c r="D91" s="1" t="s">
        <v>213</v>
      </c>
      <c r="E91" s="1" t="s">
        <v>34</v>
      </c>
      <c r="F91" s="1" t="s">
        <v>35</v>
      </c>
      <c r="G91" s="4">
        <v>20</v>
      </c>
      <c r="H91" s="4">
        <v>78730</v>
      </c>
      <c r="I91" s="6">
        <v>77728.496684045313</v>
      </c>
      <c r="J91" s="6">
        <f>表1[[#This Row],[销售金额]]-表1[[#This Row],[退款金额]]</f>
        <v>1001.5033159546874</v>
      </c>
      <c r="K91" s="1">
        <v>594</v>
      </c>
      <c r="L91" s="1">
        <v>784</v>
      </c>
    </row>
    <row r="92" spans="1:12" x14ac:dyDescent="0.3">
      <c r="A92" s="2">
        <v>45902</v>
      </c>
      <c r="B92" s="1" t="s">
        <v>11</v>
      </c>
      <c r="C92" s="1" t="s">
        <v>19</v>
      </c>
      <c r="D92" s="1" t="s">
        <v>89</v>
      </c>
      <c r="E92" s="1" t="s">
        <v>75</v>
      </c>
      <c r="F92" s="1" t="s">
        <v>76</v>
      </c>
      <c r="G92" s="4">
        <v>20</v>
      </c>
      <c r="H92" s="4">
        <v>9698</v>
      </c>
      <c r="I92" s="6">
        <v>4814.9143498306967</v>
      </c>
      <c r="J92" s="6">
        <f>表1[[#This Row],[销售金额]]-表1[[#This Row],[退款金额]]</f>
        <v>4883.0856501693033</v>
      </c>
      <c r="K92" s="1">
        <v>568</v>
      </c>
      <c r="L92" s="1">
        <v>679</v>
      </c>
    </row>
    <row r="93" spans="1:12" x14ac:dyDescent="0.3">
      <c r="A93" s="2">
        <v>45902</v>
      </c>
      <c r="B93" s="1" t="s">
        <v>11</v>
      </c>
      <c r="C93" s="1" t="s">
        <v>19</v>
      </c>
      <c r="D93" s="1" t="s">
        <v>89</v>
      </c>
      <c r="E93" s="1" t="s">
        <v>75</v>
      </c>
      <c r="F93" s="1" t="s">
        <v>76</v>
      </c>
      <c r="G93" s="4">
        <v>20</v>
      </c>
      <c r="H93" s="4">
        <v>7882</v>
      </c>
      <c r="I93" s="6">
        <v>4814.9143498306967</v>
      </c>
      <c r="J93" s="6">
        <f>表1[[#This Row],[销售金额]]-表1[[#This Row],[退款金额]]</f>
        <v>3067.0856501693033</v>
      </c>
      <c r="K93" s="1">
        <v>568</v>
      </c>
      <c r="L93" s="1">
        <v>679</v>
      </c>
    </row>
    <row r="94" spans="1:12" x14ac:dyDescent="0.3">
      <c r="A94" s="2">
        <v>45902</v>
      </c>
      <c r="B94" s="1" t="s">
        <v>11</v>
      </c>
      <c r="C94" s="1" t="s">
        <v>19</v>
      </c>
      <c r="D94" s="1" t="s">
        <v>89</v>
      </c>
      <c r="E94" s="1" t="s">
        <v>75</v>
      </c>
      <c r="F94" s="1" t="s">
        <v>76</v>
      </c>
      <c r="G94" s="4">
        <v>20</v>
      </c>
      <c r="H94" s="4">
        <v>9466</v>
      </c>
      <c r="I94" s="6">
        <v>4814.9143498306967</v>
      </c>
      <c r="J94" s="6">
        <f>表1[[#This Row],[销售金额]]-表1[[#This Row],[退款金额]]</f>
        <v>4651.0856501693033</v>
      </c>
      <c r="K94" s="1">
        <v>568</v>
      </c>
      <c r="L94" s="1">
        <v>679</v>
      </c>
    </row>
    <row r="95" spans="1:12" x14ac:dyDescent="0.3">
      <c r="A95" s="2">
        <v>45902</v>
      </c>
      <c r="B95" s="1" t="s">
        <v>15</v>
      </c>
      <c r="C95" s="1" t="s">
        <v>10</v>
      </c>
      <c r="D95" s="1" t="s">
        <v>213</v>
      </c>
      <c r="E95" s="1" t="s">
        <v>34</v>
      </c>
      <c r="F95" s="1" t="s">
        <v>35</v>
      </c>
      <c r="G95" s="4">
        <v>20</v>
      </c>
      <c r="H95" s="4">
        <v>80559</v>
      </c>
      <c r="I95" s="6">
        <v>77728.496684045313</v>
      </c>
      <c r="J95" s="6">
        <f>表1[[#This Row],[销售金额]]-表1[[#This Row],[退款金额]]</f>
        <v>2830.5033159546874</v>
      </c>
      <c r="K95" s="1">
        <v>594</v>
      </c>
      <c r="L95" s="1">
        <v>784</v>
      </c>
    </row>
    <row r="96" spans="1:12" x14ac:dyDescent="0.3">
      <c r="A96" s="2">
        <v>45902</v>
      </c>
      <c r="B96" s="1" t="s">
        <v>11</v>
      </c>
      <c r="C96" s="1" t="s">
        <v>19</v>
      </c>
      <c r="D96" s="1" t="s">
        <v>89</v>
      </c>
      <c r="E96" s="1" t="s">
        <v>75</v>
      </c>
      <c r="F96" s="1" t="s">
        <v>76</v>
      </c>
      <c r="G96" s="4">
        <v>20</v>
      </c>
      <c r="H96" s="4">
        <v>8820</v>
      </c>
      <c r="I96" s="6">
        <v>4814.9143498306967</v>
      </c>
      <c r="J96" s="6">
        <f>表1[[#This Row],[销售金额]]-表1[[#This Row],[退款金额]]</f>
        <v>4005.0856501693033</v>
      </c>
      <c r="K96" s="1">
        <v>568</v>
      </c>
      <c r="L96" s="1">
        <v>679</v>
      </c>
    </row>
    <row r="97" spans="1:12" x14ac:dyDescent="0.3">
      <c r="A97" s="2">
        <v>45902</v>
      </c>
      <c r="B97" s="1" t="s">
        <v>11</v>
      </c>
      <c r="C97" s="1" t="s">
        <v>19</v>
      </c>
      <c r="D97" s="1" t="s">
        <v>89</v>
      </c>
      <c r="E97" s="1" t="s">
        <v>75</v>
      </c>
      <c r="F97" s="1" t="s">
        <v>76</v>
      </c>
      <c r="G97" s="4">
        <v>20</v>
      </c>
      <c r="H97" s="4">
        <v>7964</v>
      </c>
      <c r="I97" s="6">
        <v>4814.9143498306967</v>
      </c>
      <c r="J97" s="6">
        <f>表1[[#This Row],[销售金额]]-表1[[#This Row],[退款金额]]</f>
        <v>3149.0856501693033</v>
      </c>
      <c r="K97" s="1">
        <v>568</v>
      </c>
      <c r="L97" s="1">
        <v>679</v>
      </c>
    </row>
    <row r="98" spans="1:12" x14ac:dyDescent="0.3">
      <c r="A98" s="2">
        <v>45902</v>
      </c>
      <c r="B98" s="1" t="s">
        <v>11</v>
      </c>
      <c r="C98" s="1" t="s">
        <v>19</v>
      </c>
      <c r="D98" s="1" t="s">
        <v>89</v>
      </c>
      <c r="E98" s="1" t="s">
        <v>75</v>
      </c>
      <c r="F98" s="1" t="s">
        <v>76</v>
      </c>
      <c r="G98" s="4">
        <v>20</v>
      </c>
      <c r="H98" s="4">
        <v>5074</v>
      </c>
      <c r="I98" s="6">
        <v>4814.9143498306967</v>
      </c>
      <c r="J98" s="6">
        <f>表1[[#This Row],[销售金额]]-表1[[#This Row],[退款金额]]</f>
        <v>259.08565016930334</v>
      </c>
      <c r="K98" s="1">
        <v>568</v>
      </c>
      <c r="L98" s="1">
        <v>679</v>
      </c>
    </row>
    <row r="99" spans="1:12" x14ac:dyDescent="0.3">
      <c r="A99" s="2">
        <v>45902</v>
      </c>
      <c r="B99" s="1" t="s">
        <v>15</v>
      </c>
      <c r="C99" s="1" t="s">
        <v>10</v>
      </c>
      <c r="D99" s="1" t="s">
        <v>213</v>
      </c>
      <c r="E99" s="1" t="s">
        <v>34</v>
      </c>
      <c r="F99" s="1" t="s">
        <v>35</v>
      </c>
      <c r="G99" s="4">
        <v>20</v>
      </c>
      <c r="H99" s="4">
        <v>78586</v>
      </c>
      <c r="I99" s="6">
        <v>77728.496684045313</v>
      </c>
      <c r="J99" s="6">
        <f>表1[[#This Row],[销售金额]]-表1[[#This Row],[退款金额]]</f>
        <v>857.50331595468742</v>
      </c>
      <c r="K99" s="1">
        <v>594</v>
      </c>
      <c r="L99" s="1">
        <v>784</v>
      </c>
    </row>
    <row r="100" spans="1:12" x14ac:dyDescent="0.3">
      <c r="A100" s="2">
        <v>45903</v>
      </c>
      <c r="B100" s="1" t="s">
        <v>247</v>
      </c>
      <c r="C100" s="1" t="s">
        <v>19</v>
      </c>
      <c r="D100" s="1" t="s">
        <v>69</v>
      </c>
      <c r="E100" s="1" t="s">
        <v>17</v>
      </c>
      <c r="F100" s="1" t="s">
        <v>18</v>
      </c>
      <c r="G100" s="4">
        <v>1</v>
      </c>
      <c r="H100" s="4">
        <v>5426</v>
      </c>
      <c r="I100" s="6">
        <v>663.21098833809822</v>
      </c>
      <c r="J100" s="6">
        <f>表1[[#This Row],[销售金额]]-表1[[#This Row],[退款金额]]</f>
        <v>4762.7890116619019</v>
      </c>
      <c r="K100" s="1">
        <v>984</v>
      </c>
      <c r="L100" s="1">
        <v>117</v>
      </c>
    </row>
    <row r="101" spans="1:12" x14ac:dyDescent="0.3">
      <c r="A101" s="2">
        <v>45903</v>
      </c>
      <c r="B101" s="1" t="s">
        <v>247</v>
      </c>
      <c r="C101" s="1" t="s">
        <v>19</v>
      </c>
      <c r="D101" s="1" t="s">
        <v>69</v>
      </c>
      <c r="E101" s="1" t="s">
        <v>17</v>
      </c>
      <c r="F101" s="1" t="s">
        <v>18</v>
      </c>
      <c r="G101" s="4">
        <v>1</v>
      </c>
      <c r="H101" s="4">
        <v>5004</v>
      </c>
      <c r="I101" s="6">
        <v>663.21098833809822</v>
      </c>
      <c r="J101" s="6">
        <f>表1[[#This Row],[销售金额]]-表1[[#This Row],[退款金额]]</f>
        <v>4340.7890116619019</v>
      </c>
      <c r="K101" s="1">
        <v>984</v>
      </c>
      <c r="L101" s="1">
        <v>117</v>
      </c>
    </row>
    <row r="102" spans="1:12" x14ac:dyDescent="0.3">
      <c r="A102" s="2">
        <v>45903</v>
      </c>
      <c r="B102" s="1" t="s">
        <v>247</v>
      </c>
      <c r="C102" s="1" t="s">
        <v>19</v>
      </c>
      <c r="D102" s="1" t="s">
        <v>69</v>
      </c>
      <c r="E102" s="1" t="s">
        <v>17</v>
      </c>
      <c r="F102" s="1" t="s">
        <v>18</v>
      </c>
      <c r="G102" s="4">
        <v>1</v>
      </c>
      <c r="H102" s="4">
        <v>2576</v>
      </c>
      <c r="I102" s="6">
        <v>663.21098833809822</v>
      </c>
      <c r="J102" s="6">
        <f>表1[[#This Row],[销售金额]]-表1[[#This Row],[退款金额]]</f>
        <v>1912.7890116619019</v>
      </c>
      <c r="K102" s="1">
        <v>984</v>
      </c>
      <c r="L102" s="1">
        <v>117</v>
      </c>
    </row>
    <row r="103" spans="1:12" x14ac:dyDescent="0.3">
      <c r="A103" s="2">
        <v>45903</v>
      </c>
      <c r="B103" s="1" t="s">
        <v>247</v>
      </c>
      <c r="C103" s="1" t="s">
        <v>19</v>
      </c>
      <c r="D103" s="1" t="s">
        <v>69</v>
      </c>
      <c r="E103" s="1" t="s">
        <v>17</v>
      </c>
      <c r="F103" s="1" t="s">
        <v>18</v>
      </c>
      <c r="G103" s="4">
        <v>1</v>
      </c>
      <c r="H103" s="4">
        <v>3207</v>
      </c>
      <c r="I103" s="6">
        <v>663.21098833809822</v>
      </c>
      <c r="J103" s="6">
        <f>表1[[#This Row],[销售金额]]-表1[[#This Row],[退款金额]]</f>
        <v>2543.7890116619019</v>
      </c>
      <c r="K103" s="1">
        <v>984</v>
      </c>
      <c r="L103" s="1">
        <v>117</v>
      </c>
    </row>
    <row r="104" spans="1:12" x14ac:dyDescent="0.3">
      <c r="A104" s="2">
        <v>45903</v>
      </c>
      <c r="B104" s="1" t="s">
        <v>247</v>
      </c>
      <c r="C104" s="1" t="s">
        <v>19</v>
      </c>
      <c r="D104" s="1" t="s">
        <v>69</v>
      </c>
      <c r="E104" s="1" t="s">
        <v>17</v>
      </c>
      <c r="F104" s="1" t="s">
        <v>18</v>
      </c>
      <c r="G104" s="4">
        <v>1</v>
      </c>
      <c r="H104" s="4">
        <v>780</v>
      </c>
      <c r="I104" s="6">
        <v>663.21098833809822</v>
      </c>
      <c r="J104" s="6">
        <f>表1[[#This Row],[销售金额]]-表1[[#This Row],[退款金额]]</f>
        <v>116.78901166190178</v>
      </c>
      <c r="K104" s="1">
        <v>984</v>
      </c>
      <c r="L104" s="1">
        <v>117</v>
      </c>
    </row>
    <row r="105" spans="1:12" x14ac:dyDescent="0.3">
      <c r="A105" s="2">
        <v>45903</v>
      </c>
      <c r="B105" s="1" t="s">
        <v>247</v>
      </c>
      <c r="C105" s="1" t="s">
        <v>19</v>
      </c>
      <c r="D105" s="1" t="s">
        <v>69</v>
      </c>
      <c r="E105" s="1" t="s">
        <v>17</v>
      </c>
      <c r="F105" s="1" t="s">
        <v>18</v>
      </c>
      <c r="G105" s="4">
        <v>1</v>
      </c>
      <c r="H105" s="4">
        <v>5332</v>
      </c>
      <c r="I105" s="6">
        <v>663.21098833809822</v>
      </c>
      <c r="J105" s="6">
        <f>表1[[#This Row],[销售金额]]-表1[[#This Row],[退款金额]]</f>
        <v>4668.7890116619019</v>
      </c>
      <c r="K105" s="1">
        <v>984</v>
      </c>
      <c r="L105" s="1">
        <v>117</v>
      </c>
    </row>
    <row r="106" spans="1:12" x14ac:dyDescent="0.3">
      <c r="A106" s="2">
        <v>45903</v>
      </c>
      <c r="B106" s="1" t="s">
        <v>247</v>
      </c>
      <c r="C106" s="1" t="s">
        <v>19</v>
      </c>
      <c r="D106" s="1" t="s">
        <v>69</v>
      </c>
      <c r="E106" s="1" t="s">
        <v>17</v>
      </c>
      <c r="F106" s="1" t="s">
        <v>18</v>
      </c>
      <c r="G106" s="4">
        <v>1</v>
      </c>
      <c r="H106" s="4">
        <v>867</v>
      </c>
      <c r="I106" s="6">
        <v>663.21098833809822</v>
      </c>
      <c r="J106" s="6">
        <f>表1[[#This Row],[销售金额]]-表1[[#This Row],[退款金额]]</f>
        <v>203.78901166190178</v>
      </c>
      <c r="K106" s="1">
        <v>984</v>
      </c>
      <c r="L106" s="1">
        <v>117</v>
      </c>
    </row>
    <row r="107" spans="1:12" x14ac:dyDescent="0.3">
      <c r="A107" s="2">
        <v>45903</v>
      </c>
      <c r="B107" s="1" t="s">
        <v>247</v>
      </c>
      <c r="C107" s="1" t="s">
        <v>19</v>
      </c>
      <c r="D107" s="1" t="s">
        <v>69</v>
      </c>
      <c r="E107" s="1" t="s">
        <v>17</v>
      </c>
      <c r="F107" s="1" t="s">
        <v>18</v>
      </c>
      <c r="G107" s="4">
        <v>1</v>
      </c>
      <c r="H107" s="4">
        <v>3424</v>
      </c>
      <c r="I107" s="6">
        <v>663.21098833809822</v>
      </c>
      <c r="J107" s="6">
        <f>表1[[#This Row],[销售金额]]-表1[[#This Row],[退款金额]]</f>
        <v>2760.7890116619019</v>
      </c>
      <c r="K107" s="1">
        <v>984</v>
      </c>
      <c r="L107" s="1">
        <v>117</v>
      </c>
    </row>
    <row r="108" spans="1:12" x14ac:dyDescent="0.3">
      <c r="A108" s="2">
        <v>45903</v>
      </c>
      <c r="B108" s="1" t="s">
        <v>247</v>
      </c>
      <c r="C108" s="1" t="s">
        <v>19</v>
      </c>
      <c r="D108" s="1" t="s">
        <v>69</v>
      </c>
      <c r="E108" s="1" t="s">
        <v>17</v>
      </c>
      <c r="F108" s="1" t="s">
        <v>18</v>
      </c>
      <c r="G108" s="4">
        <v>1</v>
      </c>
      <c r="H108" s="4">
        <v>3951</v>
      </c>
      <c r="I108" s="6">
        <v>663.21098833809822</v>
      </c>
      <c r="J108" s="6">
        <f>表1[[#This Row],[销售金额]]-表1[[#This Row],[退款金额]]</f>
        <v>3287.7890116619019</v>
      </c>
      <c r="K108" s="1">
        <v>984</v>
      </c>
      <c r="L108" s="1">
        <v>117</v>
      </c>
    </row>
    <row r="109" spans="1:12" x14ac:dyDescent="0.3">
      <c r="A109" s="2">
        <v>45903</v>
      </c>
      <c r="B109" s="1" t="s">
        <v>250</v>
      </c>
      <c r="C109" s="1" t="s">
        <v>19</v>
      </c>
      <c r="D109" s="1" t="s">
        <v>134</v>
      </c>
      <c r="E109" s="1" t="s">
        <v>21</v>
      </c>
      <c r="F109" s="1" t="s">
        <v>22</v>
      </c>
      <c r="G109" s="4">
        <v>3</v>
      </c>
      <c r="H109" s="4">
        <v>2643</v>
      </c>
      <c r="I109" s="6">
        <v>226.53470000231005</v>
      </c>
      <c r="J109" s="6">
        <f>表1[[#This Row],[销售金额]]-表1[[#This Row],[退款金额]]</f>
        <v>2416.4652999976897</v>
      </c>
      <c r="K109" s="1">
        <v>999</v>
      </c>
      <c r="L109" s="1">
        <v>946</v>
      </c>
    </row>
    <row r="110" spans="1:12" x14ac:dyDescent="0.3">
      <c r="A110" s="2">
        <v>45903</v>
      </c>
      <c r="B110" s="1" t="s">
        <v>250</v>
      </c>
      <c r="C110" s="1" t="s">
        <v>19</v>
      </c>
      <c r="D110" s="1" t="s">
        <v>134</v>
      </c>
      <c r="E110" s="1" t="s">
        <v>21</v>
      </c>
      <c r="F110" s="1" t="s">
        <v>22</v>
      </c>
      <c r="G110" s="4">
        <v>3</v>
      </c>
      <c r="H110" s="4">
        <v>401</v>
      </c>
      <c r="I110" s="6">
        <v>226.53470000231005</v>
      </c>
      <c r="J110" s="6">
        <f>表1[[#This Row],[销售金额]]-表1[[#This Row],[退款金额]]</f>
        <v>174.46529999768995</v>
      </c>
      <c r="K110" s="1">
        <v>999</v>
      </c>
      <c r="L110" s="1">
        <v>946</v>
      </c>
    </row>
    <row r="111" spans="1:12" x14ac:dyDescent="0.3">
      <c r="A111" s="2">
        <v>45903</v>
      </c>
      <c r="B111" s="1" t="s">
        <v>250</v>
      </c>
      <c r="C111" s="1" t="s">
        <v>19</v>
      </c>
      <c r="D111" s="1" t="s">
        <v>134</v>
      </c>
      <c r="E111" s="1" t="s">
        <v>21</v>
      </c>
      <c r="F111" s="1" t="s">
        <v>22</v>
      </c>
      <c r="G111" s="4">
        <v>3</v>
      </c>
      <c r="H111" s="4">
        <v>4896</v>
      </c>
      <c r="I111" s="6">
        <v>226.53470000231005</v>
      </c>
      <c r="J111" s="6">
        <f>表1[[#This Row],[销售金额]]-表1[[#This Row],[退款金额]]</f>
        <v>4669.4652999976897</v>
      </c>
      <c r="K111" s="1">
        <v>999</v>
      </c>
      <c r="L111" s="1">
        <v>946</v>
      </c>
    </row>
    <row r="112" spans="1:12" x14ac:dyDescent="0.3">
      <c r="A112" s="2">
        <v>45903</v>
      </c>
      <c r="B112" s="1" t="s">
        <v>250</v>
      </c>
      <c r="C112" s="1" t="s">
        <v>19</v>
      </c>
      <c r="D112" s="1" t="s">
        <v>134</v>
      </c>
      <c r="E112" s="1" t="s">
        <v>21</v>
      </c>
      <c r="F112" s="1" t="s">
        <v>22</v>
      </c>
      <c r="G112" s="4">
        <v>3</v>
      </c>
      <c r="H112" s="4">
        <v>1580</v>
      </c>
      <c r="I112" s="6">
        <v>226.53470000231005</v>
      </c>
      <c r="J112" s="6">
        <f>表1[[#This Row],[销售金额]]-表1[[#This Row],[退款金额]]</f>
        <v>1353.46529999769</v>
      </c>
      <c r="K112" s="1">
        <v>999</v>
      </c>
      <c r="L112" s="1">
        <v>946</v>
      </c>
    </row>
    <row r="113" spans="1:12" x14ac:dyDescent="0.3">
      <c r="A113" s="2">
        <v>45903</v>
      </c>
      <c r="B113" s="1" t="s">
        <v>250</v>
      </c>
      <c r="C113" s="1" t="s">
        <v>19</v>
      </c>
      <c r="D113" s="1" t="s">
        <v>134</v>
      </c>
      <c r="E113" s="1" t="s">
        <v>21</v>
      </c>
      <c r="F113" s="1" t="s">
        <v>22</v>
      </c>
      <c r="G113" s="4">
        <v>3</v>
      </c>
      <c r="H113" s="4">
        <v>2680</v>
      </c>
      <c r="I113" s="6">
        <v>226.53470000231005</v>
      </c>
      <c r="J113" s="6">
        <f>表1[[#This Row],[销售金额]]-表1[[#This Row],[退款金额]]</f>
        <v>2453.4652999976897</v>
      </c>
      <c r="K113" s="1">
        <v>999</v>
      </c>
      <c r="L113" s="1">
        <v>946</v>
      </c>
    </row>
    <row r="114" spans="1:12" x14ac:dyDescent="0.3">
      <c r="A114" s="2">
        <v>45903</v>
      </c>
      <c r="B114" s="1" t="s">
        <v>250</v>
      </c>
      <c r="C114" s="1" t="s">
        <v>19</v>
      </c>
      <c r="D114" s="1" t="s">
        <v>134</v>
      </c>
      <c r="E114" s="1" t="s">
        <v>21</v>
      </c>
      <c r="F114" s="1" t="s">
        <v>22</v>
      </c>
      <c r="G114" s="4">
        <v>3</v>
      </c>
      <c r="H114" s="4">
        <v>2625</v>
      </c>
      <c r="I114" s="6">
        <v>226.53470000231005</v>
      </c>
      <c r="J114" s="6">
        <f>表1[[#This Row],[销售金额]]-表1[[#This Row],[退款金额]]</f>
        <v>2398.4652999976897</v>
      </c>
      <c r="K114" s="1">
        <v>999</v>
      </c>
      <c r="L114" s="1">
        <v>946</v>
      </c>
    </row>
    <row r="115" spans="1:12" x14ac:dyDescent="0.3">
      <c r="A115" s="2">
        <v>45903</v>
      </c>
      <c r="B115" s="1" t="s">
        <v>250</v>
      </c>
      <c r="C115" s="1" t="s">
        <v>19</v>
      </c>
      <c r="D115" s="1" t="s">
        <v>134</v>
      </c>
      <c r="E115" s="1" t="s">
        <v>21</v>
      </c>
      <c r="F115" s="1" t="s">
        <v>22</v>
      </c>
      <c r="G115" s="4">
        <v>3</v>
      </c>
      <c r="H115" s="4">
        <v>4537</v>
      </c>
      <c r="I115" s="6">
        <v>226.53470000231005</v>
      </c>
      <c r="J115" s="6">
        <f>表1[[#This Row],[销售金额]]-表1[[#This Row],[退款金额]]</f>
        <v>4310.4652999976897</v>
      </c>
      <c r="K115" s="1">
        <v>999</v>
      </c>
      <c r="L115" s="1">
        <v>946</v>
      </c>
    </row>
    <row r="116" spans="1:12" x14ac:dyDescent="0.3">
      <c r="A116" s="2">
        <v>45903</v>
      </c>
      <c r="B116" s="1" t="s">
        <v>250</v>
      </c>
      <c r="C116" s="1" t="s">
        <v>19</v>
      </c>
      <c r="D116" s="1" t="s">
        <v>134</v>
      </c>
      <c r="E116" s="1" t="s">
        <v>21</v>
      </c>
      <c r="F116" s="1" t="s">
        <v>22</v>
      </c>
      <c r="G116" s="4">
        <v>3</v>
      </c>
      <c r="H116" s="4">
        <v>2010</v>
      </c>
      <c r="I116" s="6">
        <v>226.53470000231005</v>
      </c>
      <c r="J116" s="6">
        <f>表1[[#This Row],[销售金额]]-表1[[#This Row],[退款金额]]</f>
        <v>1783.46529999769</v>
      </c>
      <c r="K116" s="1">
        <v>999</v>
      </c>
      <c r="L116" s="1">
        <v>946</v>
      </c>
    </row>
    <row r="117" spans="1:12" x14ac:dyDescent="0.3">
      <c r="A117" s="2">
        <v>45903</v>
      </c>
      <c r="B117" s="1" t="s">
        <v>250</v>
      </c>
      <c r="C117" s="1" t="s">
        <v>19</v>
      </c>
      <c r="D117" s="1" t="s">
        <v>134</v>
      </c>
      <c r="E117" s="1" t="s">
        <v>21</v>
      </c>
      <c r="F117" s="1" t="s">
        <v>22</v>
      </c>
      <c r="G117" s="4">
        <v>3</v>
      </c>
      <c r="H117" s="4">
        <v>900</v>
      </c>
      <c r="I117" s="6">
        <v>226.53470000231005</v>
      </c>
      <c r="J117" s="6">
        <f>表1[[#This Row],[销售金额]]-表1[[#This Row],[退款金额]]</f>
        <v>673.46529999768995</v>
      </c>
      <c r="K117" s="1">
        <v>999</v>
      </c>
      <c r="L117" s="1">
        <v>946</v>
      </c>
    </row>
    <row r="118" spans="1:12" x14ac:dyDescent="0.3">
      <c r="A118" s="2">
        <v>45903</v>
      </c>
      <c r="B118" s="1" t="s">
        <v>248</v>
      </c>
      <c r="C118" s="1" t="s">
        <v>32</v>
      </c>
      <c r="D118" s="1" t="s">
        <v>222</v>
      </c>
      <c r="E118" s="1" t="s">
        <v>30</v>
      </c>
      <c r="F118" s="1" t="s">
        <v>31</v>
      </c>
      <c r="G118" s="4">
        <v>4</v>
      </c>
      <c r="H118" s="4">
        <v>4166</v>
      </c>
      <c r="I118" s="6">
        <v>1539.4089826377174</v>
      </c>
      <c r="J118" s="6">
        <f>表1[[#This Row],[销售金额]]-表1[[#This Row],[退款金额]]</f>
        <v>2626.5910173622824</v>
      </c>
      <c r="K118" s="1">
        <v>545</v>
      </c>
      <c r="L118" s="1">
        <v>199</v>
      </c>
    </row>
    <row r="119" spans="1:12" x14ac:dyDescent="0.3">
      <c r="A119" s="2">
        <v>45903</v>
      </c>
      <c r="B119" s="1" t="s">
        <v>248</v>
      </c>
      <c r="C119" s="1" t="s">
        <v>32</v>
      </c>
      <c r="D119" s="1" t="s">
        <v>222</v>
      </c>
      <c r="E119" s="1" t="s">
        <v>30</v>
      </c>
      <c r="F119" s="1" t="s">
        <v>31</v>
      </c>
      <c r="G119" s="4">
        <v>4</v>
      </c>
      <c r="H119" s="4">
        <v>5991</v>
      </c>
      <c r="I119" s="6">
        <v>1539.4089826377174</v>
      </c>
      <c r="J119" s="6">
        <f>表1[[#This Row],[销售金额]]-表1[[#This Row],[退款金额]]</f>
        <v>4451.5910173622824</v>
      </c>
      <c r="K119" s="1">
        <v>545</v>
      </c>
      <c r="L119" s="1">
        <v>199</v>
      </c>
    </row>
    <row r="120" spans="1:12" x14ac:dyDescent="0.3">
      <c r="A120" s="2">
        <v>45903</v>
      </c>
      <c r="B120" s="1" t="s">
        <v>248</v>
      </c>
      <c r="C120" s="1" t="s">
        <v>32</v>
      </c>
      <c r="D120" s="1" t="s">
        <v>222</v>
      </c>
      <c r="E120" s="1" t="s">
        <v>30</v>
      </c>
      <c r="F120" s="1" t="s">
        <v>31</v>
      </c>
      <c r="G120" s="4">
        <v>4</v>
      </c>
      <c r="H120" s="4">
        <v>2742</v>
      </c>
      <c r="I120" s="6">
        <v>1539.4089826377174</v>
      </c>
      <c r="J120" s="6">
        <f>表1[[#This Row],[销售金额]]-表1[[#This Row],[退款金额]]</f>
        <v>1202.5910173622826</v>
      </c>
      <c r="K120" s="1">
        <v>545</v>
      </c>
      <c r="L120" s="1">
        <v>199</v>
      </c>
    </row>
    <row r="121" spans="1:12" x14ac:dyDescent="0.3">
      <c r="A121" s="2">
        <v>45903</v>
      </c>
      <c r="B121" s="1" t="s">
        <v>248</v>
      </c>
      <c r="C121" s="1" t="s">
        <v>32</v>
      </c>
      <c r="D121" s="1" t="s">
        <v>222</v>
      </c>
      <c r="E121" s="1" t="s">
        <v>30</v>
      </c>
      <c r="F121" s="1" t="s">
        <v>31</v>
      </c>
      <c r="G121" s="4">
        <v>4</v>
      </c>
      <c r="H121" s="4">
        <v>6024</v>
      </c>
      <c r="I121" s="6">
        <v>1539.4089826377174</v>
      </c>
      <c r="J121" s="6">
        <f>表1[[#This Row],[销售金额]]-表1[[#This Row],[退款金额]]</f>
        <v>4484.5910173622824</v>
      </c>
      <c r="K121" s="1">
        <v>545</v>
      </c>
      <c r="L121" s="1">
        <v>199</v>
      </c>
    </row>
    <row r="122" spans="1:12" x14ac:dyDescent="0.3">
      <c r="A122" s="2">
        <v>45903</v>
      </c>
      <c r="B122" s="1" t="s">
        <v>248</v>
      </c>
      <c r="C122" s="1" t="s">
        <v>32</v>
      </c>
      <c r="D122" s="1" t="s">
        <v>222</v>
      </c>
      <c r="E122" s="1" t="s">
        <v>30</v>
      </c>
      <c r="F122" s="1" t="s">
        <v>31</v>
      </c>
      <c r="G122" s="4">
        <v>4</v>
      </c>
      <c r="H122" s="4">
        <v>3340</v>
      </c>
      <c r="I122" s="6">
        <v>1539.4089826377174</v>
      </c>
      <c r="J122" s="6">
        <f>表1[[#This Row],[销售金额]]-表1[[#This Row],[退款金额]]</f>
        <v>1800.5910173622826</v>
      </c>
      <c r="K122" s="1">
        <v>545</v>
      </c>
      <c r="L122" s="1">
        <v>199</v>
      </c>
    </row>
    <row r="123" spans="1:12" x14ac:dyDescent="0.3">
      <c r="A123" s="2">
        <v>45903</v>
      </c>
      <c r="B123" s="1" t="s">
        <v>248</v>
      </c>
      <c r="C123" s="1" t="s">
        <v>32</v>
      </c>
      <c r="D123" s="1" t="s">
        <v>222</v>
      </c>
      <c r="E123" s="1" t="s">
        <v>30</v>
      </c>
      <c r="F123" s="1" t="s">
        <v>31</v>
      </c>
      <c r="G123" s="4">
        <v>4</v>
      </c>
      <c r="H123" s="4">
        <v>3536</v>
      </c>
      <c r="I123" s="6">
        <v>1539.4089826377174</v>
      </c>
      <c r="J123" s="6">
        <f>表1[[#This Row],[销售金额]]-表1[[#This Row],[退款金额]]</f>
        <v>1996.5910173622826</v>
      </c>
      <c r="K123" s="1">
        <v>545</v>
      </c>
      <c r="L123" s="1">
        <v>199</v>
      </c>
    </row>
    <row r="124" spans="1:12" x14ac:dyDescent="0.3">
      <c r="A124" s="2">
        <v>45903</v>
      </c>
      <c r="B124" s="1" t="s">
        <v>248</v>
      </c>
      <c r="C124" s="1" t="s">
        <v>32</v>
      </c>
      <c r="D124" s="1" t="s">
        <v>222</v>
      </c>
      <c r="E124" s="1" t="s">
        <v>30</v>
      </c>
      <c r="F124" s="1" t="s">
        <v>31</v>
      </c>
      <c r="G124" s="4">
        <v>4</v>
      </c>
      <c r="H124" s="4">
        <v>4163</v>
      </c>
      <c r="I124" s="6">
        <v>1539.4089826377174</v>
      </c>
      <c r="J124" s="6">
        <f>表1[[#This Row],[销售金额]]-表1[[#This Row],[退款金额]]</f>
        <v>2623.5910173622824</v>
      </c>
      <c r="K124" s="1">
        <v>545</v>
      </c>
      <c r="L124" s="1">
        <v>199</v>
      </c>
    </row>
    <row r="125" spans="1:12" x14ac:dyDescent="0.3">
      <c r="A125" s="2">
        <v>45903</v>
      </c>
      <c r="B125" s="1" t="s">
        <v>248</v>
      </c>
      <c r="C125" s="1" t="s">
        <v>32</v>
      </c>
      <c r="D125" s="1" t="s">
        <v>222</v>
      </c>
      <c r="E125" s="1" t="s">
        <v>30</v>
      </c>
      <c r="F125" s="1" t="s">
        <v>31</v>
      </c>
      <c r="G125" s="4">
        <v>4</v>
      </c>
      <c r="H125" s="4">
        <v>3828</v>
      </c>
      <c r="I125" s="6">
        <v>1539.4089826377174</v>
      </c>
      <c r="J125" s="6">
        <f>表1[[#This Row],[销售金额]]-表1[[#This Row],[退款金额]]</f>
        <v>2288.5910173622824</v>
      </c>
      <c r="K125" s="1">
        <v>545</v>
      </c>
      <c r="L125" s="1">
        <v>199</v>
      </c>
    </row>
    <row r="126" spans="1:12" x14ac:dyDescent="0.3">
      <c r="A126" s="2">
        <v>45903</v>
      </c>
      <c r="B126" s="1" t="s">
        <v>248</v>
      </c>
      <c r="C126" s="1" t="s">
        <v>32</v>
      </c>
      <c r="D126" s="1" t="s">
        <v>222</v>
      </c>
      <c r="E126" s="1" t="s">
        <v>30</v>
      </c>
      <c r="F126" s="1" t="s">
        <v>31</v>
      </c>
      <c r="G126" s="4">
        <v>4</v>
      </c>
      <c r="H126" s="4">
        <v>1960</v>
      </c>
      <c r="I126" s="6">
        <v>1539.4089826377174</v>
      </c>
      <c r="J126" s="6">
        <f>表1[[#This Row],[销售金额]]-表1[[#This Row],[退款金额]]</f>
        <v>420.59101736228263</v>
      </c>
      <c r="K126" s="1">
        <v>545</v>
      </c>
      <c r="L126" s="1">
        <v>199</v>
      </c>
    </row>
    <row r="127" spans="1:12" x14ac:dyDescent="0.3">
      <c r="A127" s="2">
        <v>45903</v>
      </c>
      <c r="B127" s="1" t="s">
        <v>11</v>
      </c>
      <c r="C127" s="1" t="s">
        <v>19</v>
      </c>
      <c r="D127" s="1" t="s">
        <v>142</v>
      </c>
      <c r="E127" s="1" t="s">
        <v>27</v>
      </c>
      <c r="F127" s="1" t="s">
        <v>28</v>
      </c>
      <c r="G127" s="4">
        <v>9</v>
      </c>
      <c r="H127" s="4">
        <v>7495</v>
      </c>
      <c r="I127" s="6">
        <v>2586.9463374203901</v>
      </c>
      <c r="J127" s="6">
        <f>表1[[#This Row],[销售金额]]-表1[[#This Row],[退款金额]]</f>
        <v>4908.0536625796103</v>
      </c>
      <c r="K127" s="1">
        <v>477</v>
      </c>
      <c r="L127" s="1">
        <v>115</v>
      </c>
    </row>
    <row r="128" spans="1:12" x14ac:dyDescent="0.3">
      <c r="A128" s="2">
        <v>45903</v>
      </c>
      <c r="B128" s="1" t="s">
        <v>11</v>
      </c>
      <c r="C128" s="1" t="s">
        <v>19</v>
      </c>
      <c r="D128" s="1" t="s">
        <v>142</v>
      </c>
      <c r="E128" s="1" t="s">
        <v>27</v>
      </c>
      <c r="F128" s="1" t="s">
        <v>28</v>
      </c>
      <c r="G128" s="4">
        <v>9</v>
      </c>
      <c r="H128" s="4">
        <v>4745</v>
      </c>
      <c r="I128" s="6">
        <v>2586.9463374203901</v>
      </c>
      <c r="J128" s="6">
        <f>表1[[#This Row],[销售金额]]-表1[[#This Row],[退款金额]]</f>
        <v>2158.0536625796099</v>
      </c>
      <c r="K128" s="1">
        <v>477</v>
      </c>
      <c r="L128" s="1">
        <v>115</v>
      </c>
    </row>
    <row r="129" spans="1:12" x14ac:dyDescent="0.3">
      <c r="A129" s="2">
        <v>45903</v>
      </c>
      <c r="B129" s="1" t="s">
        <v>11</v>
      </c>
      <c r="C129" s="1" t="s">
        <v>19</v>
      </c>
      <c r="D129" s="1" t="s">
        <v>142</v>
      </c>
      <c r="E129" s="1" t="s">
        <v>27</v>
      </c>
      <c r="F129" s="1" t="s">
        <v>28</v>
      </c>
      <c r="G129" s="4">
        <v>9</v>
      </c>
      <c r="H129" s="4">
        <v>5716</v>
      </c>
      <c r="I129" s="6">
        <v>2586.9463374203901</v>
      </c>
      <c r="J129" s="6">
        <f>表1[[#This Row],[销售金额]]-表1[[#This Row],[退款金额]]</f>
        <v>3129.0536625796099</v>
      </c>
      <c r="K129" s="1">
        <v>477</v>
      </c>
      <c r="L129" s="1">
        <v>115</v>
      </c>
    </row>
    <row r="130" spans="1:12" x14ac:dyDescent="0.3">
      <c r="A130" s="2">
        <v>45903</v>
      </c>
      <c r="B130" s="1" t="s">
        <v>11</v>
      </c>
      <c r="C130" s="1" t="s">
        <v>19</v>
      </c>
      <c r="D130" s="1" t="s">
        <v>142</v>
      </c>
      <c r="E130" s="1" t="s">
        <v>27</v>
      </c>
      <c r="F130" s="1" t="s">
        <v>28</v>
      </c>
      <c r="G130" s="4">
        <v>9</v>
      </c>
      <c r="H130" s="4">
        <v>3853</v>
      </c>
      <c r="I130" s="6">
        <v>2586.9463374203901</v>
      </c>
      <c r="J130" s="6">
        <f>表1[[#This Row],[销售金额]]-表1[[#This Row],[退款金额]]</f>
        <v>1266.0536625796099</v>
      </c>
      <c r="K130" s="1">
        <v>477</v>
      </c>
      <c r="L130" s="1">
        <v>115</v>
      </c>
    </row>
    <row r="131" spans="1:12" x14ac:dyDescent="0.3">
      <c r="A131" s="2">
        <v>45903</v>
      </c>
      <c r="B131" s="1" t="s">
        <v>11</v>
      </c>
      <c r="C131" s="1" t="s">
        <v>19</v>
      </c>
      <c r="D131" s="1" t="s">
        <v>142</v>
      </c>
      <c r="E131" s="1" t="s">
        <v>27</v>
      </c>
      <c r="F131" s="1" t="s">
        <v>28</v>
      </c>
      <c r="G131" s="4">
        <v>9</v>
      </c>
      <c r="H131" s="4">
        <v>5596</v>
      </c>
      <c r="I131" s="6">
        <v>2586.9463374203901</v>
      </c>
      <c r="J131" s="6">
        <f>表1[[#This Row],[销售金额]]-表1[[#This Row],[退款金额]]</f>
        <v>3009.0536625796099</v>
      </c>
      <c r="K131" s="1">
        <v>477</v>
      </c>
      <c r="L131" s="1">
        <v>115</v>
      </c>
    </row>
    <row r="132" spans="1:12" x14ac:dyDescent="0.3">
      <c r="A132" s="2">
        <v>45903</v>
      </c>
      <c r="B132" s="1" t="s">
        <v>11</v>
      </c>
      <c r="C132" s="1" t="s">
        <v>19</v>
      </c>
      <c r="D132" s="1" t="s">
        <v>142</v>
      </c>
      <c r="E132" s="1" t="s">
        <v>27</v>
      </c>
      <c r="F132" s="1" t="s">
        <v>28</v>
      </c>
      <c r="G132" s="4">
        <v>9</v>
      </c>
      <c r="H132" s="4">
        <v>6344</v>
      </c>
      <c r="I132" s="6">
        <v>2586.9463374203901</v>
      </c>
      <c r="J132" s="6">
        <f>表1[[#This Row],[销售金额]]-表1[[#This Row],[退款金额]]</f>
        <v>3757.0536625796099</v>
      </c>
      <c r="K132" s="1">
        <v>477</v>
      </c>
      <c r="L132" s="1">
        <v>115</v>
      </c>
    </row>
    <row r="133" spans="1:12" x14ac:dyDescent="0.3">
      <c r="A133" s="2">
        <v>45903</v>
      </c>
      <c r="B133" s="1" t="s">
        <v>11</v>
      </c>
      <c r="C133" s="1" t="s">
        <v>19</v>
      </c>
      <c r="D133" s="1" t="s">
        <v>142</v>
      </c>
      <c r="E133" s="1" t="s">
        <v>27</v>
      </c>
      <c r="F133" s="1" t="s">
        <v>28</v>
      </c>
      <c r="G133" s="4">
        <v>9</v>
      </c>
      <c r="H133" s="4">
        <v>6637</v>
      </c>
      <c r="I133" s="6">
        <v>2586.9463374203901</v>
      </c>
      <c r="J133" s="6">
        <f>表1[[#This Row],[销售金额]]-表1[[#This Row],[退款金额]]</f>
        <v>4050.0536625796099</v>
      </c>
      <c r="K133" s="1">
        <v>477</v>
      </c>
      <c r="L133" s="1">
        <v>115</v>
      </c>
    </row>
    <row r="134" spans="1:12" x14ac:dyDescent="0.3">
      <c r="A134" s="2">
        <v>45903</v>
      </c>
      <c r="B134" s="1" t="s">
        <v>11</v>
      </c>
      <c r="C134" s="1" t="s">
        <v>19</v>
      </c>
      <c r="D134" s="1" t="s">
        <v>142</v>
      </c>
      <c r="E134" s="1" t="s">
        <v>27</v>
      </c>
      <c r="F134" s="1" t="s">
        <v>28</v>
      </c>
      <c r="G134" s="4">
        <v>9</v>
      </c>
      <c r="H134" s="4">
        <v>5117</v>
      </c>
      <c r="I134" s="6">
        <v>2586.9463374203901</v>
      </c>
      <c r="J134" s="6">
        <f>表1[[#This Row],[销售金额]]-表1[[#This Row],[退款金额]]</f>
        <v>2530.0536625796099</v>
      </c>
      <c r="K134" s="1">
        <v>477</v>
      </c>
      <c r="L134" s="1">
        <v>115</v>
      </c>
    </row>
    <row r="135" spans="1:12" x14ac:dyDescent="0.3">
      <c r="A135" s="2">
        <v>45903</v>
      </c>
      <c r="B135" s="1" t="s">
        <v>11</v>
      </c>
      <c r="C135" s="1" t="s">
        <v>19</v>
      </c>
      <c r="D135" s="1" t="s">
        <v>142</v>
      </c>
      <c r="E135" s="1" t="s">
        <v>27</v>
      </c>
      <c r="F135" s="1" t="s">
        <v>28</v>
      </c>
      <c r="G135" s="4">
        <v>9</v>
      </c>
      <c r="H135" s="4">
        <v>2730</v>
      </c>
      <c r="I135" s="6">
        <v>2586.9463374203901</v>
      </c>
      <c r="J135" s="6">
        <f>表1[[#This Row],[销售金额]]-表1[[#This Row],[退款金额]]</f>
        <v>143.05366257960986</v>
      </c>
      <c r="K135" s="1">
        <v>477</v>
      </c>
      <c r="L135" s="1">
        <v>115</v>
      </c>
    </row>
    <row r="136" spans="1:12" x14ac:dyDescent="0.3">
      <c r="A136" s="2">
        <v>45903</v>
      </c>
      <c r="B136" s="1" t="s">
        <v>25</v>
      </c>
      <c r="C136" s="1" t="s">
        <v>10</v>
      </c>
      <c r="D136" s="1" t="s">
        <v>156</v>
      </c>
      <c r="E136" s="1" t="s">
        <v>13</v>
      </c>
      <c r="F136" s="1" t="s">
        <v>14</v>
      </c>
      <c r="G136" s="4">
        <v>17</v>
      </c>
      <c r="H136" s="4">
        <v>40684</v>
      </c>
      <c r="I136" s="6">
        <v>40039.183959118753</v>
      </c>
      <c r="J136" s="6">
        <f>表1[[#This Row],[销售金额]]-表1[[#This Row],[退款金额]]</f>
        <v>644.81604088124732</v>
      </c>
      <c r="K136" s="1">
        <v>678</v>
      </c>
      <c r="L136" s="1">
        <v>705</v>
      </c>
    </row>
    <row r="137" spans="1:12" x14ac:dyDescent="0.3">
      <c r="A137" s="2">
        <v>45903</v>
      </c>
      <c r="B137" s="1" t="s">
        <v>25</v>
      </c>
      <c r="C137" s="1" t="s">
        <v>10</v>
      </c>
      <c r="D137" s="1" t="s">
        <v>156</v>
      </c>
      <c r="E137" s="1" t="s">
        <v>13</v>
      </c>
      <c r="F137" s="1" t="s">
        <v>14</v>
      </c>
      <c r="G137" s="4">
        <v>17</v>
      </c>
      <c r="H137" s="4">
        <v>43584</v>
      </c>
      <c r="I137" s="6">
        <v>40039.183959118753</v>
      </c>
      <c r="J137" s="6">
        <f>表1[[#This Row],[销售金额]]-表1[[#This Row],[退款金额]]</f>
        <v>3544.8160408812473</v>
      </c>
      <c r="K137" s="1">
        <v>678</v>
      </c>
      <c r="L137" s="1">
        <v>705</v>
      </c>
    </row>
    <row r="138" spans="1:12" x14ac:dyDescent="0.3">
      <c r="A138" s="2">
        <v>45903</v>
      </c>
      <c r="B138" s="1" t="s">
        <v>25</v>
      </c>
      <c r="C138" s="1" t="s">
        <v>10</v>
      </c>
      <c r="D138" s="1" t="s">
        <v>156</v>
      </c>
      <c r="E138" s="1" t="s">
        <v>13</v>
      </c>
      <c r="F138" s="1" t="s">
        <v>14</v>
      </c>
      <c r="G138" s="4">
        <v>17</v>
      </c>
      <c r="H138" s="4">
        <v>43875</v>
      </c>
      <c r="I138" s="6">
        <v>40039.183959118753</v>
      </c>
      <c r="J138" s="6">
        <f>表1[[#This Row],[销售金额]]-表1[[#This Row],[退款金额]]</f>
        <v>3835.8160408812473</v>
      </c>
      <c r="K138" s="1">
        <v>678</v>
      </c>
      <c r="L138" s="1">
        <v>705</v>
      </c>
    </row>
    <row r="139" spans="1:12" x14ac:dyDescent="0.3">
      <c r="A139" s="2">
        <v>45903</v>
      </c>
      <c r="B139" s="1" t="s">
        <v>25</v>
      </c>
      <c r="C139" s="1" t="s">
        <v>10</v>
      </c>
      <c r="D139" s="1" t="s">
        <v>156</v>
      </c>
      <c r="E139" s="1" t="s">
        <v>13</v>
      </c>
      <c r="F139" s="1" t="s">
        <v>14</v>
      </c>
      <c r="G139" s="4">
        <v>17</v>
      </c>
      <c r="H139" s="4">
        <v>42231</v>
      </c>
      <c r="I139" s="6">
        <v>40039.183959118753</v>
      </c>
      <c r="J139" s="6">
        <f>表1[[#This Row],[销售金额]]-表1[[#This Row],[退款金额]]</f>
        <v>2191.8160408812473</v>
      </c>
      <c r="K139" s="1">
        <v>678</v>
      </c>
      <c r="L139" s="1">
        <v>705</v>
      </c>
    </row>
    <row r="140" spans="1:12" x14ac:dyDescent="0.3">
      <c r="A140" s="2">
        <v>45903</v>
      </c>
      <c r="B140" s="1" t="s">
        <v>25</v>
      </c>
      <c r="C140" s="1" t="s">
        <v>10</v>
      </c>
      <c r="D140" s="1" t="s">
        <v>156</v>
      </c>
      <c r="E140" s="1" t="s">
        <v>13</v>
      </c>
      <c r="F140" s="1" t="s">
        <v>14</v>
      </c>
      <c r="G140" s="4">
        <v>17</v>
      </c>
      <c r="H140" s="4">
        <v>41590</v>
      </c>
      <c r="I140" s="6">
        <v>40039.183959118753</v>
      </c>
      <c r="J140" s="6">
        <f>表1[[#This Row],[销售金额]]-表1[[#This Row],[退款金额]]</f>
        <v>1550.8160408812473</v>
      </c>
      <c r="K140" s="1">
        <v>678</v>
      </c>
      <c r="L140" s="1">
        <v>705</v>
      </c>
    </row>
    <row r="141" spans="1:12" x14ac:dyDescent="0.3">
      <c r="A141" s="2">
        <v>45903</v>
      </c>
      <c r="B141" s="1" t="s">
        <v>25</v>
      </c>
      <c r="C141" s="1" t="s">
        <v>10</v>
      </c>
      <c r="D141" s="1" t="s">
        <v>156</v>
      </c>
      <c r="E141" s="1" t="s">
        <v>13</v>
      </c>
      <c r="F141" s="1" t="s">
        <v>14</v>
      </c>
      <c r="G141" s="4">
        <v>17</v>
      </c>
      <c r="H141" s="4">
        <v>42191</v>
      </c>
      <c r="I141" s="6">
        <v>40039.183959118753</v>
      </c>
      <c r="J141" s="6">
        <f>表1[[#This Row],[销售金额]]-表1[[#This Row],[退款金额]]</f>
        <v>2151.8160408812473</v>
      </c>
      <c r="K141" s="1">
        <v>678</v>
      </c>
      <c r="L141" s="1">
        <v>705</v>
      </c>
    </row>
    <row r="142" spans="1:12" x14ac:dyDescent="0.3">
      <c r="A142" s="2">
        <v>45903</v>
      </c>
      <c r="B142" s="1" t="s">
        <v>25</v>
      </c>
      <c r="C142" s="1" t="s">
        <v>10</v>
      </c>
      <c r="D142" s="1" t="s">
        <v>156</v>
      </c>
      <c r="E142" s="1" t="s">
        <v>13</v>
      </c>
      <c r="F142" s="1" t="s">
        <v>14</v>
      </c>
      <c r="G142" s="4">
        <v>17</v>
      </c>
      <c r="H142" s="4">
        <v>42548</v>
      </c>
      <c r="I142" s="6">
        <v>40039.183959118753</v>
      </c>
      <c r="J142" s="6">
        <f>表1[[#This Row],[销售金额]]-表1[[#This Row],[退款金额]]</f>
        <v>2508.8160408812473</v>
      </c>
      <c r="K142" s="1">
        <v>678</v>
      </c>
      <c r="L142" s="1">
        <v>705</v>
      </c>
    </row>
    <row r="143" spans="1:12" x14ac:dyDescent="0.3">
      <c r="A143" s="2">
        <v>45903</v>
      </c>
      <c r="B143" s="1" t="s">
        <v>25</v>
      </c>
      <c r="C143" s="1" t="s">
        <v>10</v>
      </c>
      <c r="D143" s="1" t="s">
        <v>156</v>
      </c>
      <c r="E143" s="1" t="s">
        <v>13</v>
      </c>
      <c r="F143" s="1" t="s">
        <v>14</v>
      </c>
      <c r="G143" s="4">
        <v>17</v>
      </c>
      <c r="H143" s="4">
        <v>44434</v>
      </c>
      <c r="I143" s="6">
        <v>40039.183959118753</v>
      </c>
      <c r="J143" s="6">
        <f>表1[[#This Row],[销售金额]]-表1[[#This Row],[退款金额]]</f>
        <v>4394.8160408812473</v>
      </c>
      <c r="K143" s="1">
        <v>678</v>
      </c>
      <c r="L143" s="1">
        <v>705</v>
      </c>
    </row>
    <row r="144" spans="1:12" x14ac:dyDescent="0.3">
      <c r="A144" s="2">
        <v>45903</v>
      </c>
      <c r="B144" s="1" t="s">
        <v>25</v>
      </c>
      <c r="C144" s="1" t="s">
        <v>10</v>
      </c>
      <c r="D144" s="1" t="s">
        <v>156</v>
      </c>
      <c r="E144" s="1" t="s">
        <v>13</v>
      </c>
      <c r="F144" s="1" t="s">
        <v>14</v>
      </c>
      <c r="G144" s="4">
        <v>17</v>
      </c>
      <c r="H144" s="4">
        <v>44987</v>
      </c>
      <c r="I144" s="6">
        <v>40039.183959118753</v>
      </c>
      <c r="J144" s="6">
        <f>表1[[#This Row],[销售金额]]-表1[[#This Row],[退款金额]]</f>
        <v>4947.8160408812473</v>
      </c>
      <c r="K144" s="1">
        <v>678</v>
      </c>
      <c r="L144" s="1">
        <v>705</v>
      </c>
    </row>
    <row r="145" spans="1:12" x14ac:dyDescent="0.3">
      <c r="A145" s="2">
        <v>45904</v>
      </c>
      <c r="B145" s="1" t="s">
        <v>248</v>
      </c>
      <c r="C145" s="1" t="s">
        <v>32</v>
      </c>
      <c r="D145" s="1" t="s">
        <v>145</v>
      </c>
      <c r="E145" s="1" t="s">
        <v>38</v>
      </c>
      <c r="F145" s="1" t="s">
        <v>39</v>
      </c>
      <c r="G145" s="4">
        <v>8</v>
      </c>
      <c r="H145" s="4">
        <v>2179</v>
      </c>
      <c r="I145" s="6">
        <v>1783.1271966317393</v>
      </c>
      <c r="J145" s="6">
        <f>表1[[#This Row],[销售金额]]-表1[[#This Row],[退款金额]]</f>
        <v>395.87280336826075</v>
      </c>
      <c r="K145" s="1">
        <v>466</v>
      </c>
      <c r="L145" s="1">
        <v>477</v>
      </c>
    </row>
    <row r="146" spans="1:12" x14ac:dyDescent="0.3">
      <c r="A146" s="2">
        <v>45904</v>
      </c>
      <c r="B146" s="1" t="s">
        <v>248</v>
      </c>
      <c r="C146" s="1" t="s">
        <v>32</v>
      </c>
      <c r="D146" s="1" t="s">
        <v>145</v>
      </c>
      <c r="E146" s="1" t="s">
        <v>38</v>
      </c>
      <c r="F146" s="1" t="s">
        <v>39</v>
      </c>
      <c r="G146" s="4">
        <v>8</v>
      </c>
      <c r="H146" s="4">
        <v>4354</v>
      </c>
      <c r="I146" s="6">
        <v>1783.1271966317393</v>
      </c>
      <c r="J146" s="6">
        <f>表1[[#This Row],[销售金额]]-表1[[#This Row],[退款金额]]</f>
        <v>2570.872803368261</v>
      </c>
      <c r="K146" s="1">
        <v>466</v>
      </c>
      <c r="L146" s="1">
        <v>477</v>
      </c>
    </row>
    <row r="147" spans="1:12" x14ac:dyDescent="0.3">
      <c r="A147" s="2">
        <v>45904</v>
      </c>
      <c r="B147" s="1" t="s">
        <v>248</v>
      </c>
      <c r="C147" s="1" t="s">
        <v>32</v>
      </c>
      <c r="D147" s="1" t="s">
        <v>145</v>
      </c>
      <c r="E147" s="1" t="s">
        <v>38</v>
      </c>
      <c r="F147" s="1" t="s">
        <v>39</v>
      </c>
      <c r="G147" s="4">
        <v>8</v>
      </c>
      <c r="H147" s="4">
        <v>3280</v>
      </c>
      <c r="I147" s="6">
        <v>1783.1271966317393</v>
      </c>
      <c r="J147" s="6">
        <f>表1[[#This Row],[销售金额]]-表1[[#This Row],[退款金额]]</f>
        <v>1496.8728033682607</v>
      </c>
      <c r="K147" s="1">
        <v>466</v>
      </c>
      <c r="L147" s="1">
        <v>477</v>
      </c>
    </row>
    <row r="148" spans="1:12" x14ac:dyDescent="0.3">
      <c r="A148" s="2">
        <v>45904</v>
      </c>
      <c r="B148" s="1" t="s">
        <v>248</v>
      </c>
      <c r="C148" s="1" t="s">
        <v>32</v>
      </c>
      <c r="D148" s="1" t="s">
        <v>145</v>
      </c>
      <c r="E148" s="1" t="s">
        <v>38</v>
      </c>
      <c r="F148" s="1" t="s">
        <v>39</v>
      </c>
      <c r="G148" s="4">
        <v>8</v>
      </c>
      <c r="H148" s="4">
        <v>5786</v>
      </c>
      <c r="I148" s="6">
        <v>1783.1271966317393</v>
      </c>
      <c r="J148" s="6">
        <f>表1[[#This Row],[销售金额]]-表1[[#This Row],[退款金额]]</f>
        <v>4002.872803368261</v>
      </c>
      <c r="K148" s="1">
        <v>466</v>
      </c>
      <c r="L148" s="1">
        <v>477</v>
      </c>
    </row>
    <row r="149" spans="1:12" x14ac:dyDescent="0.3">
      <c r="A149" s="2">
        <v>45904</v>
      </c>
      <c r="B149" s="1" t="s">
        <v>248</v>
      </c>
      <c r="C149" s="1" t="s">
        <v>32</v>
      </c>
      <c r="D149" s="1" t="s">
        <v>145</v>
      </c>
      <c r="E149" s="1" t="s">
        <v>38</v>
      </c>
      <c r="F149" s="1" t="s">
        <v>39</v>
      </c>
      <c r="G149" s="4">
        <v>8</v>
      </c>
      <c r="H149" s="4">
        <v>5047</v>
      </c>
      <c r="I149" s="6">
        <v>1783.1271966317393</v>
      </c>
      <c r="J149" s="6">
        <f>表1[[#This Row],[销售金额]]-表1[[#This Row],[退款金额]]</f>
        <v>3263.872803368261</v>
      </c>
      <c r="K149" s="1">
        <v>466</v>
      </c>
      <c r="L149" s="1">
        <v>477</v>
      </c>
    </row>
    <row r="150" spans="1:12" x14ac:dyDescent="0.3">
      <c r="A150" s="2">
        <v>45904</v>
      </c>
      <c r="B150" s="1" t="s">
        <v>248</v>
      </c>
      <c r="C150" s="1" t="s">
        <v>32</v>
      </c>
      <c r="D150" s="1" t="s">
        <v>145</v>
      </c>
      <c r="E150" s="1" t="s">
        <v>38</v>
      </c>
      <c r="F150" s="1" t="s">
        <v>39</v>
      </c>
      <c r="G150" s="4">
        <v>8</v>
      </c>
      <c r="H150" s="4">
        <v>5713</v>
      </c>
      <c r="I150" s="6">
        <v>1783.1271966317393</v>
      </c>
      <c r="J150" s="6">
        <f>表1[[#This Row],[销售金额]]-表1[[#This Row],[退款金额]]</f>
        <v>3929.872803368261</v>
      </c>
      <c r="K150" s="1">
        <v>466</v>
      </c>
      <c r="L150" s="1">
        <v>477</v>
      </c>
    </row>
    <row r="151" spans="1:12" x14ac:dyDescent="0.3">
      <c r="A151" s="2">
        <v>45904</v>
      </c>
      <c r="B151" s="1" t="s">
        <v>248</v>
      </c>
      <c r="C151" s="1" t="s">
        <v>32</v>
      </c>
      <c r="D151" s="1" t="s">
        <v>145</v>
      </c>
      <c r="E151" s="1" t="s">
        <v>38</v>
      </c>
      <c r="F151" s="1" t="s">
        <v>39</v>
      </c>
      <c r="G151" s="4">
        <v>8</v>
      </c>
      <c r="H151" s="4">
        <v>2989</v>
      </c>
      <c r="I151" s="6">
        <v>1783.1271966317393</v>
      </c>
      <c r="J151" s="6">
        <f>表1[[#This Row],[销售金额]]-表1[[#This Row],[退款金额]]</f>
        <v>1205.8728033682607</v>
      </c>
      <c r="K151" s="1">
        <v>466</v>
      </c>
      <c r="L151" s="1">
        <v>477</v>
      </c>
    </row>
    <row r="152" spans="1:12" x14ac:dyDescent="0.3">
      <c r="A152" s="2">
        <v>45904</v>
      </c>
      <c r="B152" s="1" t="s">
        <v>248</v>
      </c>
      <c r="C152" s="1" t="s">
        <v>32</v>
      </c>
      <c r="D152" s="1" t="s">
        <v>145</v>
      </c>
      <c r="E152" s="1" t="s">
        <v>38</v>
      </c>
      <c r="F152" s="1" t="s">
        <v>39</v>
      </c>
      <c r="G152" s="4">
        <v>8</v>
      </c>
      <c r="H152" s="4">
        <v>3515</v>
      </c>
      <c r="I152" s="6">
        <v>1783.1271966317393</v>
      </c>
      <c r="J152" s="6">
        <f>表1[[#This Row],[销售金额]]-表1[[#This Row],[退款金额]]</f>
        <v>1731.8728033682607</v>
      </c>
      <c r="K152" s="1">
        <v>466</v>
      </c>
      <c r="L152" s="1">
        <v>477</v>
      </c>
    </row>
    <row r="153" spans="1:12" x14ac:dyDescent="0.3">
      <c r="A153" s="2">
        <v>45904</v>
      </c>
      <c r="B153" s="1" t="s">
        <v>248</v>
      </c>
      <c r="C153" s="1" t="s">
        <v>32</v>
      </c>
      <c r="D153" s="1" t="s">
        <v>145</v>
      </c>
      <c r="E153" s="1" t="s">
        <v>38</v>
      </c>
      <c r="F153" s="1" t="s">
        <v>39</v>
      </c>
      <c r="G153" s="4">
        <v>8</v>
      </c>
      <c r="H153" s="4">
        <v>4972</v>
      </c>
      <c r="I153" s="6">
        <v>1783.1271966317393</v>
      </c>
      <c r="J153" s="6">
        <f>表1[[#This Row],[销售金额]]-表1[[#This Row],[退款金额]]</f>
        <v>3188.872803368261</v>
      </c>
      <c r="K153" s="1">
        <v>466</v>
      </c>
      <c r="L153" s="1">
        <v>477</v>
      </c>
    </row>
    <row r="154" spans="1:12" x14ac:dyDescent="0.3">
      <c r="A154" s="2">
        <v>45904</v>
      </c>
      <c r="B154" s="1" t="s">
        <v>25</v>
      </c>
      <c r="C154" s="1" t="s">
        <v>19</v>
      </c>
      <c r="D154" s="1" t="s">
        <v>138</v>
      </c>
      <c r="E154" s="1" t="s">
        <v>51</v>
      </c>
      <c r="F154" s="1" t="s">
        <v>52</v>
      </c>
      <c r="G154" s="4">
        <v>9</v>
      </c>
      <c r="H154" s="4">
        <v>3814</v>
      </c>
      <c r="I154" s="6">
        <v>3035.3090782230261</v>
      </c>
      <c r="J154" s="6">
        <f>表1[[#This Row],[销售金额]]-表1[[#This Row],[退款金额]]</f>
        <v>778.69092177697394</v>
      </c>
      <c r="K154" s="1">
        <v>744</v>
      </c>
      <c r="L154" s="1">
        <v>786</v>
      </c>
    </row>
    <row r="155" spans="1:12" x14ac:dyDescent="0.3">
      <c r="A155" s="2">
        <v>45904</v>
      </c>
      <c r="B155" s="1" t="s">
        <v>25</v>
      </c>
      <c r="C155" s="1" t="s">
        <v>19</v>
      </c>
      <c r="D155" s="1" t="s">
        <v>138</v>
      </c>
      <c r="E155" s="1" t="s">
        <v>51</v>
      </c>
      <c r="F155" s="1" t="s">
        <v>52</v>
      </c>
      <c r="G155" s="4">
        <v>9</v>
      </c>
      <c r="H155" s="4">
        <v>4923</v>
      </c>
      <c r="I155" s="6">
        <v>3035.3090782230261</v>
      </c>
      <c r="J155" s="6">
        <f>表1[[#This Row],[销售金额]]-表1[[#This Row],[退款金额]]</f>
        <v>1887.6909217769739</v>
      </c>
      <c r="K155" s="1">
        <v>744</v>
      </c>
      <c r="L155" s="1">
        <v>786</v>
      </c>
    </row>
    <row r="156" spans="1:12" x14ac:dyDescent="0.3">
      <c r="A156" s="2">
        <v>45904</v>
      </c>
      <c r="B156" s="1" t="s">
        <v>25</v>
      </c>
      <c r="C156" s="1" t="s">
        <v>19</v>
      </c>
      <c r="D156" s="1" t="s">
        <v>138</v>
      </c>
      <c r="E156" s="1" t="s">
        <v>51</v>
      </c>
      <c r="F156" s="1" t="s">
        <v>52</v>
      </c>
      <c r="G156" s="4">
        <v>9</v>
      </c>
      <c r="H156" s="4">
        <v>4881</v>
      </c>
      <c r="I156" s="6">
        <v>3035.3090782230261</v>
      </c>
      <c r="J156" s="6">
        <f>表1[[#This Row],[销售金额]]-表1[[#This Row],[退款金额]]</f>
        <v>1845.6909217769739</v>
      </c>
      <c r="K156" s="1">
        <v>744</v>
      </c>
      <c r="L156" s="1">
        <v>786</v>
      </c>
    </row>
    <row r="157" spans="1:12" x14ac:dyDescent="0.3">
      <c r="A157" s="2">
        <v>45904</v>
      </c>
      <c r="B157" s="1" t="s">
        <v>25</v>
      </c>
      <c r="C157" s="1" t="s">
        <v>19</v>
      </c>
      <c r="D157" s="1" t="s">
        <v>138</v>
      </c>
      <c r="E157" s="1" t="s">
        <v>51</v>
      </c>
      <c r="F157" s="1" t="s">
        <v>52</v>
      </c>
      <c r="G157" s="4">
        <v>9</v>
      </c>
      <c r="H157" s="4">
        <v>5267</v>
      </c>
      <c r="I157" s="6">
        <v>3035.3090782230261</v>
      </c>
      <c r="J157" s="6">
        <f>表1[[#This Row],[销售金额]]-表1[[#This Row],[退款金额]]</f>
        <v>2231.6909217769739</v>
      </c>
      <c r="K157" s="1">
        <v>744</v>
      </c>
      <c r="L157" s="1">
        <v>786</v>
      </c>
    </row>
    <row r="158" spans="1:12" x14ac:dyDescent="0.3">
      <c r="A158" s="2">
        <v>45904</v>
      </c>
      <c r="B158" s="1" t="s">
        <v>25</v>
      </c>
      <c r="C158" s="1" t="s">
        <v>19</v>
      </c>
      <c r="D158" s="1" t="s">
        <v>138</v>
      </c>
      <c r="E158" s="1" t="s">
        <v>51</v>
      </c>
      <c r="F158" s="1" t="s">
        <v>52</v>
      </c>
      <c r="G158" s="4">
        <v>9</v>
      </c>
      <c r="H158" s="4">
        <v>7353</v>
      </c>
      <c r="I158" s="6">
        <v>3035.3090782230261</v>
      </c>
      <c r="J158" s="6">
        <f>表1[[#This Row],[销售金额]]-表1[[#This Row],[退款金额]]</f>
        <v>4317.6909217769735</v>
      </c>
      <c r="K158" s="1">
        <v>744</v>
      </c>
      <c r="L158" s="1">
        <v>786</v>
      </c>
    </row>
    <row r="159" spans="1:12" x14ac:dyDescent="0.3">
      <c r="A159" s="2">
        <v>45904</v>
      </c>
      <c r="B159" s="1" t="s">
        <v>25</v>
      </c>
      <c r="C159" s="1" t="s">
        <v>19</v>
      </c>
      <c r="D159" s="1" t="s">
        <v>138</v>
      </c>
      <c r="E159" s="1" t="s">
        <v>51</v>
      </c>
      <c r="F159" s="1" t="s">
        <v>52</v>
      </c>
      <c r="G159" s="4">
        <v>9</v>
      </c>
      <c r="H159" s="4">
        <v>3170</v>
      </c>
      <c r="I159" s="6">
        <v>3035.3090782230261</v>
      </c>
      <c r="J159" s="6">
        <f>表1[[#This Row],[销售金额]]-表1[[#This Row],[退款金额]]</f>
        <v>134.69092177697394</v>
      </c>
      <c r="K159" s="1">
        <v>744</v>
      </c>
      <c r="L159" s="1">
        <v>786</v>
      </c>
    </row>
    <row r="160" spans="1:12" x14ac:dyDescent="0.3">
      <c r="A160" s="2">
        <v>45904</v>
      </c>
      <c r="B160" s="1" t="s">
        <v>25</v>
      </c>
      <c r="C160" s="1" t="s">
        <v>19</v>
      </c>
      <c r="D160" s="1" t="s">
        <v>138</v>
      </c>
      <c r="E160" s="1" t="s">
        <v>51</v>
      </c>
      <c r="F160" s="1" t="s">
        <v>52</v>
      </c>
      <c r="G160" s="4">
        <v>9</v>
      </c>
      <c r="H160" s="4">
        <v>7705</v>
      </c>
      <c r="I160" s="6">
        <v>3035.3090782230261</v>
      </c>
      <c r="J160" s="6">
        <f>表1[[#This Row],[销售金额]]-表1[[#This Row],[退款金额]]</f>
        <v>4669.6909217769735</v>
      </c>
      <c r="K160" s="1">
        <v>744</v>
      </c>
      <c r="L160" s="1">
        <v>786</v>
      </c>
    </row>
    <row r="161" spans="1:12" x14ac:dyDescent="0.3">
      <c r="A161" s="2">
        <v>45904</v>
      </c>
      <c r="B161" s="1" t="s">
        <v>25</v>
      </c>
      <c r="C161" s="1" t="s">
        <v>19</v>
      </c>
      <c r="D161" s="1" t="s">
        <v>138</v>
      </c>
      <c r="E161" s="1" t="s">
        <v>51</v>
      </c>
      <c r="F161" s="1" t="s">
        <v>52</v>
      </c>
      <c r="G161" s="4">
        <v>9</v>
      </c>
      <c r="H161" s="4">
        <v>7079</v>
      </c>
      <c r="I161" s="6">
        <v>3035.3090782230261</v>
      </c>
      <c r="J161" s="6">
        <f>表1[[#This Row],[销售金额]]-表1[[#This Row],[退款金额]]</f>
        <v>4043.6909217769739</v>
      </c>
      <c r="K161" s="1">
        <v>744</v>
      </c>
      <c r="L161" s="1">
        <v>786</v>
      </c>
    </row>
    <row r="162" spans="1:12" x14ac:dyDescent="0.3">
      <c r="A162" s="2">
        <v>45904</v>
      </c>
      <c r="B162" s="1" t="s">
        <v>25</v>
      </c>
      <c r="C162" s="1" t="s">
        <v>19</v>
      </c>
      <c r="D162" s="1" t="s">
        <v>138</v>
      </c>
      <c r="E162" s="1" t="s">
        <v>51</v>
      </c>
      <c r="F162" s="1" t="s">
        <v>52</v>
      </c>
      <c r="G162" s="4">
        <v>9</v>
      </c>
      <c r="H162" s="4">
        <v>5423</v>
      </c>
      <c r="I162" s="6">
        <v>3035.3090782230261</v>
      </c>
      <c r="J162" s="6">
        <f>表1[[#This Row],[销售金额]]-表1[[#This Row],[退款金额]]</f>
        <v>2387.6909217769739</v>
      </c>
      <c r="K162" s="1">
        <v>744</v>
      </c>
      <c r="L162" s="1">
        <v>786</v>
      </c>
    </row>
    <row r="163" spans="1:12" x14ac:dyDescent="0.3">
      <c r="A163" s="2">
        <v>45904</v>
      </c>
      <c r="B163" s="1" t="s">
        <v>250</v>
      </c>
      <c r="C163" s="1" t="s">
        <v>19</v>
      </c>
      <c r="D163" s="1" t="s">
        <v>200</v>
      </c>
      <c r="E163" s="1" t="s">
        <v>21</v>
      </c>
      <c r="F163" s="1" t="s">
        <v>22</v>
      </c>
      <c r="G163" s="4">
        <v>10</v>
      </c>
      <c r="H163" s="4">
        <v>4476</v>
      </c>
      <c r="I163" s="6">
        <v>727.34203154404054</v>
      </c>
      <c r="J163" s="6">
        <f>表1[[#This Row],[销售金额]]-表1[[#This Row],[退款金额]]</f>
        <v>3748.6579684559592</v>
      </c>
      <c r="K163" s="1">
        <v>962</v>
      </c>
      <c r="L163" s="1">
        <v>459</v>
      </c>
    </row>
    <row r="164" spans="1:12" x14ac:dyDescent="0.3">
      <c r="A164" s="2">
        <v>45904</v>
      </c>
      <c r="B164" s="1" t="s">
        <v>250</v>
      </c>
      <c r="C164" s="1" t="s">
        <v>19</v>
      </c>
      <c r="D164" s="1" t="s">
        <v>200</v>
      </c>
      <c r="E164" s="1" t="s">
        <v>21</v>
      </c>
      <c r="F164" s="1" t="s">
        <v>22</v>
      </c>
      <c r="G164" s="4">
        <v>10</v>
      </c>
      <c r="H164" s="4">
        <v>4309</v>
      </c>
      <c r="I164" s="6">
        <v>727.34203154404054</v>
      </c>
      <c r="J164" s="6">
        <f>表1[[#This Row],[销售金额]]-表1[[#This Row],[退款金额]]</f>
        <v>3581.6579684559592</v>
      </c>
      <c r="K164" s="1">
        <v>962</v>
      </c>
      <c r="L164" s="1">
        <v>459</v>
      </c>
    </row>
    <row r="165" spans="1:12" x14ac:dyDescent="0.3">
      <c r="A165" s="2">
        <v>45904</v>
      </c>
      <c r="B165" s="1" t="s">
        <v>250</v>
      </c>
      <c r="C165" s="1" t="s">
        <v>19</v>
      </c>
      <c r="D165" s="1" t="s">
        <v>200</v>
      </c>
      <c r="E165" s="1" t="s">
        <v>21</v>
      </c>
      <c r="F165" s="1" t="s">
        <v>22</v>
      </c>
      <c r="G165" s="4">
        <v>10</v>
      </c>
      <c r="H165" s="4">
        <v>3360</v>
      </c>
      <c r="I165" s="6">
        <v>727.34203154404054</v>
      </c>
      <c r="J165" s="6">
        <f>表1[[#This Row],[销售金额]]-表1[[#This Row],[退款金额]]</f>
        <v>2632.6579684559592</v>
      </c>
      <c r="K165" s="1">
        <v>962</v>
      </c>
      <c r="L165" s="1">
        <v>459</v>
      </c>
    </row>
    <row r="166" spans="1:12" x14ac:dyDescent="0.3">
      <c r="A166" s="2">
        <v>45904</v>
      </c>
      <c r="B166" s="1" t="s">
        <v>250</v>
      </c>
      <c r="C166" s="1" t="s">
        <v>19</v>
      </c>
      <c r="D166" s="1" t="s">
        <v>200</v>
      </c>
      <c r="E166" s="1" t="s">
        <v>21</v>
      </c>
      <c r="F166" s="1" t="s">
        <v>22</v>
      </c>
      <c r="G166" s="4">
        <v>10</v>
      </c>
      <c r="H166" s="4">
        <v>1450</v>
      </c>
      <c r="I166" s="6">
        <v>727.34203154404054</v>
      </c>
      <c r="J166" s="6">
        <f>表1[[#This Row],[销售金额]]-表1[[#This Row],[退款金额]]</f>
        <v>722.65796845595946</v>
      </c>
      <c r="K166" s="1">
        <v>962</v>
      </c>
      <c r="L166" s="1">
        <v>459</v>
      </c>
    </row>
    <row r="167" spans="1:12" x14ac:dyDescent="0.3">
      <c r="A167" s="2">
        <v>45904</v>
      </c>
      <c r="B167" s="1" t="s">
        <v>250</v>
      </c>
      <c r="C167" s="1" t="s">
        <v>19</v>
      </c>
      <c r="D167" s="1" t="s">
        <v>200</v>
      </c>
      <c r="E167" s="1" t="s">
        <v>21</v>
      </c>
      <c r="F167" s="1" t="s">
        <v>22</v>
      </c>
      <c r="G167" s="4">
        <v>10</v>
      </c>
      <c r="H167" s="4">
        <v>1565</v>
      </c>
      <c r="I167" s="6">
        <v>727.34203154404054</v>
      </c>
      <c r="J167" s="6">
        <f>表1[[#This Row],[销售金额]]-表1[[#This Row],[退款金额]]</f>
        <v>837.65796845595946</v>
      </c>
      <c r="K167" s="1">
        <v>962</v>
      </c>
      <c r="L167" s="1">
        <v>459</v>
      </c>
    </row>
    <row r="168" spans="1:12" x14ac:dyDescent="0.3">
      <c r="A168" s="2">
        <v>45904</v>
      </c>
      <c r="B168" s="1" t="s">
        <v>250</v>
      </c>
      <c r="C168" s="1" t="s">
        <v>19</v>
      </c>
      <c r="D168" s="1" t="s">
        <v>200</v>
      </c>
      <c r="E168" s="1" t="s">
        <v>21</v>
      </c>
      <c r="F168" s="1" t="s">
        <v>22</v>
      </c>
      <c r="G168" s="4">
        <v>10</v>
      </c>
      <c r="H168" s="4">
        <v>2257</v>
      </c>
      <c r="I168" s="6">
        <v>727.34203154404054</v>
      </c>
      <c r="J168" s="6">
        <f>表1[[#This Row],[销售金额]]-表1[[#This Row],[退款金额]]</f>
        <v>1529.6579684559595</v>
      </c>
      <c r="K168" s="1">
        <v>962</v>
      </c>
      <c r="L168" s="1">
        <v>459</v>
      </c>
    </row>
    <row r="169" spans="1:12" x14ac:dyDescent="0.3">
      <c r="A169" s="2">
        <v>45904</v>
      </c>
      <c r="B169" s="1" t="s">
        <v>250</v>
      </c>
      <c r="C169" s="1" t="s">
        <v>19</v>
      </c>
      <c r="D169" s="1" t="s">
        <v>200</v>
      </c>
      <c r="E169" s="1" t="s">
        <v>21</v>
      </c>
      <c r="F169" s="1" t="s">
        <v>22</v>
      </c>
      <c r="G169" s="4">
        <v>10</v>
      </c>
      <c r="H169" s="4">
        <v>3102</v>
      </c>
      <c r="I169" s="6">
        <v>727.34203154404054</v>
      </c>
      <c r="J169" s="6">
        <f>表1[[#This Row],[销售金额]]-表1[[#This Row],[退款金额]]</f>
        <v>2374.6579684559592</v>
      </c>
      <c r="K169" s="1">
        <v>962</v>
      </c>
      <c r="L169" s="1">
        <v>459</v>
      </c>
    </row>
    <row r="170" spans="1:12" x14ac:dyDescent="0.3">
      <c r="A170" s="2">
        <v>45904</v>
      </c>
      <c r="B170" s="1" t="s">
        <v>250</v>
      </c>
      <c r="C170" s="1" t="s">
        <v>19</v>
      </c>
      <c r="D170" s="1" t="s">
        <v>200</v>
      </c>
      <c r="E170" s="1" t="s">
        <v>21</v>
      </c>
      <c r="F170" s="1" t="s">
        <v>22</v>
      </c>
      <c r="G170" s="4">
        <v>10</v>
      </c>
      <c r="H170" s="4">
        <v>2964</v>
      </c>
      <c r="I170" s="6">
        <v>727.34203154404054</v>
      </c>
      <c r="J170" s="6">
        <f>表1[[#This Row],[销售金额]]-表1[[#This Row],[退款金额]]</f>
        <v>2236.6579684559592</v>
      </c>
      <c r="K170" s="1">
        <v>962</v>
      </c>
      <c r="L170" s="1">
        <v>459</v>
      </c>
    </row>
    <row r="171" spans="1:12" x14ac:dyDescent="0.3">
      <c r="A171" s="2">
        <v>45904</v>
      </c>
      <c r="B171" s="1" t="s">
        <v>250</v>
      </c>
      <c r="C171" s="1" t="s">
        <v>19</v>
      </c>
      <c r="D171" s="1" t="s">
        <v>200</v>
      </c>
      <c r="E171" s="1" t="s">
        <v>21</v>
      </c>
      <c r="F171" s="1" t="s">
        <v>22</v>
      </c>
      <c r="G171" s="4">
        <v>10</v>
      </c>
      <c r="H171" s="4">
        <v>3557</v>
      </c>
      <c r="I171" s="6">
        <v>727.34203154404054</v>
      </c>
      <c r="J171" s="6">
        <f>表1[[#This Row],[销售金额]]-表1[[#This Row],[退款金额]]</f>
        <v>2829.6579684559592</v>
      </c>
      <c r="K171" s="1">
        <v>962</v>
      </c>
      <c r="L171" s="1">
        <v>459</v>
      </c>
    </row>
    <row r="172" spans="1:12" x14ac:dyDescent="0.3">
      <c r="A172" s="2">
        <v>45904</v>
      </c>
      <c r="B172" s="1" t="s">
        <v>15</v>
      </c>
      <c r="C172" s="1" t="s">
        <v>19</v>
      </c>
      <c r="D172" s="1" t="s">
        <v>150</v>
      </c>
      <c r="E172" s="1" t="s">
        <v>27</v>
      </c>
      <c r="F172" s="1" t="s">
        <v>28</v>
      </c>
      <c r="G172" s="4">
        <v>17</v>
      </c>
      <c r="H172" s="4">
        <v>4782</v>
      </c>
      <c r="I172" s="6">
        <v>1325.27492295007</v>
      </c>
      <c r="J172" s="6">
        <f>表1[[#This Row],[销售金额]]-表1[[#This Row],[退款金额]]</f>
        <v>3456.72507704993</v>
      </c>
      <c r="K172" s="1">
        <v>295</v>
      </c>
      <c r="L172" s="1">
        <v>868</v>
      </c>
    </row>
    <row r="173" spans="1:12" x14ac:dyDescent="0.3">
      <c r="A173" s="2">
        <v>45904</v>
      </c>
      <c r="B173" s="1" t="s">
        <v>15</v>
      </c>
      <c r="C173" s="1" t="s">
        <v>19</v>
      </c>
      <c r="D173" s="1" t="s">
        <v>150</v>
      </c>
      <c r="E173" s="1" t="s">
        <v>27</v>
      </c>
      <c r="F173" s="1" t="s">
        <v>28</v>
      </c>
      <c r="G173" s="4">
        <v>17</v>
      </c>
      <c r="H173" s="4">
        <v>3195</v>
      </c>
      <c r="I173" s="6">
        <v>1325.27492295007</v>
      </c>
      <c r="J173" s="6">
        <f>表1[[#This Row],[销售金额]]-表1[[#This Row],[退款金额]]</f>
        <v>1869.72507704993</v>
      </c>
      <c r="K173" s="1">
        <v>295</v>
      </c>
      <c r="L173" s="1">
        <v>868</v>
      </c>
    </row>
    <row r="174" spans="1:12" x14ac:dyDescent="0.3">
      <c r="A174" s="2">
        <v>45904</v>
      </c>
      <c r="B174" s="1" t="s">
        <v>15</v>
      </c>
      <c r="C174" s="1" t="s">
        <v>19</v>
      </c>
      <c r="D174" s="1" t="s">
        <v>150</v>
      </c>
      <c r="E174" s="1" t="s">
        <v>27</v>
      </c>
      <c r="F174" s="1" t="s">
        <v>28</v>
      </c>
      <c r="G174" s="4">
        <v>17</v>
      </c>
      <c r="H174" s="4">
        <v>4526</v>
      </c>
      <c r="I174" s="6">
        <v>1325.27492295007</v>
      </c>
      <c r="J174" s="6">
        <f>表1[[#This Row],[销售金额]]-表1[[#This Row],[退款金额]]</f>
        <v>3200.72507704993</v>
      </c>
      <c r="K174" s="1">
        <v>295</v>
      </c>
      <c r="L174" s="1">
        <v>868</v>
      </c>
    </row>
    <row r="175" spans="1:12" x14ac:dyDescent="0.3">
      <c r="A175" s="2">
        <v>45904</v>
      </c>
      <c r="B175" s="1" t="s">
        <v>15</v>
      </c>
      <c r="C175" s="1" t="s">
        <v>19</v>
      </c>
      <c r="D175" s="1" t="s">
        <v>150</v>
      </c>
      <c r="E175" s="1" t="s">
        <v>27</v>
      </c>
      <c r="F175" s="1" t="s">
        <v>28</v>
      </c>
      <c r="G175" s="4">
        <v>17</v>
      </c>
      <c r="H175" s="4">
        <v>2523</v>
      </c>
      <c r="I175" s="6">
        <v>1325.27492295007</v>
      </c>
      <c r="J175" s="6">
        <f>表1[[#This Row],[销售金额]]-表1[[#This Row],[退款金额]]</f>
        <v>1197.72507704993</v>
      </c>
      <c r="K175" s="1">
        <v>295</v>
      </c>
      <c r="L175" s="1">
        <v>868</v>
      </c>
    </row>
    <row r="176" spans="1:12" x14ac:dyDescent="0.3">
      <c r="A176" s="2">
        <v>45904</v>
      </c>
      <c r="B176" s="1" t="s">
        <v>15</v>
      </c>
      <c r="C176" s="1" t="s">
        <v>19</v>
      </c>
      <c r="D176" s="1" t="s">
        <v>150</v>
      </c>
      <c r="E176" s="1" t="s">
        <v>27</v>
      </c>
      <c r="F176" s="1" t="s">
        <v>28</v>
      </c>
      <c r="G176" s="4">
        <v>17</v>
      </c>
      <c r="H176" s="4">
        <v>2636</v>
      </c>
      <c r="I176" s="6">
        <v>1325.27492295007</v>
      </c>
      <c r="J176" s="6">
        <f>表1[[#This Row],[销售金额]]-表1[[#This Row],[退款金额]]</f>
        <v>1310.72507704993</v>
      </c>
      <c r="K176" s="1">
        <v>295</v>
      </c>
      <c r="L176" s="1">
        <v>868</v>
      </c>
    </row>
    <row r="177" spans="1:12" x14ac:dyDescent="0.3">
      <c r="A177" s="2">
        <v>45904</v>
      </c>
      <c r="B177" s="1" t="s">
        <v>15</v>
      </c>
      <c r="C177" s="1" t="s">
        <v>19</v>
      </c>
      <c r="D177" s="1" t="s">
        <v>150</v>
      </c>
      <c r="E177" s="1" t="s">
        <v>27</v>
      </c>
      <c r="F177" s="1" t="s">
        <v>28</v>
      </c>
      <c r="G177" s="4">
        <v>17</v>
      </c>
      <c r="H177" s="4">
        <v>1389</v>
      </c>
      <c r="I177" s="6">
        <v>1325.27492295007</v>
      </c>
      <c r="J177" s="6">
        <f>表1[[#This Row],[销售金额]]-表1[[#This Row],[退款金额]]</f>
        <v>63.725077049929951</v>
      </c>
      <c r="K177" s="1">
        <v>295</v>
      </c>
      <c r="L177" s="1">
        <v>868</v>
      </c>
    </row>
    <row r="178" spans="1:12" x14ac:dyDescent="0.3">
      <c r="A178" s="2">
        <v>45904</v>
      </c>
      <c r="B178" s="1" t="s">
        <v>15</v>
      </c>
      <c r="C178" s="1" t="s">
        <v>19</v>
      </c>
      <c r="D178" s="1" t="s">
        <v>150</v>
      </c>
      <c r="E178" s="1" t="s">
        <v>27</v>
      </c>
      <c r="F178" s="1" t="s">
        <v>28</v>
      </c>
      <c r="G178" s="4">
        <v>17</v>
      </c>
      <c r="H178" s="4">
        <v>5199</v>
      </c>
      <c r="I178" s="6">
        <v>1325.27492295007</v>
      </c>
      <c r="J178" s="6">
        <f>表1[[#This Row],[销售金额]]-表1[[#This Row],[退款金额]]</f>
        <v>3873.72507704993</v>
      </c>
      <c r="K178" s="1">
        <v>295</v>
      </c>
      <c r="L178" s="1">
        <v>868</v>
      </c>
    </row>
    <row r="179" spans="1:12" x14ac:dyDescent="0.3">
      <c r="A179" s="2">
        <v>45904</v>
      </c>
      <c r="B179" s="1" t="s">
        <v>15</v>
      </c>
      <c r="C179" s="1" t="s">
        <v>19</v>
      </c>
      <c r="D179" s="1" t="s">
        <v>150</v>
      </c>
      <c r="E179" s="1" t="s">
        <v>27</v>
      </c>
      <c r="F179" s="1" t="s">
        <v>28</v>
      </c>
      <c r="G179" s="4">
        <v>17</v>
      </c>
      <c r="H179" s="4">
        <v>5417</v>
      </c>
      <c r="I179" s="6">
        <v>1325.27492295007</v>
      </c>
      <c r="J179" s="6">
        <f>表1[[#This Row],[销售金额]]-表1[[#This Row],[退款金额]]</f>
        <v>4091.72507704993</v>
      </c>
      <c r="K179" s="1">
        <v>295</v>
      </c>
      <c r="L179" s="1">
        <v>868</v>
      </c>
    </row>
    <row r="180" spans="1:12" x14ac:dyDescent="0.3">
      <c r="A180" s="2">
        <v>45904</v>
      </c>
      <c r="B180" s="1" t="s">
        <v>15</v>
      </c>
      <c r="C180" s="1" t="s">
        <v>19</v>
      </c>
      <c r="D180" s="1" t="s">
        <v>150</v>
      </c>
      <c r="E180" s="1" t="s">
        <v>27</v>
      </c>
      <c r="F180" s="1" t="s">
        <v>28</v>
      </c>
      <c r="G180" s="4">
        <v>17</v>
      </c>
      <c r="H180" s="4">
        <v>3673</v>
      </c>
      <c r="I180" s="6">
        <v>1325.27492295007</v>
      </c>
      <c r="J180" s="6">
        <f>表1[[#This Row],[销售金额]]-表1[[#This Row],[退款金额]]</f>
        <v>2347.72507704993</v>
      </c>
      <c r="K180" s="1">
        <v>295</v>
      </c>
      <c r="L180" s="1">
        <v>868</v>
      </c>
    </row>
    <row r="181" spans="1:12" x14ac:dyDescent="0.3">
      <c r="A181" s="2">
        <v>45904</v>
      </c>
      <c r="B181" s="1" t="s">
        <v>15</v>
      </c>
      <c r="C181" s="1" t="s">
        <v>19</v>
      </c>
      <c r="D181" s="1" t="s">
        <v>74</v>
      </c>
      <c r="E181" s="1" t="s">
        <v>75</v>
      </c>
      <c r="F181" s="1" t="s">
        <v>76</v>
      </c>
      <c r="G181" s="4">
        <v>20</v>
      </c>
      <c r="H181" s="4">
        <v>7587</v>
      </c>
      <c r="I181" s="6">
        <v>2809.421305802598</v>
      </c>
      <c r="J181" s="6">
        <f>表1[[#This Row],[销售金额]]-表1[[#This Row],[退款金额]]</f>
        <v>4777.578694197402</v>
      </c>
      <c r="K181" s="1">
        <v>728</v>
      </c>
      <c r="L181" s="1">
        <v>114</v>
      </c>
    </row>
    <row r="182" spans="1:12" x14ac:dyDescent="0.3">
      <c r="A182" s="2">
        <v>45904</v>
      </c>
      <c r="B182" s="1" t="s">
        <v>15</v>
      </c>
      <c r="C182" s="1" t="s">
        <v>19</v>
      </c>
      <c r="D182" s="1" t="s">
        <v>74</v>
      </c>
      <c r="E182" s="1" t="s">
        <v>75</v>
      </c>
      <c r="F182" s="1" t="s">
        <v>76</v>
      </c>
      <c r="G182" s="4">
        <v>20</v>
      </c>
      <c r="H182" s="4">
        <v>5082</v>
      </c>
      <c r="I182" s="6">
        <v>2809.421305802598</v>
      </c>
      <c r="J182" s="6">
        <f>表1[[#This Row],[销售金额]]-表1[[#This Row],[退款金额]]</f>
        <v>2272.578694197402</v>
      </c>
      <c r="K182" s="1">
        <v>728</v>
      </c>
      <c r="L182" s="1">
        <v>114</v>
      </c>
    </row>
    <row r="183" spans="1:12" x14ac:dyDescent="0.3">
      <c r="A183" s="2">
        <v>45904</v>
      </c>
      <c r="B183" s="1" t="s">
        <v>15</v>
      </c>
      <c r="C183" s="1" t="s">
        <v>19</v>
      </c>
      <c r="D183" s="1" t="s">
        <v>74</v>
      </c>
      <c r="E183" s="1" t="s">
        <v>75</v>
      </c>
      <c r="F183" s="1" t="s">
        <v>76</v>
      </c>
      <c r="G183" s="4">
        <v>20</v>
      </c>
      <c r="H183" s="4">
        <v>7528</v>
      </c>
      <c r="I183" s="6">
        <v>2809.421305802598</v>
      </c>
      <c r="J183" s="6">
        <f>表1[[#This Row],[销售金额]]-表1[[#This Row],[退款金额]]</f>
        <v>4718.578694197402</v>
      </c>
      <c r="K183" s="1">
        <v>728</v>
      </c>
      <c r="L183" s="1">
        <v>114</v>
      </c>
    </row>
    <row r="184" spans="1:12" x14ac:dyDescent="0.3">
      <c r="A184" s="2">
        <v>45904</v>
      </c>
      <c r="B184" s="1" t="s">
        <v>15</v>
      </c>
      <c r="C184" s="1" t="s">
        <v>19</v>
      </c>
      <c r="D184" s="1" t="s">
        <v>74</v>
      </c>
      <c r="E184" s="1" t="s">
        <v>75</v>
      </c>
      <c r="F184" s="1" t="s">
        <v>76</v>
      </c>
      <c r="G184" s="4">
        <v>20</v>
      </c>
      <c r="H184" s="4">
        <v>6475</v>
      </c>
      <c r="I184" s="6">
        <v>2809.421305802598</v>
      </c>
      <c r="J184" s="6">
        <f>表1[[#This Row],[销售金额]]-表1[[#This Row],[退款金额]]</f>
        <v>3665.578694197402</v>
      </c>
      <c r="K184" s="1">
        <v>728</v>
      </c>
      <c r="L184" s="1">
        <v>114</v>
      </c>
    </row>
    <row r="185" spans="1:12" x14ac:dyDescent="0.3">
      <c r="A185" s="2">
        <v>45904</v>
      </c>
      <c r="B185" s="1" t="s">
        <v>15</v>
      </c>
      <c r="C185" s="1" t="s">
        <v>19</v>
      </c>
      <c r="D185" s="1" t="s">
        <v>74</v>
      </c>
      <c r="E185" s="1" t="s">
        <v>75</v>
      </c>
      <c r="F185" s="1" t="s">
        <v>76</v>
      </c>
      <c r="G185" s="4">
        <v>20</v>
      </c>
      <c r="H185" s="4">
        <v>7524</v>
      </c>
      <c r="I185" s="6">
        <v>2809.421305802598</v>
      </c>
      <c r="J185" s="6">
        <f>表1[[#This Row],[销售金额]]-表1[[#This Row],[退款金额]]</f>
        <v>4714.578694197402</v>
      </c>
      <c r="K185" s="1">
        <v>728</v>
      </c>
      <c r="L185" s="1">
        <v>114</v>
      </c>
    </row>
    <row r="186" spans="1:12" x14ac:dyDescent="0.3">
      <c r="A186" s="2">
        <v>45904</v>
      </c>
      <c r="B186" s="1" t="s">
        <v>15</v>
      </c>
      <c r="C186" s="1" t="s">
        <v>19</v>
      </c>
      <c r="D186" s="1" t="s">
        <v>74</v>
      </c>
      <c r="E186" s="1" t="s">
        <v>75</v>
      </c>
      <c r="F186" s="1" t="s">
        <v>76</v>
      </c>
      <c r="G186" s="4">
        <v>20</v>
      </c>
      <c r="H186" s="4">
        <v>5074</v>
      </c>
      <c r="I186" s="6">
        <v>2809.421305802598</v>
      </c>
      <c r="J186" s="6">
        <f>表1[[#This Row],[销售金额]]-表1[[#This Row],[退款金额]]</f>
        <v>2264.578694197402</v>
      </c>
      <c r="K186" s="1">
        <v>728</v>
      </c>
      <c r="L186" s="1">
        <v>114</v>
      </c>
    </row>
    <row r="187" spans="1:12" x14ac:dyDescent="0.3">
      <c r="A187" s="2">
        <v>45904</v>
      </c>
      <c r="B187" s="1" t="s">
        <v>15</v>
      </c>
      <c r="C187" s="1" t="s">
        <v>19</v>
      </c>
      <c r="D187" s="1" t="s">
        <v>74</v>
      </c>
      <c r="E187" s="1" t="s">
        <v>75</v>
      </c>
      <c r="F187" s="1" t="s">
        <v>76</v>
      </c>
      <c r="G187" s="4">
        <v>20</v>
      </c>
      <c r="H187" s="4">
        <v>6322</v>
      </c>
      <c r="I187" s="6">
        <v>2809.421305802598</v>
      </c>
      <c r="J187" s="6">
        <f>表1[[#This Row],[销售金额]]-表1[[#This Row],[退款金额]]</f>
        <v>3512.578694197402</v>
      </c>
      <c r="K187" s="1">
        <v>728</v>
      </c>
      <c r="L187" s="1">
        <v>114</v>
      </c>
    </row>
    <row r="188" spans="1:12" x14ac:dyDescent="0.3">
      <c r="A188" s="2">
        <v>45904</v>
      </c>
      <c r="B188" s="1" t="s">
        <v>15</v>
      </c>
      <c r="C188" s="1" t="s">
        <v>19</v>
      </c>
      <c r="D188" s="1" t="s">
        <v>74</v>
      </c>
      <c r="E188" s="1" t="s">
        <v>75</v>
      </c>
      <c r="F188" s="1" t="s">
        <v>76</v>
      </c>
      <c r="G188" s="4">
        <v>20</v>
      </c>
      <c r="H188" s="4">
        <v>7092</v>
      </c>
      <c r="I188" s="6">
        <v>2809.421305802598</v>
      </c>
      <c r="J188" s="6">
        <f>表1[[#This Row],[销售金额]]-表1[[#This Row],[退款金额]]</f>
        <v>4282.578694197402</v>
      </c>
      <c r="K188" s="1">
        <v>728</v>
      </c>
      <c r="L188" s="1">
        <v>114</v>
      </c>
    </row>
    <row r="189" spans="1:12" x14ac:dyDescent="0.3">
      <c r="A189" s="2">
        <v>45904</v>
      </c>
      <c r="B189" s="1" t="s">
        <v>15</v>
      </c>
      <c r="C189" s="1" t="s">
        <v>19</v>
      </c>
      <c r="D189" s="1" t="s">
        <v>74</v>
      </c>
      <c r="E189" s="1" t="s">
        <v>75</v>
      </c>
      <c r="F189" s="1" t="s">
        <v>76</v>
      </c>
      <c r="G189" s="4">
        <v>20</v>
      </c>
      <c r="H189" s="4">
        <v>2886</v>
      </c>
      <c r="I189" s="6">
        <v>2809.421305802598</v>
      </c>
      <c r="J189" s="6">
        <f>表1[[#This Row],[销售金额]]-表1[[#This Row],[退款金额]]</f>
        <v>76.578694197402001</v>
      </c>
      <c r="K189" s="1">
        <v>728</v>
      </c>
      <c r="L189" s="1">
        <v>114</v>
      </c>
    </row>
    <row r="190" spans="1:12" x14ac:dyDescent="0.3">
      <c r="A190" s="2">
        <v>45905</v>
      </c>
      <c r="B190" s="1" t="s">
        <v>248</v>
      </c>
      <c r="C190" s="1" t="s">
        <v>32</v>
      </c>
      <c r="D190" s="1" t="s">
        <v>64</v>
      </c>
      <c r="E190" s="1" t="s">
        <v>38</v>
      </c>
      <c r="F190" s="1" t="s">
        <v>39</v>
      </c>
      <c r="G190" s="4">
        <v>2</v>
      </c>
      <c r="H190" s="4">
        <v>5857</v>
      </c>
      <c r="I190" s="6">
        <v>1042.6521037272778</v>
      </c>
      <c r="J190" s="6">
        <f>表1[[#This Row],[销售金额]]-表1[[#This Row],[退款金额]]</f>
        <v>4814.3478962727222</v>
      </c>
      <c r="K190" s="1">
        <v>938</v>
      </c>
      <c r="L190" s="1">
        <v>594</v>
      </c>
    </row>
    <row r="191" spans="1:12" x14ac:dyDescent="0.3">
      <c r="A191" s="2">
        <v>45905</v>
      </c>
      <c r="B191" s="1" t="s">
        <v>248</v>
      </c>
      <c r="C191" s="1" t="s">
        <v>32</v>
      </c>
      <c r="D191" s="1" t="s">
        <v>64</v>
      </c>
      <c r="E191" s="1" t="s">
        <v>38</v>
      </c>
      <c r="F191" s="1" t="s">
        <v>39</v>
      </c>
      <c r="G191" s="4">
        <v>2</v>
      </c>
      <c r="H191" s="4">
        <v>3464</v>
      </c>
      <c r="I191" s="6">
        <v>1042.6521037272778</v>
      </c>
      <c r="J191" s="6">
        <f>表1[[#This Row],[销售金额]]-表1[[#This Row],[退款金额]]</f>
        <v>2421.3478962727222</v>
      </c>
      <c r="K191" s="1">
        <v>938</v>
      </c>
      <c r="L191" s="1">
        <v>594</v>
      </c>
    </row>
    <row r="192" spans="1:12" x14ac:dyDescent="0.3">
      <c r="A192" s="2">
        <v>45905</v>
      </c>
      <c r="B192" s="1" t="s">
        <v>248</v>
      </c>
      <c r="C192" s="1" t="s">
        <v>32</v>
      </c>
      <c r="D192" s="1" t="s">
        <v>64</v>
      </c>
      <c r="E192" s="1" t="s">
        <v>38</v>
      </c>
      <c r="F192" s="1" t="s">
        <v>39</v>
      </c>
      <c r="G192" s="4">
        <v>2</v>
      </c>
      <c r="H192" s="4">
        <v>3395</v>
      </c>
      <c r="I192" s="6">
        <v>1042.6521037272778</v>
      </c>
      <c r="J192" s="6">
        <f>表1[[#This Row],[销售金额]]-表1[[#This Row],[退款金额]]</f>
        <v>2352.3478962727222</v>
      </c>
      <c r="K192" s="1">
        <v>938</v>
      </c>
      <c r="L192" s="1">
        <v>594</v>
      </c>
    </row>
    <row r="193" spans="1:12" x14ac:dyDescent="0.3">
      <c r="A193" s="2">
        <v>45905</v>
      </c>
      <c r="B193" s="1" t="s">
        <v>248</v>
      </c>
      <c r="C193" s="1" t="s">
        <v>32</v>
      </c>
      <c r="D193" s="1" t="s">
        <v>64</v>
      </c>
      <c r="E193" s="1" t="s">
        <v>38</v>
      </c>
      <c r="F193" s="1" t="s">
        <v>39</v>
      </c>
      <c r="G193" s="4">
        <v>2</v>
      </c>
      <c r="H193" s="4">
        <v>3673</v>
      </c>
      <c r="I193" s="6">
        <v>1042.6521037272778</v>
      </c>
      <c r="J193" s="6">
        <f>表1[[#This Row],[销售金额]]-表1[[#This Row],[退款金额]]</f>
        <v>2630.3478962727222</v>
      </c>
      <c r="K193" s="1">
        <v>938</v>
      </c>
      <c r="L193" s="1">
        <v>594</v>
      </c>
    </row>
    <row r="194" spans="1:12" x14ac:dyDescent="0.3">
      <c r="A194" s="2">
        <v>45905</v>
      </c>
      <c r="B194" s="1" t="s">
        <v>248</v>
      </c>
      <c r="C194" s="1" t="s">
        <v>32</v>
      </c>
      <c r="D194" s="1" t="s">
        <v>64</v>
      </c>
      <c r="E194" s="1" t="s">
        <v>38</v>
      </c>
      <c r="F194" s="1" t="s">
        <v>39</v>
      </c>
      <c r="G194" s="4">
        <v>2</v>
      </c>
      <c r="H194" s="4">
        <v>4149</v>
      </c>
      <c r="I194" s="6">
        <v>1042.6521037272778</v>
      </c>
      <c r="J194" s="6">
        <f>表1[[#This Row],[销售金额]]-表1[[#This Row],[退款金额]]</f>
        <v>3106.3478962727222</v>
      </c>
      <c r="K194" s="1">
        <v>938</v>
      </c>
      <c r="L194" s="1">
        <v>594</v>
      </c>
    </row>
    <row r="195" spans="1:12" x14ac:dyDescent="0.3">
      <c r="A195" s="2">
        <v>45905</v>
      </c>
      <c r="B195" s="1" t="s">
        <v>248</v>
      </c>
      <c r="C195" s="1" t="s">
        <v>32</v>
      </c>
      <c r="D195" s="1" t="s">
        <v>64</v>
      </c>
      <c r="E195" s="1" t="s">
        <v>38</v>
      </c>
      <c r="F195" s="1" t="s">
        <v>39</v>
      </c>
      <c r="G195" s="4">
        <v>2</v>
      </c>
      <c r="H195" s="4">
        <v>5444</v>
      </c>
      <c r="I195" s="6">
        <v>1042.6521037272778</v>
      </c>
      <c r="J195" s="6">
        <f>表1[[#This Row],[销售金额]]-表1[[#This Row],[退款金额]]</f>
        <v>4401.3478962727222</v>
      </c>
      <c r="K195" s="1">
        <v>938</v>
      </c>
      <c r="L195" s="1">
        <v>594</v>
      </c>
    </row>
    <row r="196" spans="1:12" x14ac:dyDescent="0.3">
      <c r="A196" s="2">
        <v>45905</v>
      </c>
      <c r="B196" s="1" t="s">
        <v>248</v>
      </c>
      <c r="C196" s="1" t="s">
        <v>32</v>
      </c>
      <c r="D196" s="1" t="s">
        <v>64</v>
      </c>
      <c r="E196" s="1" t="s">
        <v>38</v>
      </c>
      <c r="F196" s="1" t="s">
        <v>39</v>
      </c>
      <c r="G196" s="4">
        <v>2</v>
      </c>
      <c r="H196" s="4">
        <v>5365</v>
      </c>
      <c r="I196" s="6">
        <v>1042.6521037272778</v>
      </c>
      <c r="J196" s="6">
        <f>表1[[#This Row],[销售金额]]-表1[[#This Row],[退款金额]]</f>
        <v>4322.3478962727222</v>
      </c>
      <c r="K196" s="1">
        <v>938</v>
      </c>
      <c r="L196" s="1">
        <v>594</v>
      </c>
    </row>
    <row r="197" spans="1:12" x14ac:dyDescent="0.3">
      <c r="A197" s="2">
        <v>45905</v>
      </c>
      <c r="B197" s="1" t="s">
        <v>248</v>
      </c>
      <c r="C197" s="1" t="s">
        <v>32</v>
      </c>
      <c r="D197" s="1" t="s">
        <v>64</v>
      </c>
      <c r="E197" s="1" t="s">
        <v>38</v>
      </c>
      <c r="F197" s="1" t="s">
        <v>39</v>
      </c>
      <c r="G197" s="4">
        <v>2</v>
      </c>
      <c r="H197" s="4">
        <v>4025</v>
      </c>
      <c r="I197" s="6">
        <v>1042.6521037272778</v>
      </c>
      <c r="J197" s="6">
        <f>表1[[#This Row],[销售金额]]-表1[[#This Row],[退款金额]]</f>
        <v>2982.3478962727222</v>
      </c>
      <c r="K197" s="1">
        <v>938</v>
      </c>
      <c r="L197" s="1">
        <v>594</v>
      </c>
    </row>
    <row r="198" spans="1:12" x14ac:dyDescent="0.3">
      <c r="A198" s="2">
        <v>45905</v>
      </c>
      <c r="B198" s="1" t="s">
        <v>11</v>
      </c>
      <c r="C198" s="1" t="s">
        <v>32</v>
      </c>
      <c r="D198" s="1" t="s">
        <v>96</v>
      </c>
      <c r="E198" s="1" t="s">
        <v>60</v>
      </c>
      <c r="F198" s="1" t="s">
        <v>61</v>
      </c>
      <c r="G198" s="4">
        <v>8</v>
      </c>
      <c r="H198" s="4">
        <v>21243</v>
      </c>
      <c r="I198" s="6">
        <v>19984.685558081081</v>
      </c>
      <c r="J198" s="6">
        <f>表1[[#This Row],[销售金额]]-表1[[#This Row],[退款金额]]</f>
        <v>1258.3144419189193</v>
      </c>
      <c r="K198" s="1">
        <v>269</v>
      </c>
      <c r="L198" s="1">
        <v>366</v>
      </c>
    </row>
    <row r="199" spans="1:12" x14ac:dyDescent="0.3">
      <c r="A199" s="2">
        <v>45905</v>
      </c>
      <c r="B199" s="1" t="s">
        <v>11</v>
      </c>
      <c r="C199" s="1" t="s">
        <v>32</v>
      </c>
      <c r="D199" s="1" t="s">
        <v>96</v>
      </c>
      <c r="E199" s="1" t="s">
        <v>60</v>
      </c>
      <c r="F199" s="1" t="s">
        <v>61</v>
      </c>
      <c r="G199" s="4">
        <v>8</v>
      </c>
      <c r="H199" s="4">
        <v>23723</v>
      </c>
      <c r="I199" s="6">
        <v>19984.685558081081</v>
      </c>
      <c r="J199" s="6">
        <f>表1[[#This Row],[销售金额]]-表1[[#This Row],[退款金额]]</f>
        <v>3738.3144419189193</v>
      </c>
      <c r="K199" s="1">
        <v>269</v>
      </c>
      <c r="L199" s="1">
        <v>366</v>
      </c>
    </row>
    <row r="200" spans="1:12" x14ac:dyDescent="0.3">
      <c r="A200" s="2">
        <v>45905</v>
      </c>
      <c r="B200" s="1" t="s">
        <v>247</v>
      </c>
      <c r="C200" s="1" t="s">
        <v>19</v>
      </c>
      <c r="D200" s="1" t="s">
        <v>44</v>
      </c>
      <c r="E200" s="1" t="s">
        <v>27</v>
      </c>
      <c r="F200" s="1" t="s">
        <v>28</v>
      </c>
      <c r="G200" s="4">
        <v>8</v>
      </c>
      <c r="H200" s="4">
        <v>2191</v>
      </c>
      <c r="I200" s="6">
        <v>477.91354383227394</v>
      </c>
      <c r="J200" s="6">
        <f>表1[[#This Row],[销售金额]]-表1[[#This Row],[退款金额]]</f>
        <v>1713.0864561677261</v>
      </c>
      <c r="K200" s="1">
        <v>253</v>
      </c>
      <c r="L200" s="1">
        <v>926</v>
      </c>
    </row>
    <row r="201" spans="1:12" x14ac:dyDescent="0.3">
      <c r="A201" s="2">
        <v>45905</v>
      </c>
      <c r="B201" s="1" t="s">
        <v>11</v>
      </c>
      <c r="C201" s="1" t="s">
        <v>32</v>
      </c>
      <c r="D201" s="1" t="s">
        <v>96</v>
      </c>
      <c r="E201" s="1" t="s">
        <v>60</v>
      </c>
      <c r="F201" s="1" t="s">
        <v>61</v>
      </c>
      <c r="G201" s="4">
        <v>8</v>
      </c>
      <c r="H201" s="4">
        <v>20732</v>
      </c>
      <c r="I201" s="6">
        <v>19984.685558081081</v>
      </c>
      <c r="J201" s="6">
        <f>表1[[#This Row],[销售金额]]-表1[[#This Row],[退款金额]]</f>
        <v>747.31444191891933</v>
      </c>
      <c r="K201" s="1">
        <v>269</v>
      </c>
      <c r="L201" s="1">
        <v>366</v>
      </c>
    </row>
    <row r="202" spans="1:12" x14ac:dyDescent="0.3">
      <c r="A202" s="2">
        <v>45905</v>
      </c>
      <c r="B202" s="1" t="s">
        <v>11</v>
      </c>
      <c r="C202" s="1" t="s">
        <v>32</v>
      </c>
      <c r="D202" s="1" t="s">
        <v>96</v>
      </c>
      <c r="E202" s="1" t="s">
        <v>60</v>
      </c>
      <c r="F202" s="1" t="s">
        <v>61</v>
      </c>
      <c r="G202" s="4">
        <v>8</v>
      </c>
      <c r="H202" s="4">
        <v>21462</v>
      </c>
      <c r="I202" s="6">
        <v>19984.685558081081</v>
      </c>
      <c r="J202" s="6">
        <f>表1[[#This Row],[销售金额]]-表1[[#This Row],[退款金额]]</f>
        <v>1477.3144419189193</v>
      </c>
      <c r="K202" s="1">
        <v>269</v>
      </c>
      <c r="L202" s="1">
        <v>366</v>
      </c>
    </row>
    <row r="203" spans="1:12" x14ac:dyDescent="0.3">
      <c r="A203" s="2">
        <v>45905</v>
      </c>
      <c r="B203" s="1" t="s">
        <v>247</v>
      </c>
      <c r="C203" s="1" t="s">
        <v>19</v>
      </c>
      <c r="D203" s="1" t="s">
        <v>44</v>
      </c>
      <c r="E203" s="1" t="s">
        <v>27</v>
      </c>
      <c r="F203" s="1" t="s">
        <v>28</v>
      </c>
      <c r="G203" s="4">
        <v>8</v>
      </c>
      <c r="H203" s="4">
        <v>3293</v>
      </c>
      <c r="I203" s="6">
        <v>477.91354383227394</v>
      </c>
      <c r="J203" s="6">
        <f>表1[[#This Row],[销售金额]]-表1[[#This Row],[退款金额]]</f>
        <v>2815.0864561677263</v>
      </c>
      <c r="K203" s="1">
        <v>253</v>
      </c>
      <c r="L203" s="1">
        <v>926</v>
      </c>
    </row>
    <row r="204" spans="1:12" x14ac:dyDescent="0.3">
      <c r="A204" s="2">
        <v>45905</v>
      </c>
      <c r="B204" s="1" t="s">
        <v>11</v>
      </c>
      <c r="C204" s="1" t="s">
        <v>32</v>
      </c>
      <c r="D204" s="1" t="s">
        <v>96</v>
      </c>
      <c r="E204" s="1" t="s">
        <v>60</v>
      </c>
      <c r="F204" s="1" t="s">
        <v>61</v>
      </c>
      <c r="G204" s="4">
        <v>8</v>
      </c>
      <c r="H204" s="4">
        <v>24626</v>
      </c>
      <c r="I204" s="6">
        <v>19984.685558081081</v>
      </c>
      <c r="J204" s="6">
        <f>表1[[#This Row],[销售金额]]-表1[[#This Row],[退款金额]]</f>
        <v>4641.3144419189193</v>
      </c>
      <c r="K204" s="1">
        <v>269</v>
      </c>
      <c r="L204" s="1">
        <v>366</v>
      </c>
    </row>
    <row r="205" spans="1:12" x14ac:dyDescent="0.3">
      <c r="A205" s="2">
        <v>45905</v>
      </c>
      <c r="B205" s="1" t="s">
        <v>11</v>
      </c>
      <c r="C205" s="1" t="s">
        <v>32</v>
      </c>
      <c r="D205" s="1" t="s">
        <v>96</v>
      </c>
      <c r="E205" s="1" t="s">
        <v>60</v>
      </c>
      <c r="F205" s="1" t="s">
        <v>61</v>
      </c>
      <c r="G205" s="4">
        <v>8</v>
      </c>
      <c r="H205" s="4">
        <v>21814</v>
      </c>
      <c r="I205" s="6">
        <v>19984.685558081081</v>
      </c>
      <c r="J205" s="6">
        <f>表1[[#This Row],[销售金额]]-表1[[#This Row],[退款金额]]</f>
        <v>1829.3144419189193</v>
      </c>
      <c r="K205" s="1">
        <v>269</v>
      </c>
      <c r="L205" s="1">
        <v>366</v>
      </c>
    </row>
    <row r="206" spans="1:12" x14ac:dyDescent="0.3">
      <c r="A206" s="2">
        <v>45905</v>
      </c>
      <c r="B206" s="1" t="s">
        <v>247</v>
      </c>
      <c r="C206" s="1" t="s">
        <v>19</v>
      </c>
      <c r="D206" s="1" t="s">
        <v>44</v>
      </c>
      <c r="E206" s="1" t="s">
        <v>27</v>
      </c>
      <c r="F206" s="1" t="s">
        <v>28</v>
      </c>
      <c r="G206" s="4">
        <v>8</v>
      </c>
      <c r="H206" s="4">
        <v>4747</v>
      </c>
      <c r="I206" s="6">
        <v>477.91354383227394</v>
      </c>
      <c r="J206" s="6">
        <f>表1[[#This Row],[销售金额]]-表1[[#This Row],[退款金额]]</f>
        <v>4269.0864561677263</v>
      </c>
      <c r="K206" s="1">
        <v>253</v>
      </c>
      <c r="L206" s="1">
        <v>926</v>
      </c>
    </row>
    <row r="207" spans="1:12" x14ac:dyDescent="0.3">
      <c r="A207" s="2">
        <v>45905</v>
      </c>
      <c r="B207" s="1" t="s">
        <v>11</v>
      </c>
      <c r="C207" s="1" t="s">
        <v>32</v>
      </c>
      <c r="D207" s="1" t="s">
        <v>96</v>
      </c>
      <c r="E207" s="1" t="s">
        <v>60</v>
      </c>
      <c r="F207" s="1" t="s">
        <v>61</v>
      </c>
      <c r="G207" s="4">
        <v>8</v>
      </c>
      <c r="H207" s="4">
        <v>20606</v>
      </c>
      <c r="I207" s="6">
        <v>19984.685558081081</v>
      </c>
      <c r="J207" s="6">
        <f>表1[[#This Row],[销售金额]]-表1[[#This Row],[退款金额]]</f>
        <v>621.31444191891933</v>
      </c>
      <c r="K207" s="1">
        <v>269</v>
      </c>
      <c r="L207" s="1">
        <v>366</v>
      </c>
    </row>
    <row r="208" spans="1:12" x14ac:dyDescent="0.3">
      <c r="A208" s="2">
        <v>45905</v>
      </c>
      <c r="B208" s="1" t="s">
        <v>11</v>
      </c>
      <c r="C208" s="1" t="s">
        <v>32</v>
      </c>
      <c r="D208" s="1" t="s">
        <v>96</v>
      </c>
      <c r="E208" s="1" t="s">
        <v>60</v>
      </c>
      <c r="F208" s="1" t="s">
        <v>61</v>
      </c>
      <c r="G208" s="4">
        <v>8</v>
      </c>
      <c r="H208" s="4">
        <v>22565</v>
      </c>
      <c r="I208" s="6">
        <v>19984.685558081081</v>
      </c>
      <c r="J208" s="6">
        <f>表1[[#This Row],[销售金额]]-表1[[#This Row],[退款金额]]</f>
        <v>2580.3144419189193</v>
      </c>
      <c r="K208" s="1">
        <v>269</v>
      </c>
      <c r="L208" s="1">
        <v>366</v>
      </c>
    </row>
    <row r="209" spans="1:12" x14ac:dyDescent="0.3">
      <c r="A209" s="2">
        <v>45905</v>
      </c>
      <c r="B209" s="1" t="s">
        <v>247</v>
      </c>
      <c r="C209" s="1" t="s">
        <v>19</v>
      </c>
      <c r="D209" s="1" t="s">
        <v>44</v>
      </c>
      <c r="E209" s="1" t="s">
        <v>27</v>
      </c>
      <c r="F209" s="1" t="s">
        <v>28</v>
      </c>
      <c r="G209" s="4">
        <v>8</v>
      </c>
      <c r="H209" s="4">
        <v>3154</v>
      </c>
      <c r="I209" s="6">
        <v>477.91354383227394</v>
      </c>
      <c r="J209" s="6">
        <f>表1[[#This Row],[销售金额]]-表1[[#This Row],[退款金额]]</f>
        <v>2676.0864561677263</v>
      </c>
      <c r="K209" s="1">
        <v>253</v>
      </c>
      <c r="L209" s="1">
        <v>926</v>
      </c>
    </row>
    <row r="210" spans="1:12" x14ac:dyDescent="0.3">
      <c r="A210" s="2">
        <v>45905</v>
      </c>
      <c r="B210" s="1" t="s">
        <v>11</v>
      </c>
      <c r="C210" s="1" t="s">
        <v>32</v>
      </c>
      <c r="D210" s="1" t="s">
        <v>96</v>
      </c>
      <c r="E210" s="1" t="s">
        <v>60</v>
      </c>
      <c r="F210" s="1" t="s">
        <v>61</v>
      </c>
      <c r="G210" s="4">
        <v>8</v>
      </c>
      <c r="H210" s="4">
        <v>23442</v>
      </c>
      <c r="I210" s="6">
        <v>19984.685558081081</v>
      </c>
      <c r="J210" s="6">
        <f>表1[[#This Row],[销售金额]]-表1[[#This Row],[退款金额]]</f>
        <v>3457.3144419189193</v>
      </c>
      <c r="K210" s="1">
        <v>269</v>
      </c>
      <c r="L210" s="1">
        <v>366</v>
      </c>
    </row>
    <row r="211" spans="1:12" x14ac:dyDescent="0.3">
      <c r="A211" s="2">
        <v>45905</v>
      </c>
      <c r="B211" s="1" t="s">
        <v>11</v>
      </c>
      <c r="C211" s="1" t="s">
        <v>32</v>
      </c>
      <c r="D211" s="1" t="s">
        <v>96</v>
      </c>
      <c r="E211" s="1" t="s">
        <v>60</v>
      </c>
      <c r="F211" s="1" t="s">
        <v>61</v>
      </c>
      <c r="G211" s="4">
        <v>8</v>
      </c>
      <c r="H211" s="4">
        <v>23051</v>
      </c>
      <c r="I211" s="6">
        <v>19984.685558081081</v>
      </c>
      <c r="J211" s="6">
        <f>表1[[#This Row],[销售金额]]-表1[[#This Row],[退款金额]]</f>
        <v>3066.3144419189193</v>
      </c>
      <c r="K211" s="1">
        <v>269</v>
      </c>
      <c r="L211" s="1">
        <v>366</v>
      </c>
    </row>
    <row r="212" spans="1:12" x14ac:dyDescent="0.3">
      <c r="A212" s="2">
        <v>45905</v>
      </c>
      <c r="B212" s="1" t="s">
        <v>247</v>
      </c>
      <c r="C212" s="1" t="s">
        <v>19</v>
      </c>
      <c r="D212" s="1" t="s">
        <v>44</v>
      </c>
      <c r="E212" s="1" t="s">
        <v>27</v>
      </c>
      <c r="F212" s="1" t="s">
        <v>28</v>
      </c>
      <c r="G212" s="4">
        <v>8</v>
      </c>
      <c r="H212" s="4">
        <v>1207</v>
      </c>
      <c r="I212" s="6">
        <v>477.91354383227394</v>
      </c>
      <c r="J212" s="6">
        <f>表1[[#This Row],[销售金额]]-表1[[#This Row],[退款金额]]</f>
        <v>729.08645616772606</v>
      </c>
      <c r="K212" s="1">
        <v>253</v>
      </c>
      <c r="L212" s="1">
        <v>926</v>
      </c>
    </row>
    <row r="213" spans="1:12" x14ac:dyDescent="0.3">
      <c r="A213" s="2">
        <v>45905</v>
      </c>
      <c r="B213" s="1" t="s">
        <v>11</v>
      </c>
      <c r="C213" s="1" t="s">
        <v>32</v>
      </c>
      <c r="D213" s="1" t="s">
        <v>96</v>
      </c>
      <c r="E213" s="1" t="s">
        <v>60</v>
      </c>
      <c r="F213" s="1" t="s">
        <v>61</v>
      </c>
      <c r="G213" s="4">
        <v>8</v>
      </c>
      <c r="H213" s="4">
        <v>23307</v>
      </c>
      <c r="I213" s="6">
        <v>19984.685558081081</v>
      </c>
      <c r="J213" s="6">
        <f>表1[[#This Row],[销售金额]]-表1[[#This Row],[退款金额]]</f>
        <v>3322.3144419189193</v>
      </c>
      <c r="K213" s="1">
        <v>269</v>
      </c>
      <c r="L213" s="1">
        <v>366</v>
      </c>
    </row>
    <row r="214" spans="1:12" x14ac:dyDescent="0.3">
      <c r="A214" s="2">
        <v>45905</v>
      </c>
      <c r="B214" s="1" t="s">
        <v>11</v>
      </c>
      <c r="C214" s="1" t="s">
        <v>32</v>
      </c>
      <c r="D214" s="1" t="s">
        <v>96</v>
      </c>
      <c r="E214" s="1" t="s">
        <v>60</v>
      </c>
      <c r="F214" s="1" t="s">
        <v>61</v>
      </c>
      <c r="G214" s="4">
        <v>8</v>
      </c>
      <c r="H214" s="4">
        <v>23082</v>
      </c>
      <c r="I214" s="6">
        <v>19984.685558081081</v>
      </c>
      <c r="J214" s="6">
        <f>表1[[#This Row],[销售金额]]-表1[[#This Row],[退款金额]]</f>
        <v>3097.3144419189193</v>
      </c>
      <c r="K214" s="1">
        <v>269</v>
      </c>
      <c r="L214" s="1">
        <v>366</v>
      </c>
    </row>
    <row r="215" spans="1:12" x14ac:dyDescent="0.3">
      <c r="A215" s="2">
        <v>45905</v>
      </c>
      <c r="B215" s="1" t="s">
        <v>247</v>
      </c>
      <c r="C215" s="1" t="s">
        <v>19</v>
      </c>
      <c r="D215" s="1" t="s">
        <v>44</v>
      </c>
      <c r="E215" s="1" t="s">
        <v>27</v>
      </c>
      <c r="F215" s="1" t="s">
        <v>28</v>
      </c>
      <c r="G215" s="4">
        <v>8</v>
      </c>
      <c r="H215" s="4">
        <v>2350</v>
      </c>
      <c r="I215" s="6">
        <v>477.91354383227394</v>
      </c>
      <c r="J215" s="6">
        <f>表1[[#This Row],[销售金额]]-表1[[#This Row],[退款金额]]</f>
        <v>1872.0864561677261</v>
      </c>
      <c r="K215" s="1">
        <v>253</v>
      </c>
      <c r="L215" s="1">
        <v>926</v>
      </c>
    </row>
    <row r="216" spans="1:12" x14ac:dyDescent="0.3">
      <c r="A216" s="2">
        <v>45905</v>
      </c>
      <c r="B216" s="1" t="s">
        <v>11</v>
      </c>
      <c r="C216" s="1" t="s">
        <v>32</v>
      </c>
      <c r="D216" s="1" t="s">
        <v>96</v>
      </c>
      <c r="E216" s="1" t="s">
        <v>60</v>
      </c>
      <c r="F216" s="1" t="s">
        <v>61</v>
      </c>
      <c r="G216" s="4">
        <v>8</v>
      </c>
      <c r="H216" s="4">
        <v>22158</v>
      </c>
      <c r="I216" s="6">
        <v>19984.685558081081</v>
      </c>
      <c r="J216" s="6">
        <f>表1[[#This Row],[销售金额]]-表1[[#This Row],[退款金额]]</f>
        <v>2173.3144419189193</v>
      </c>
      <c r="K216" s="1">
        <v>269</v>
      </c>
      <c r="L216" s="1">
        <v>366</v>
      </c>
    </row>
    <row r="217" spans="1:12" x14ac:dyDescent="0.3">
      <c r="A217" s="2">
        <v>45905</v>
      </c>
      <c r="B217" s="1" t="s">
        <v>11</v>
      </c>
      <c r="C217" s="1" t="s">
        <v>32</v>
      </c>
      <c r="D217" s="1" t="s">
        <v>96</v>
      </c>
      <c r="E217" s="1" t="s">
        <v>60</v>
      </c>
      <c r="F217" s="1" t="s">
        <v>61</v>
      </c>
      <c r="G217" s="4">
        <v>8</v>
      </c>
      <c r="H217" s="4">
        <v>20082</v>
      </c>
      <c r="I217" s="6">
        <v>19984.685558081081</v>
      </c>
      <c r="J217" s="6">
        <f>表1[[#This Row],[销售金额]]-表1[[#This Row],[退款金额]]</f>
        <v>97.314441918919329</v>
      </c>
      <c r="K217" s="1">
        <v>269</v>
      </c>
      <c r="L217" s="1">
        <v>366</v>
      </c>
    </row>
    <row r="218" spans="1:12" x14ac:dyDescent="0.3">
      <c r="A218" s="2">
        <v>45905</v>
      </c>
      <c r="B218" s="1" t="s">
        <v>247</v>
      </c>
      <c r="C218" s="1" t="s">
        <v>19</v>
      </c>
      <c r="D218" s="1" t="s">
        <v>44</v>
      </c>
      <c r="E218" s="1" t="s">
        <v>27</v>
      </c>
      <c r="F218" s="1" t="s">
        <v>28</v>
      </c>
      <c r="G218" s="4">
        <v>8</v>
      </c>
      <c r="H218" s="4">
        <v>2599</v>
      </c>
      <c r="I218" s="6">
        <v>477.91354383227394</v>
      </c>
      <c r="J218" s="6">
        <f>表1[[#This Row],[销售金额]]-表1[[#This Row],[退款金额]]</f>
        <v>2121.0864561677263</v>
      </c>
      <c r="K218" s="1">
        <v>253</v>
      </c>
      <c r="L218" s="1">
        <v>926</v>
      </c>
    </row>
    <row r="219" spans="1:12" x14ac:dyDescent="0.3">
      <c r="A219" s="2">
        <v>45905</v>
      </c>
      <c r="B219" s="1" t="s">
        <v>11</v>
      </c>
      <c r="C219" s="1" t="s">
        <v>32</v>
      </c>
      <c r="D219" s="1" t="s">
        <v>96</v>
      </c>
      <c r="E219" s="1" t="s">
        <v>60</v>
      </c>
      <c r="F219" s="1" t="s">
        <v>61</v>
      </c>
      <c r="G219" s="4">
        <v>8</v>
      </c>
      <c r="H219" s="4">
        <v>24698</v>
      </c>
      <c r="I219" s="6">
        <v>19984.685558081081</v>
      </c>
      <c r="J219" s="6">
        <f>表1[[#This Row],[销售金额]]-表1[[#This Row],[退款金额]]</f>
        <v>4713.3144419189193</v>
      </c>
      <c r="K219" s="1">
        <v>269</v>
      </c>
      <c r="L219" s="1">
        <v>366</v>
      </c>
    </row>
    <row r="220" spans="1:12" x14ac:dyDescent="0.3">
      <c r="A220" s="2">
        <v>45905</v>
      </c>
      <c r="B220" s="1" t="s">
        <v>11</v>
      </c>
      <c r="C220" s="1" t="s">
        <v>32</v>
      </c>
      <c r="D220" s="1" t="s">
        <v>96</v>
      </c>
      <c r="E220" s="1" t="s">
        <v>60</v>
      </c>
      <c r="F220" s="1" t="s">
        <v>61</v>
      </c>
      <c r="G220" s="4">
        <v>8</v>
      </c>
      <c r="H220" s="4">
        <v>24465</v>
      </c>
      <c r="I220" s="6">
        <v>19984.685558081081</v>
      </c>
      <c r="J220" s="6">
        <f>表1[[#This Row],[销售金额]]-表1[[#This Row],[退款金额]]</f>
        <v>4480.3144419189193</v>
      </c>
      <c r="K220" s="1">
        <v>269</v>
      </c>
      <c r="L220" s="1">
        <v>366</v>
      </c>
    </row>
    <row r="221" spans="1:12" x14ac:dyDescent="0.3">
      <c r="A221" s="2">
        <v>45905</v>
      </c>
      <c r="B221" s="1" t="s">
        <v>247</v>
      </c>
      <c r="C221" s="1" t="s">
        <v>19</v>
      </c>
      <c r="D221" s="1" t="s">
        <v>44</v>
      </c>
      <c r="E221" s="1" t="s">
        <v>27</v>
      </c>
      <c r="F221" s="1" t="s">
        <v>28</v>
      </c>
      <c r="G221" s="4">
        <v>8</v>
      </c>
      <c r="H221" s="4">
        <v>927</v>
      </c>
      <c r="I221" s="6">
        <v>477.91354383227394</v>
      </c>
      <c r="J221" s="6">
        <f>表1[[#This Row],[销售金额]]-表1[[#This Row],[退款金额]]</f>
        <v>449.08645616772606</v>
      </c>
      <c r="K221" s="1">
        <v>253</v>
      </c>
      <c r="L221" s="1">
        <v>926</v>
      </c>
    </row>
    <row r="222" spans="1:12" x14ac:dyDescent="0.3">
      <c r="A222" s="2">
        <v>45905</v>
      </c>
      <c r="B222" s="1" t="s">
        <v>11</v>
      </c>
      <c r="C222" s="1" t="s">
        <v>32</v>
      </c>
      <c r="D222" s="1" t="s">
        <v>96</v>
      </c>
      <c r="E222" s="1" t="s">
        <v>60</v>
      </c>
      <c r="F222" s="1" t="s">
        <v>61</v>
      </c>
      <c r="G222" s="4">
        <v>8</v>
      </c>
      <c r="H222" s="4">
        <v>20438</v>
      </c>
      <c r="I222" s="6">
        <v>19984.685558081081</v>
      </c>
      <c r="J222" s="6">
        <f>表1[[#This Row],[销售金额]]-表1[[#This Row],[退款金额]]</f>
        <v>453.31444191891933</v>
      </c>
      <c r="K222" s="1">
        <v>269</v>
      </c>
      <c r="L222" s="1">
        <v>366</v>
      </c>
    </row>
    <row r="223" spans="1:12" x14ac:dyDescent="0.3">
      <c r="A223" s="2">
        <v>45905</v>
      </c>
      <c r="B223" s="1" t="s">
        <v>11</v>
      </c>
      <c r="C223" s="1" t="s">
        <v>32</v>
      </c>
      <c r="D223" s="1" t="s">
        <v>96</v>
      </c>
      <c r="E223" s="1" t="s">
        <v>60</v>
      </c>
      <c r="F223" s="1" t="s">
        <v>61</v>
      </c>
      <c r="G223" s="4">
        <v>8</v>
      </c>
      <c r="H223" s="4">
        <v>23535</v>
      </c>
      <c r="I223" s="6">
        <v>19984.685558081081</v>
      </c>
      <c r="J223" s="6">
        <f>表1[[#This Row],[销售金额]]-表1[[#This Row],[退款金额]]</f>
        <v>3550.3144419189193</v>
      </c>
      <c r="K223" s="1">
        <v>269</v>
      </c>
      <c r="L223" s="1">
        <v>366</v>
      </c>
    </row>
    <row r="224" spans="1:12" x14ac:dyDescent="0.3">
      <c r="A224" s="2">
        <v>45905</v>
      </c>
      <c r="B224" s="1" t="s">
        <v>11</v>
      </c>
      <c r="C224" s="1" t="s">
        <v>10</v>
      </c>
      <c r="D224" s="1" t="s">
        <v>187</v>
      </c>
      <c r="E224" s="1" t="s">
        <v>34</v>
      </c>
      <c r="F224" s="1" t="s">
        <v>35</v>
      </c>
      <c r="G224" s="4">
        <v>11</v>
      </c>
      <c r="H224" s="4">
        <v>28205</v>
      </c>
      <c r="I224" s="6">
        <v>24302.78457020448</v>
      </c>
      <c r="J224" s="6">
        <f>表1[[#This Row],[销售金额]]-表1[[#This Row],[退款金额]]</f>
        <v>3902.2154297955203</v>
      </c>
      <c r="K224" s="1">
        <v>837</v>
      </c>
      <c r="L224" s="1">
        <v>854</v>
      </c>
    </row>
    <row r="225" spans="1:12" x14ac:dyDescent="0.3">
      <c r="A225" s="2">
        <v>45905</v>
      </c>
      <c r="B225" s="1" t="s">
        <v>11</v>
      </c>
      <c r="C225" s="1" t="s">
        <v>10</v>
      </c>
      <c r="D225" s="1" t="s">
        <v>187</v>
      </c>
      <c r="E225" s="1" t="s">
        <v>34</v>
      </c>
      <c r="F225" s="1" t="s">
        <v>35</v>
      </c>
      <c r="G225" s="4">
        <v>11</v>
      </c>
      <c r="H225" s="4">
        <v>28040</v>
      </c>
      <c r="I225" s="6">
        <v>24302.78457020448</v>
      </c>
      <c r="J225" s="6">
        <f>表1[[#This Row],[销售金额]]-表1[[#This Row],[退款金额]]</f>
        <v>3737.2154297955203</v>
      </c>
      <c r="K225" s="1">
        <v>837</v>
      </c>
      <c r="L225" s="1">
        <v>854</v>
      </c>
    </row>
    <row r="226" spans="1:12" x14ac:dyDescent="0.3">
      <c r="A226" s="2">
        <v>45905</v>
      </c>
      <c r="B226" s="1" t="s">
        <v>11</v>
      </c>
      <c r="C226" s="1" t="s">
        <v>10</v>
      </c>
      <c r="D226" s="1" t="s">
        <v>187</v>
      </c>
      <c r="E226" s="1" t="s">
        <v>34</v>
      </c>
      <c r="F226" s="1" t="s">
        <v>35</v>
      </c>
      <c r="G226" s="4">
        <v>11</v>
      </c>
      <c r="H226" s="4">
        <v>26978</v>
      </c>
      <c r="I226" s="6">
        <v>24302.78457020448</v>
      </c>
      <c r="J226" s="6">
        <f>表1[[#This Row],[销售金额]]-表1[[#This Row],[退款金额]]</f>
        <v>2675.2154297955203</v>
      </c>
      <c r="K226" s="1">
        <v>837</v>
      </c>
      <c r="L226" s="1">
        <v>854</v>
      </c>
    </row>
    <row r="227" spans="1:12" x14ac:dyDescent="0.3">
      <c r="A227" s="2">
        <v>45905</v>
      </c>
      <c r="B227" s="1" t="s">
        <v>11</v>
      </c>
      <c r="C227" s="1" t="s">
        <v>10</v>
      </c>
      <c r="D227" s="1" t="s">
        <v>187</v>
      </c>
      <c r="E227" s="1" t="s">
        <v>34</v>
      </c>
      <c r="F227" s="1" t="s">
        <v>35</v>
      </c>
      <c r="G227" s="4">
        <v>11</v>
      </c>
      <c r="H227" s="4">
        <v>26167</v>
      </c>
      <c r="I227" s="6">
        <v>24302.78457020448</v>
      </c>
      <c r="J227" s="6">
        <f>表1[[#This Row],[销售金额]]-表1[[#This Row],[退款金额]]</f>
        <v>1864.2154297955203</v>
      </c>
      <c r="K227" s="1">
        <v>837</v>
      </c>
      <c r="L227" s="1">
        <v>854</v>
      </c>
    </row>
    <row r="228" spans="1:12" x14ac:dyDescent="0.3">
      <c r="A228" s="2">
        <v>45905</v>
      </c>
      <c r="B228" s="1" t="s">
        <v>11</v>
      </c>
      <c r="C228" s="1" t="s">
        <v>10</v>
      </c>
      <c r="D228" s="1" t="s">
        <v>187</v>
      </c>
      <c r="E228" s="1" t="s">
        <v>34</v>
      </c>
      <c r="F228" s="1" t="s">
        <v>35</v>
      </c>
      <c r="G228" s="4">
        <v>11</v>
      </c>
      <c r="H228" s="4">
        <v>25253</v>
      </c>
      <c r="I228" s="6">
        <v>24302.78457020448</v>
      </c>
      <c r="J228" s="6">
        <f>表1[[#This Row],[销售金额]]-表1[[#This Row],[退款金额]]</f>
        <v>950.21542979552032</v>
      </c>
      <c r="K228" s="1">
        <v>837</v>
      </c>
      <c r="L228" s="1">
        <v>854</v>
      </c>
    </row>
    <row r="229" spans="1:12" x14ac:dyDescent="0.3">
      <c r="A229" s="2">
        <v>45905</v>
      </c>
      <c r="B229" s="1" t="s">
        <v>11</v>
      </c>
      <c r="C229" s="1" t="s">
        <v>10</v>
      </c>
      <c r="D229" s="1" t="s">
        <v>187</v>
      </c>
      <c r="E229" s="1" t="s">
        <v>34</v>
      </c>
      <c r="F229" s="1" t="s">
        <v>35</v>
      </c>
      <c r="G229" s="4">
        <v>11</v>
      </c>
      <c r="H229" s="4">
        <v>27795</v>
      </c>
      <c r="I229" s="6">
        <v>24302.78457020448</v>
      </c>
      <c r="J229" s="6">
        <f>表1[[#This Row],[销售金额]]-表1[[#This Row],[退款金额]]</f>
        <v>3492.2154297955203</v>
      </c>
      <c r="K229" s="1">
        <v>837</v>
      </c>
      <c r="L229" s="1">
        <v>854</v>
      </c>
    </row>
    <row r="230" spans="1:12" x14ac:dyDescent="0.3">
      <c r="A230" s="2">
        <v>45905</v>
      </c>
      <c r="B230" s="1" t="s">
        <v>11</v>
      </c>
      <c r="C230" s="1" t="s">
        <v>10</v>
      </c>
      <c r="D230" s="1" t="s">
        <v>187</v>
      </c>
      <c r="E230" s="1" t="s">
        <v>34</v>
      </c>
      <c r="F230" s="1" t="s">
        <v>35</v>
      </c>
      <c r="G230" s="4">
        <v>11</v>
      </c>
      <c r="H230" s="4">
        <v>28712</v>
      </c>
      <c r="I230" s="6">
        <v>24302.78457020448</v>
      </c>
      <c r="J230" s="6">
        <f>表1[[#This Row],[销售金额]]-表1[[#This Row],[退款金额]]</f>
        <v>4409.2154297955203</v>
      </c>
      <c r="K230" s="1">
        <v>837</v>
      </c>
      <c r="L230" s="1">
        <v>854</v>
      </c>
    </row>
    <row r="231" spans="1:12" x14ac:dyDescent="0.3">
      <c r="A231" s="2">
        <v>45905</v>
      </c>
      <c r="B231" s="1" t="s">
        <v>11</v>
      </c>
      <c r="C231" s="1" t="s">
        <v>10</v>
      </c>
      <c r="D231" s="1" t="s">
        <v>187</v>
      </c>
      <c r="E231" s="1" t="s">
        <v>34</v>
      </c>
      <c r="F231" s="1" t="s">
        <v>35</v>
      </c>
      <c r="G231" s="4">
        <v>11</v>
      </c>
      <c r="H231" s="4">
        <v>24414</v>
      </c>
      <c r="I231" s="6">
        <v>24302.78457020448</v>
      </c>
      <c r="J231" s="6">
        <f>表1[[#This Row],[销售金额]]-表1[[#This Row],[退款金额]]</f>
        <v>111.21542979552032</v>
      </c>
      <c r="K231" s="1">
        <v>837</v>
      </c>
      <c r="L231" s="1">
        <v>854</v>
      </c>
    </row>
    <row r="232" spans="1:12" x14ac:dyDescent="0.3">
      <c r="A232" s="2">
        <v>45905</v>
      </c>
      <c r="B232" s="1" t="s">
        <v>11</v>
      </c>
      <c r="C232" s="1" t="s">
        <v>10</v>
      </c>
      <c r="D232" s="1" t="s">
        <v>187</v>
      </c>
      <c r="E232" s="1" t="s">
        <v>34</v>
      </c>
      <c r="F232" s="1" t="s">
        <v>35</v>
      </c>
      <c r="G232" s="4">
        <v>11</v>
      </c>
      <c r="H232" s="4">
        <v>28524</v>
      </c>
      <c r="I232" s="6">
        <v>24302.78457020448</v>
      </c>
      <c r="J232" s="6">
        <f>表1[[#This Row],[销售金额]]-表1[[#This Row],[退款金额]]</f>
        <v>4221.2154297955203</v>
      </c>
      <c r="K232" s="1">
        <v>837</v>
      </c>
      <c r="L232" s="1">
        <v>854</v>
      </c>
    </row>
    <row r="233" spans="1:12" x14ac:dyDescent="0.3">
      <c r="A233" s="2">
        <v>45905</v>
      </c>
      <c r="B233" s="1" t="s">
        <v>11</v>
      </c>
      <c r="C233" s="1" t="s">
        <v>19</v>
      </c>
      <c r="D233" s="1" t="s">
        <v>112</v>
      </c>
      <c r="E233" s="1" t="s">
        <v>51</v>
      </c>
      <c r="F233" s="1" t="s">
        <v>52</v>
      </c>
      <c r="G233" s="4">
        <v>18</v>
      </c>
      <c r="H233" s="4">
        <v>15011</v>
      </c>
      <c r="I233" s="6">
        <v>12083.538115395248</v>
      </c>
      <c r="J233" s="6">
        <f>表1[[#This Row],[销售金额]]-表1[[#This Row],[退款金额]]</f>
        <v>2927.4618846047524</v>
      </c>
      <c r="K233" s="1">
        <v>850</v>
      </c>
      <c r="L233" s="1">
        <v>213</v>
      </c>
    </row>
    <row r="234" spans="1:12" x14ac:dyDescent="0.3">
      <c r="A234" s="2">
        <v>45905</v>
      </c>
      <c r="B234" s="1" t="s">
        <v>250</v>
      </c>
      <c r="C234" s="1" t="s">
        <v>10</v>
      </c>
      <c r="D234" s="1" t="s">
        <v>182</v>
      </c>
      <c r="E234" s="1" t="s">
        <v>42</v>
      </c>
      <c r="F234" s="1" t="s">
        <v>43</v>
      </c>
      <c r="G234" s="4">
        <v>18</v>
      </c>
      <c r="H234" s="4">
        <v>43064</v>
      </c>
      <c r="I234" s="6">
        <v>40020.214908561364</v>
      </c>
      <c r="J234" s="6">
        <f>表1[[#This Row],[销售金额]]-表1[[#This Row],[退款金额]]</f>
        <v>3043.7850914386363</v>
      </c>
      <c r="K234" s="1">
        <v>515</v>
      </c>
      <c r="L234" s="1">
        <v>936</v>
      </c>
    </row>
    <row r="235" spans="1:12" x14ac:dyDescent="0.3">
      <c r="A235" s="2">
        <v>45905</v>
      </c>
      <c r="B235" s="1" t="s">
        <v>11</v>
      </c>
      <c r="C235" s="1" t="s">
        <v>19</v>
      </c>
      <c r="D235" s="1" t="s">
        <v>112</v>
      </c>
      <c r="E235" s="1" t="s">
        <v>51</v>
      </c>
      <c r="F235" s="1" t="s">
        <v>52</v>
      </c>
      <c r="G235" s="4">
        <v>18</v>
      </c>
      <c r="H235" s="4">
        <v>16699</v>
      </c>
      <c r="I235" s="6">
        <v>12083.538115395248</v>
      </c>
      <c r="J235" s="6">
        <f>表1[[#This Row],[销售金额]]-表1[[#This Row],[退款金额]]</f>
        <v>4615.4618846047524</v>
      </c>
      <c r="K235" s="1">
        <v>850</v>
      </c>
      <c r="L235" s="1">
        <v>213</v>
      </c>
    </row>
    <row r="236" spans="1:12" x14ac:dyDescent="0.3">
      <c r="A236" s="2">
        <v>45905</v>
      </c>
      <c r="B236" s="1" t="s">
        <v>250</v>
      </c>
      <c r="C236" s="1" t="s">
        <v>10</v>
      </c>
      <c r="D236" s="1" t="s">
        <v>182</v>
      </c>
      <c r="E236" s="1" t="s">
        <v>42</v>
      </c>
      <c r="F236" s="1" t="s">
        <v>43</v>
      </c>
      <c r="G236" s="4">
        <v>18</v>
      </c>
      <c r="H236" s="4">
        <v>44084</v>
      </c>
      <c r="I236" s="6">
        <v>40020.214908561364</v>
      </c>
      <c r="J236" s="6">
        <f>表1[[#This Row],[销售金额]]-表1[[#This Row],[退款金额]]</f>
        <v>4063.7850914386363</v>
      </c>
      <c r="K236" s="1">
        <v>515</v>
      </c>
      <c r="L236" s="1">
        <v>936</v>
      </c>
    </row>
    <row r="237" spans="1:12" x14ac:dyDescent="0.3">
      <c r="A237" s="2">
        <v>45905</v>
      </c>
      <c r="B237" s="1" t="s">
        <v>11</v>
      </c>
      <c r="C237" s="1" t="s">
        <v>19</v>
      </c>
      <c r="D237" s="1" t="s">
        <v>112</v>
      </c>
      <c r="E237" s="1" t="s">
        <v>51</v>
      </c>
      <c r="F237" s="1" t="s">
        <v>52</v>
      </c>
      <c r="G237" s="4">
        <v>18</v>
      </c>
      <c r="H237" s="4">
        <v>14357</v>
      </c>
      <c r="I237" s="6">
        <v>12083.538115395248</v>
      </c>
      <c r="J237" s="6">
        <f>表1[[#This Row],[销售金额]]-表1[[#This Row],[退款金额]]</f>
        <v>2273.4618846047524</v>
      </c>
      <c r="K237" s="1">
        <v>850</v>
      </c>
      <c r="L237" s="1">
        <v>213</v>
      </c>
    </row>
    <row r="238" spans="1:12" x14ac:dyDescent="0.3">
      <c r="A238" s="2">
        <v>45905</v>
      </c>
      <c r="B238" s="1" t="s">
        <v>250</v>
      </c>
      <c r="C238" s="1" t="s">
        <v>10</v>
      </c>
      <c r="D238" s="1" t="s">
        <v>182</v>
      </c>
      <c r="E238" s="1" t="s">
        <v>42</v>
      </c>
      <c r="F238" s="1" t="s">
        <v>43</v>
      </c>
      <c r="G238" s="4">
        <v>18</v>
      </c>
      <c r="H238" s="4">
        <v>44217</v>
      </c>
      <c r="I238" s="6">
        <v>40020.214908561364</v>
      </c>
      <c r="J238" s="6">
        <f>表1[[#This Row],[销售金额]]-表1[[#This Row],[退款金额]]</f>
        <v>4196.7850914386363</v>
      </c>
      <c r="K238" s="1">
        <v>515</v>
      </c>
      <c r="L238" s="1">
        <v>936</v>
      </c>
    </row>
    <row r="239" spans="1:12" x14ac:dyDescent="0.3">
      <c r="A239" s="2">
        <v>45905</v>
      </c>
      <c r="B239" s="1" t="s">
        <v>11</v>
      </c>
      <c r="C239" s="1" t="s">
        <v>19</v>
      </c>
      <c r="D239" s="1" t="s">
        <v>112</v>
      </c>
      <c r="E239" s="1" t="s">
        <v>51</v>
      </c>
      <c r="F239" s="1" t="s">
        <v>52</v>
      </c>
      <c r="G239" s="4">
        <v>18</v>
      </c>
      <c r="H239" s="4">
        <v>15512</v>
      </c>
      <c r="I239" s="6">
        <v>12083.538115395248</v>
      </c>
      <c r="J239" s="6">
        <f>表1[[#This Row],[销售金额]]-表1[[#This Row],[退款金额]]</f>
        <v>3428.4618846047524</v>
      </c>
      <c r="K239" s="1">
        <v>850</v>
      </c>
      <c r="L239" s="1">
        <v>213</v>
      </c>
    </row>
    <row r="240" spans="1:12" x14ac:dyDescent="0.3">
      <c r="A240" s="2">
        <v>45905</v>
      </c>
      <c r="B240" s="1" t="s">
        <v>250</v>
      </c>
      <c r="C240" s="1" t="s">
        <v>10</v>
      </c>
      <c r="D240" s="1" t="s">
        <v>182</v>
      </c>
      <c r="E240" s="1" t="s">
        <v>42</v>
      </c>
      <c r="F240" s="1" t="s">
        <v>43</v>
      </c>
      <c r="G240" s="4">
        <v>18</v>
      </c>
      <c r="H240" s="4">
        <v>43829</v>
      </c>
      <c r="I240" s="6">
        <v>40020.214908561364</v>
      </c>
      <c r="J240" s="6">
        <f>表1[[#This Row],[销售金额]]-表1[[#This Row],[退款金额]]</f>
        <v>3808.7850914386363</v>
      </c>
      <c r="K240" s="1">
        <v>515</v>
      </c>
      <c r="L240" s="1">
        <v>936</v>
      </c>
    </row>
    <row r="241" spans="1:12" x14ac:dyDescent="0.3">
      <c r="A241" s="2">
        <v>45905</v>
      </c>
      <c r="B241" s="1" t="s">
        <v>11</v>
      </c>
      <c r="C241" s="1" t="s">
        <v>19</v>
      </c>
      <c r="D241" s="1" t="s">
        <v>112</v>
      </c>
      <c r="E241" s="1" t="s">
        <v>51</v>
      </c>
      <c r="F241" s="1" t="s">
        <v>52</v>
      </c>
      <c r="G241" s="4">
        <v>18</v>
      </c>
      <c r="H241" s="4">
        <v>15093</v>
      </c>
      <c r="I241" s="6">
        <v>12083.538115395248</v>
      </c>
      <c r="J241" s="6">
        <f>表1[[#This Row],[销售金额]]-表1[[#This Row],[退款金额]]</f>
        <v>3009.4618846047524</v>
      </c>
      <c r="K241" s="1">
        <v>850</v>
      </c>
      <c r="L241" s="1">
        <v>213</v>
      </c>
    </row>
    <row r="242" spans="1:12" x14ac:dyDescent="0.3">
      <c r="A242" s="2">
        <v>45905</v>
      </c>
      <c r="B242" s="1" t="s">
        <v>250</v>
      </c>
      <c r="C242" s="1" t="s">
        <v>10</v>
      </c>
      <c r="D242" s="1" t="s">
        <v>182</v>
      </c>
      <c r="E242" s="1" t="s">
        <v>42</v>
      </c>
      <c r="F242" s="1" t="s">
        <v>43</v>
      </c>
      <c r="G242" s="4">
        <v>18</v>
      </c>
      <c r="H242" s="4">
        <v>40842</v>
      </c>
      <c r="I242" s="6">
        <v>40020.214908561364</v>
      </c>
      <c r="J242" s="6">
        <f>表1[[#This Row],[销售金额]]-表1[[#This Row],[退款金额]]</f>
        <v>821.7850914386363</v>
      </c>
      <c r="K242" s="1">
        <v>515</v>
      </c>
      <c r="L242" s="1">
        <v>936</v>
      </c>
    </row>
    <row r="243" spans="1:12" x14ac:dyDescent="0.3">
      <c r="A243" s="2">
        <v>45905</v>
      </c>
      <c r="B243" s="1" t="s">
        <v>11</v>
      </c>
      <c r="C243" s="1" t="s">
        <v>19</v>
      </c>
      <c r="D243" s="1" t="s">
        <v>112</v>
      </c>
      <c r="E243" s="1" t="s">
        <v>51</v>
      </c>
      <c r="F243" s="1" t="s">
        <v>52</v>
      </c>
      <c r="G243" s="4">
        <v>18</v>
      </c>
      <c r="H243" s="4">
        <v>16315</v>
      </c>
      <c r="I243" s="6">
        <v>12083.538115395248</v>
      </c>
      <c r="J243" s="6">
        <f>表1[[#This Row],[销售金额]]-表1[[#This Row],[退款金额]]</f>
        <v>4231.4618846047524</v>
      </c>
      <c r="K243" s="1">
        <v>850</v>
      </c>
      <c r="L243" s="1">
        <v>213</v>
      </c>
    </row>
    <row r="244" spans="1:12" x14ac:dyDescent="0.3">
      <c r="A244" s="2">
        <v>45905</v>
      </c>
      <c r="B244" s="1" t="s">
        <v>250</v>
      </c>
      <c r="C244" s="1" t="s">
        <v>10</v>
      </c>
      <c r="D244" s="1" t="s">
        <v>182</v>
      </c>
      <c r="E244" s="1" t="s">
        <v>42</v>
      </c>
      <c r="F244" s="1" t="s">
        <v>43</v>
      </c>
      <c r="G244" s="4">
        <v>18</v>
      </c>
      <c r="H244" s="4">
        <v>44087</v>
      </c>
      <c r="I244" s="6">
        <v>40020.214908561364</v>
      </c>
      <c r="J244" s="6">
        <f>表1[[#This Row],[销售金额]]-表1[[#This Row],[退款金额]]</f>
        <v>4066.7850914386363</v>
      </c>
      <c r="K244" s="1">
        <v>515</v>
      </c>
      <c r="L244" s="1">
        <v>936</v>
      </c>
    </row>
    <row r="245" spans="1:12" x14ac:dyDescent="0.3">
      <c r="A245" s="2">
        <v>45905</v>
      </c>
      <c r="B245" s="1" t="s">
        <v>11</v>
      </c>
      <c r="C245" s="1" t="s">
        <v>19</v>
      </c>
      <c r="D245" s="1" t="s">
        <v>112</v>
      </c>
      <c r="E245" s="1" t="s">
        <v>51</v>
      </c>
      <c r="F245" s="1" t="s">
        <v>52</v>
      </c>
      <c r="G245" s="4">
        <v>18</v>
      </c>
      <c r="H245" s="4">
        <v>14412</v>
      </c>
      <c r="I245" s="6">
        <v>12083.538115395248</v>
      </c>
      <c r="J245" s="6">
        <f>表1[[#This Row],[销售金额]]-表1[[#This Row],[退款金额]]</f>
        <v>2328.4618846047524</v>
      </c>
      <c r="K245" s="1">
        <v>850</v>
      </c>
      <c r="L245" s="1">
        <v>213</v>
      </c>
    </row>
    <row r="246" spans="1:12" x14ac:dyDescent="0.3">
      <c r="A246" s="2">
        <v>45905</v>
      </c>
      <c r="B246" s="1" t="s">
        <v>250</v>
      </c>
      <c r="C246" s="1" t="s">
        <v>10</v>
      </c>
      <c r="D246" s="1" t="s">
        <v>182</v>
      </c>
      <c r="E246" s="1" t="s">
        <v>42</v>
      </c>
      <c r="F246" s="1" t="s">
        <v>43</v>
      </c>
      <c r="G246" s="4">
        <v>18</v>
      </c>
      <c r="H246" s="4">
        <v>40870</v>
      </c>
      <c r="I246" s="6">
        <v>40020.214908561364</v>
      </c>
      <c r="J246" s="6">
        <f>表1[[#This Row],[销售金额]]-表1[[#This Row],[退款金额]]</f>
        <v>849.7850914386363</v>
      </c>
      <c r="K246" s="1">
        <v>515</v>
      </c>
      <c r="L246" s="1">
        <v>936</v>
      </c>
    </row>
    <row r="247" spans="1:12" x14ac:dyDescent="0.3">
      <c r="A247" s="2">
        <v>45905</v>
      </c>
      <c r="B247" s="1" t="s">
        <v>11</v>
      </c>
      <c r="C247" s="1" t="s">
        <v>19</v>
      </c>
      <c r="D247" s="1" t="s">
        <v>112</v>
      </c>
      <c r="E247" s="1" t="s">
        <v>51</v>
      </c>
      <c r="F247" s="1" t="s">
        <v>52</v>
      </c>
      <c r="G247" s="4">
        <v>18</v>
      </c>
      <c r="H247" s="4">
        <v>16624</v>
      </c>
      <c r="I247" s="6">
        <v>12083.538115395248</v>
      </c>
      <c r="J247" s="6">
        <f>表1[[#This Row],[销售金额]]-表1[[#This Row],[退款金额]]</f>
        <v>4540.4618846047524</v>
      </c>
      <c r="K247" s="1">
        <v>850</v>
      </c>
      <c r="L247" s="1">
        <v>213</v>
      </c>
    </row>
    <row r="248" spans="1:12" x14ac:dyDescent="0.3">
      <c r="A248" s="2">
        <v>45905</v>
      </c>
      <c r="B248" s="1" t="s">
        <v>250</v>
      </c>
      <c r="C248" s="1" t="s">
        <v>10</v>
      </c>
      <c r="D248" s="1" t="s">
        <v>182</v>
      </c>
      <c r="E248" s="1" t="s">
        <v>42</v>
      </c>
      <c r="F248" s="1" t="s">
        <v>43</v>
      </c>
      <c r="G248" s="4">
        <v>18</v>
      </c>
      <c r="H248" s="4">
        <v>42854</v>
      </c>
      <c r="I248" s="6">
        <v>40020.214908561364</v>
      </c>
      <c r="J248" s="6">
        <f>表1[[#This Row],[销售金额]]-表1[[#This Row],[退款金额]]</f>
        <v>2833.7850914386363</v>
      </c>
      <c r="K248" s="1">
        <v>515</v>
      </c>
      <c r="L248" s="1">
        <v>936</v>
      </c>
    </row>
    <row r="249" spans="1:12" x14ac:dyDescent="0.3">
      <c r="A249" s="2">
        <v>45905</v>
      </c>
      <c r="B249" s="1" t="s">
        <v>11</v>
      </c>
      <c r="C249" s="1" t="s">
        <v>19</v>
      </c>
      <c r="D249" s="1" t="s">
        <v>112</v>
      </c>
      <c r="E249" s="1" t="s">
        <v>51</v>
      </c>
      <c r="F249" s="1" t="s">
        <v>52</v>
      </c>
      <c r="G249" s="4">
        <v>18</v>
      </c>
      <c r="H249" s="4">
        <v>13375</v>
      </c>
      <c r="I249" s="6">
        <v>12083.538115395248</v>
      </c>
      <c r="J249" s="6">
        <f>表1[[#This Row],[销售金额]]-表1[[#This Row],[退款金额]]</f>
        <v>1291.4618846047524</v>
      </c>
      <c r="K249" s="1">
        <v>850</v>
      </c>
      <c r="L249" s="1">
        <v>213</v>
      </c>
    </row>
    <row r="250" spans="1:12" x14ac:dyDescent="0.3">
      <c r="A250" s="2">
        <v>45905</v>
      </c>
      <c r="B250" s="1" t="s">
        <v>250</v>
      </c>
      <c r="C250" s="1" t="s">
        <v>10</v>
      </c>
      <c r="D250" s="1" t="s">
        <v>182</v>
      </c>
      <c r="E250" s="1" t="s">
        <v>42</v>
      </c>
      <c r="F250" s="1" t="s">
        <v>43</v>
      </c>
      <c r="G250" s="4">
        <v>18</v>
      </c>
      <c r="H250" s="4">
        <v>40765</v>
      </c>
      <c r="I250" s="6">
        <v>40020.214908561364</v>
      </c>
      <c r="J250" s="6">
        <f>表1[[#This Row],[销售金额]]-表1[[#This Row],[退款金额]]</f>
        <v>744.7850914386363</v>
      </c>
      <c r="K250" s="1">
        <v>515</v>
      </c>
      <c r="L250" s="1">
        <v>936</v>
      </c>
    </row>
    <row r="251" spans="1:12" x14ac:dyDescent="0.3">
      <c r="A251" s="2">
        <v>45905</v>
      </c>
      <c r="B251" s="1" t="s">
        <v>11</v>
      </c>
      <c r="C251" s="1" t="s">
        <v>32</v>
      </c>
      <c r="D251" s="1" t="s">
        <v>170</v>
      </c>
      <c r="E251" s="1" t="s">
        <v>60</v>
      </c>
      <c r="F251" s="1" t="s">
        <v>61</v>
      </c>
      <c r="G251" s="4">
        <v>20</v>
      </c>
      <c r="H251" s="4">
        <v>38333</v>
      </c>
      <c r="I251" s="6">
        <v>38158.68874843634</v>
      </c>
      <c r="J251" s="6">
        <f>表1[[#This Row],[销售金额]]-表1[[#This Row],[退款金额]]</f>
        <v>174.31125156366033</v>
      </c>
      <c r="K251" s="1">
        <v>113</v>
      </c>
      <c r="L251" s="1">
        <v>33</v>
      </c>
    </row>
    <row r="252" spans="1:12" x14ac:dyDescent="0.3">
      <c r="A252" s="2">
        <v>45905</v>
      </c>
      <c r="B252" s="1" t="s">
        <v>11</v>
      </c>
      <c r="C252" s="1" t="s">
        <v>32</v>
      </c>
      <c r="D252" s="1" t="s">
        <v>170</v>
      </c>
      <c r="E252" s="1" t="s">
        <v>60</v>
      </c>
      <c r="F252" s="1" t="s">
        <v>61</v>
      </c>
      <c r="G252" s="4">
        <v>20</v>
      </c>
      <c r="H252" s="4">
        <v>39871</v>
      </c>
      <c r="I252" s="6">
        <v>38158.68874843634</v>
      </c>
      <c r="J252" s="6">
        <f>表1[[#This Row],[销售金额]]-表1[[#This Row],[退款金额]]</f>
        <v>1712.3112515636603</v>
      </c>
      <c r="K252" s="1">
        <v>113</v>
      </c>
      <c r="L252" s="1">
        <v>33</v>
      </c>
    </row>
    <row r="253" spans="1:12" x14ac:dyDescent="0.3">
      <c r="A253" s="2">
        <v>45905</v>
      </c>
      <c r="B253" s="1" t="s">
        <v>11</v>
      </c>
      <c r="C253" s="1" t="s">
        <v>32</v>
      </c>
      <c r="D253" s="1" t="s">
        <v>170</v>
      </c>
      <c r="E253" s="1" t="s">
        <v>60</v>
      </c>
      <c r="F253" s="1" t="s">
        <v>61</v>
      </c>
      <c r="G253" s="4">
        <v>20</v>
      </c>
      <c r="H253" s="4">
        <v>43047</v>
      </c>
      <c r="I253" s="6">
        <v>38158.68874843634</v>
      </c>
      <c r="J253" s="6">
        <f>表1[[#This Row],[销售金额]]-表1[[#This Row],[退款金额]]</f>
        <v>4888.3112515636603</v>
      </c>
      <c r="K253" s="1">
        <v>113</v>
      </c>
      <c r="L253" s="1">
        <v>33</v>
      </c>
    </row>
    <row r="254" spans="1:12" x14ac:dyDescent="0.3">
      <c r="A254" s="2">
        <v>45905</v>
      </c>
      <c r="B254" s="1" t="s">
        <v>11</v>
      </c>
      <c r="C254" s="1" t="s">
        <v>32</v>
      </c>
      <c r="D254" s="1" t="s">
        <v>170</v>
      </c>
      <c r="E254" s="1" t="s">
        <v>60</v>
      </c>
      <c r="F254" s="1" t="s">
        <v>61</v>
      </c>
      <c r="G254" s="4">
        <v>20</v>
      </c>
      <c r="H254" s="4">
        <v>40441</v>
      </c>
      <c r="I254" s="6">
        <v>38158.68874843634</v>
      </c>
      <c r="J254" s="6">
        <f>表1[[#This Row],[销售金额]]-表1[[#This Row],[退款金额]]</f>
        <v>2282.3112515636603</v>
      </c>
      <c r="K254" s="1">
        <v>113</v>
      </c>
      <c r="L254" s="1">
        <v>33</v>
      </c>
    </row>
    <row r="255" spans="1:12" x14ac:dyDescent="0.3">
      <c r="A255" s="2">
        <v>45905</v>
      </c>
      <c r="B255" s="1" t="s">
        <v>11</v>
      </c>
      <c r="C255" s="1" t="s">
        <v>32</v>
      </c>
      <c r="D255" s="1" t="s">
        <v>170</v>
      </c>
      <c r="E255" s="1" t="s">
        <v>60</v>
      </c>
      <c r="F255" s="1" t="s">
        <v>61</v>
      </c>
      <c r="G255" s="4">
        <v>20</v>
      </c>
      <c r="H255" s="4">
        <v>41884</v>
      </c>
      <c r="I255" s="6">
        <v>38158.68874843634</v>
      </c>
      <c r="J255" s="6">
        <f>表1[[#This Row],[销售金额]]-表1[[#This Row],[退款金额]]</f>
        <v>3725.3112515636603</v>
      </c>
      <c r="K255" s="1">
        <v>113</v>
      </c>
      <c r="L255" s="1">
        <v>33</v>
      </c>
    </row>
    <row r="256" spans="1:12" x14ac:dyDescent="0.3">
      <c r="A256" s="2">
        <v>45905</v>
      </c>
      <c r="B256" s="1" t="s">
        <v>11</v>
      </c>
      <c r="C256" s="1" t="s">
        <v>32</v>
      </c>
      <c r="D256" s="1" t="s">
        <v>170</v>
      </c>
      <c r="E256" s="1" t="s">
        <v>60</v>
      </c>
      <c r="F256" s="1" t="s">
        <v>61</v>
      </c>
      <c r="G256" s="4">
        <v>20</v>
      </c>
      <c r="H256" s="4">
        <v>41722</v>
      </c>
      <c r="I256" s="6">
        <v>38158.68874843634</v>
      </c>
      <c r="J256" s="6">
        <f>表1[[#This Row],[销售金额]]-表1[[#This Row],[退款金额]]</f>
        <v>3563.3112515636603</v>
      </c>
      <c r="K256" s="1">
        <v>113</v>
      </c>
      <c r="L256" s="1">
        <v>33</v>
      </c>
    </row>
    <row r="257" spans="1:12" x14ac:dyDescent="0.3">
      <c r="A257" s="2">
        <v>45905</v>
      </c>
      <c r="B257" s="1" t="s">
        <v>11</v>
      </c>
      <c r="C257" s="1" t="s">
        <v>32</v>
      </c>
      <c r="D257" s="1" t="s">
        <v>170</v>
      </c>
      <c r="E257" s="1" t="s">
        <v>60</v>
      </c>
      <c r="F257" s="1" t="s">
        <v>61</v>
      </c>
      <c r="G257" s="4">
        <v>20</v>
      </c>
      <c r="H257" s="4">
        <v>39160</v>
      </c>
      <c r="I257" s="6">
        <v>38158.68874843634</v>
      </c>
      <c r="J257" s="6">
        <f>表1[[#This Row],[销售金额]]-表1[[#This Row],[退款金额]]</f>
        <v>1001.3112515636603</v>
      </c>
      <c r="K257" s="1">
        <v>113</v>
      </c>
      <c r="L257" s="1">
        <v>33</v>
      </c>
    </row>
    <row r="258" spans="1:12" x14ac:dyDescent="0.3">
      <c r="A258" s="2">
        <v>45905</v>
      </c>
      <c r="B258" s="1" t="s">
        <v>11</v>
      </c>
      <c r="C258" s="1" t="s">
        <v>32</v>
      </c>
      <c r="D258" s="1" t="s">
        <v>170</v>
      </c>
      <c r="E258" s="1" t="s">
        <v>60</v>
      </c>
      <c r="F258" s="1" t="s">
        <v>61</v>
      </c>
      <c r="G258" s="4">
        <v>20</v>
      </c>
      <c r="H258" s="4">
        <v>42144</v>
      </c>
      <c r="I258" s="6">
        <v>38158.68874843634</v>
      </c>
      <c r="J258" s="6">
        <f>表1[[#This Row],[销售金额]]-表1[[#This Row],[退款金额]]</f>
        <v>3985.3112515636603</v>
      </c>
      <c r="K258" s="1">
        <v>113</v>
      </c>
      <c r="L258" s="1">
        <v>33</v>
      </c>
    </row>
    <row r="259" spans="1:12" x14ac:dyDescent="0.3">
      <c r="A259" s="2">
        <v>45905</v>
      </c>
      <c r="B259" s="1" t="s">
        <v>11</v>
      </c>
      <c r="C259" s="1" t="s">
        <v>32</v>
      </c>
      <c r="D259" s="1" t="s">
        <v>170</v>
      </c>
      <c r="E259" s="1" t="s">
        <v>60</v>
      </c>
      <c r="F259" s="1" t="s">
        <v>61</v>
      </c>
      <c r="G259" s="4">
        <v>20</v>
      </c>
      <c r="H259" s="4">
        <v>43012</v>
      </c>
      <c r="I259" s="6">
        <v>38158.68874843634</v>
      </c>
      <c r="J259" s="6">
        <f>表1[[#This Row],[销售金额]]-表1[[#This Row],[退款金额]]</f>
        <v>4853.3112515636603</v>
      </c>
      <c r="K259" s="1">
        <v>113</v>
      </c>
      <c r="L259" s="1">
        <v>33</v>
      </c>
    </row>
    <row r="260" spans="1:12" x14ac:dyDescent="0.3">
      <c r="A260" s="2">
        <v>45906</v>
      </c>
      <c r="B260" s="1" t="s">
        <v>11</v>
      </c>
      <c r="C260" s="1" t="s">
        <v>32</v>
      </c>
      <c r="D260" s="1" t="s">
        <v>107</v>
      </c>
      <c r="E260" s="1" t="s">
        <v>38</v>
      </c>
      <c r="F260" s="1" t="s">
        <v>39</v>
      </c>
      <c r="G260" s="4">
        <v>9</v>
      </c>
      <c r="H260" s="4">
        <v>8437</v>
      </c>
      <c r="I260" s="6">
        <v>3544.5236412923573</v>
      </c>
      <c r="J260" s="6">
        <f>表1[[#This Row],[销售金额]]-表1[[#This Row],[退款金额]]</f>
        <v>4892.4763587076432</v>
      </c>
      <c r="K260" s="1">
        <v>169</v>
      </c>
      <c r="L260" s="1">
        <v>233</v>
      </c>
    </row>
    <row r="261" spans="1:12" x14ac:dyDescent="0.3">
      <c r="A261" s="2">
        <v>45906</v>
      </c>
      <c r="B261" s="1" t="s">
        <v>11</v>
      </c>
      <c r="C261" s="1" t="s">
        <v>32</v>
      </c>
      <c r="D261" s="1" t="s">
        <v>107</v>
      </c>
      <c r="E261" s="1" t="s">
        <v>38</v>
      </c>
      <c r="F261" s="1" t="s">
        <v>39</v>
      </c>
      <c r="G261" s="4">
        <v>9</v>
      </c>
      <c r="H261" s="4">
        <v>7275</v>
      </c>
      <c r="I261" s="6">
        <v>3544.5236412923573</v>
      </c>
      <c r="J261" s="6">
        <f>表1[[#This Row],[销售金额]]-表1[[#This Row],[退款金额]]</f>
        <v>3730.4763587076427</v>
      </c>
      <c r="K261" s="1">
        <v>169</v>
      </c>
      <c r="L261" s="1">
        <v>233</v>
      </c>
    </row>
    <row r="262" spans="1:12" x14ac:dyDescent="0.3">
      <c r="A262" s="2">
        <v>45906</v>
      </c>
      <c r="B262" s="1" t="s">
        <v>11</v>
      </c>
      <c r="C262" s="1" t="s">
        <v>32</v>
      </c>
      <c r="D262" s="1" t="s">
        <v>107</v>
      </c>
      <c r="E262" s="1" t="s">
        <v>38</v>
      </c>
      <c r="F262" s="1" t="s">
        <v>39</v>
      </c>
      <c r="G262" s="4">
        <v>9</v>
      </c>
      <c r="H262" s="4">
        <v>5043</v>
      </c>
      <c r="I262" s="6">
        <v>3544.5236412923573</v>
      </c>
      <c r="J262" s="6">
        <f>表1[[#This Row],[销售金额]]-表1[[#This Row],[退款金额]]</f>
        <v>1498.4763587076427</v>
      </c>
      <c r="K262" s="1">
        <v>169</v>
      </c>
      <c r="L262" s="1">
        <v>233</v>
      </c>
    </row>
    <row r="263" spans="1:12" x14ac:dyDescent="0.3">
      <c r="A263" s="2">
        <v>45906</v>
      </c>
      <c r="B263" s="1" t="s">
        <v>11</v>
      </c>
      <c r="C263" s="1" t="s">
        <v>32</v>
      </c>
      <c r="D263" s="1" t="s">
        <v>107</v>
      </c>
      <c r="E263" s="1" t="s">
        <v>38</v>
      </c>
      <c r="F263" s="1" t="s">
        <v>39</v>
      </c>
      <c r="G263" s="4">
        <v>9</v>
      </c>
      <c r="H263" s="4">
        <v>7327</v>
      </c>
      <c r="I263" s="6">
        <v>3544.5236412923573</v>
      </c>
      <c r="J263" s="6">
        <f>表1[[#This Row],[销售金额]]-表1[[#This Row],[退款金额]]</f>
        <v>3782.4763587076427</v>
      </c>
      <c r="K263" s="1">
        <v>169</v>
      </c>
      <c r="L263" s="1">
        <v>233</v>
      </c>
    </row>
    <row r="264" spans="1:12" x14ac:dyDescent="0.3">
      <c r="A264" s="2">
        <v>45906</v>
      </c>
      <c r="B264" s="1" t="s">
        <v>11</v>
      </c>
      <c r="C264" s="1" t="s">
        <v>32</v>
      </c>
      <c r="D264" s="1" t="s">
        <v>107</v>
      </c>
      <c r="E264" s="1" t="s">
        <v>38</v>
      </c>
      <c r="F264" s="1" t="s">
        <v>39</v>
      </c>
      <c r="G264" s="4">
        <v>9</v>
      </c>
      <c r="H264" s="4">
        <v>7269</v>
      </c>
      <c r="I264" s="6">
        <v>3544.5236412923573</v>
      </c>
      <c r="J264" s="6">
        <f>表1[[#This Row],[销售金额]]-表1[[#This Row],[退款金额]]</f>
        <v>3724.4763587076427</v>
      </c>
      <c r="K264" s="1">
        <v>169</v>
      </c>
      <c r="L264" s="1">
        <v>233</v>
      </c>
    </row>
    <row r="265" spans="1:12" x14ac:dyDescent="0.3">
      <c r="A265" s="2">
        <v>45906</v>
      </c>
      <c r="B265" s="1" t="s">
        <v>11</v>
      </c>
      <c r="C265" s="1" t="s">
        <v>32</v>
      </c>
      <c r="D265" s="1" t="s">
        <v>107</v>
      </c>
      <c r="E265" s="1" t="s">
        <v>38</v>
      </c>
      <c r="F265" s="1" t="s">
        <v>39</v>
      </c>
      <c r="G265" s="4">
        <v>9</v>
      </c>
      <c r="H265" s="4">
        <v>8242</v>
      </c>
      <c r="I265" s="6">
        <v>3544.5236412923573</v>
      </c>
      <c r="J265" s="6">
        <f>表1[[#This Row],[销售金额]]-表1[[#This Row],[退款金额]]</f>
        <v>4697.4763587076432</v>
      </c>
      <c r="K265" s="1">
        <v>169</v>
      </c>
      <c r="L265" s="1">
        <v>233</v>
      </c>
    </row>
    <row r="266" spans="1:12" x14ac:dyDescent="0.3">
      <c r="A266" s="2">
        <v>45906</v>
      </c>
      <c r="B266" s="1" t="s">
        <v>11</v>
      </c>
      <c r="C266" s="1" t="s">
        <v>32</v>
      </c>
      <c r="D266" s="1" t="s">
        <v>107</v>
      </c>
      <c r="E266" s="1" t="s">
        <v>38</v>
      </c>
      <c r="F266" s="1" t="s">
        <v>39</v>
      </c>
      <c r="G266" s="4">
        <v>9</v>
      </c>
      <c r="H266" s="4">
        <v>7084</v>
      </c>
      <c r="I266" s="6">
        <v>3544.5236412923573</v>
      </c>
      <c r="J266" s="6">
        <f>表1[[#This Row],[销售金额]]-表1[[#This Row],[退款金额]]</f>
        <v>3539.4763587076427</v>
      </c>
      <c r="K266" s="1">
        <v>169</v>
      </c>
      <c r="L266" s="1">
        <v>233</v>
      </c>
    </row>
    <row r="267" spans="1:12" x14ac:dyDescent="0.3">
      <c r="A267" s="2">
        <v>45906</v>
      </c>
      <c r="B267" s="1" t="s">
        <v>11</v>
      </c>
      <c r="C267" s="1" t="s">
        <v>32</v>
      </c>
      <c r="D267" s="1" t="s">
        <v>107</v>
      </c>
      <c r="E267" s="1" t="s">
        <v>38</v>
      </c>
      <c r="F267" s="1" t="s">
        <v>39</v>
      </c>
      <c r="G267" s="4">
        <v>9</v>
      </c>
      <c r="H267" s="4">
        <v>3998</v>
      </c>
      <c r="I267" s="6">
        <v>3544.5236412923573</v>
      </c>
      <c r="J267" s="6">
        <f>表1[[#This Row],[销售金额]]-表1[[#This Row],[退款金额]]</f>
        <v>453.4763587076427</v>
      </c>
      <c r="K267" s="1">
        <v>169</v>
      </c>
      <c r="L267" s="1">
        <v>233</v>
      </c>
    </row>
    <row r="268" spans="1:12" x14ac:dyDescent="0.3">
      <c r="A268" s="2">
        <v>45906</v>
      </c>
      <c r="B268" s="1" t="s">
        <v>11</v>
      </c>
      <c r="C268" s="1" t="s">
        <v>32</v>
      </c>
      <c r="D268" s="1" t="s">
        <v>107</v>
      </c>
      <c r="E268" s="1" t="s">
        <v>38</v>
      </c>
      <c r="F268" s="1" t="s">
        <v>39</v>
      </c>
      <c r="G268" s="4">
        <v>9</v>
      </c>
      <c r="H268" s="4">
        <v>3924</v>
      </c>
      <c r="I268" s="6">
        <v>3544.5236412923573</v>
      </c>
      <c r="J268" s="6">
        <f>表1[[#This Row],[销售金额]]-表1[[#This Row],[退款金额]]</f>
        <v>379.4763587076427</v>
      </c>
      <c r="K268" s="1">
        <v>169</v>
      </c>
      <c r="L268" s="1">
        <v>233</v>
      </c>
    </row>
    <row r="269" spans="1:12" x14ac:dyDescent="0.3">
      <c r="A269" s="2">
        <v>45906</v>
      </c>
      <c r="B269" s="1" t="s">
        <v>250</v>
      </c>
      <c r="C269" s="1" t="s">
        <v>10</v>
      </c>
      <c r="D269" s="1" t="s">
        <v>162</v>
      </c>
      <c r="E269" s="1" t="s">
        <v>42</v>
      </c>
      <c r="F269" s="1" t="s">
        <v>43</v>
      </c>
      <c r="G269" s="4">
        <v>11</v>
      </c>
      <c r="H269" s="4">
        <v>6541</v>
      </c>
      <c r="I269" s="6">
        <v>3238.1327909625747</v>
      </c>
      <c r="J269" s="6">
        <f>表1[[#This Row],[销售金额]]-表1[[#This Row],[退款金额]]</f>
        <v>3302.8672090374253</v>
      </c>
      <c r="K269" s="1">
        <v>696</v>
      </c>
      <c r="L269" s="1">
        <v>861</v>
      </c>
    </row>
    <row r="270" spans="1:12" x14ac:dyDescent="0.3">
      <c r="A270" s="2">
        <v>45906</v>
      </c>
      <c r="B270" s="1" t="s">
        <v>250</v>
      </c>
      <c r="C270" s="1" t="s">
        <v>10</v>
      </c>
      <c r="D270" s="1" t="s">
        <v>162</v>
      </c>
      <c r="E270" s="1" t="s">
        <v>42</v>
      </c>
      <c r="F270" s="1" t="s">
        <v>43</v>
      </c>
      <c r="G270" s="4">
        <v>11</v>
      </c>
      <c r="H270" s="4">
        <v>7466</v>
      </c>
      <c r="I270" s="6">
        <v>3238.1327909625747</v>
      </c>
      <c r="J270" s="6">
        <f>表1[[#This Row],[销售金额]]-表1[[#This Row],[退款金额]]</f>
        <v>4227.8672090374257</v>
      </c>
      <c r="K270" s="1">
        <v>696</v>
      </c>
      <c r="L270" s="1">
        <v>861</v>
      </c>
    </row>
    <row r="271" spans="1:12" x14ac:dyDescent="0.3">
      <c r="A271" s="2">
        <v>45906</v>
      </c>
      <c r="B271" s="1" t="s">
        <v>250</v>
      </c>
      <c r="C271" s="1" t="s">
        <v>10</v>
      </c>
      <c r="D271" s="1" t="s">
        <v>162</v>
      </c>
      <c r="E271" s="1" t="s">
        <v>42</v>
      </c>
      <c r="F271" s="1" t="s">
        <v>43</v>
      </c>
      <c r="G271" s="4">
        <v>11</v>
      </c>
      <c r="H271" s="4">
        <v>6583</v>
      </c>
      <c r="I271" s="6">
        <v>3238.1327909625747</v>
      </c>
      <c r="J271" s="6">
        <f>表1[[#This Row],[销售金额]]-表1[[#This Row],[退款金额]]</f>
        <v>3344.8672090374253</v>
      </c>
      <c r="K271" s="1">
        <v>696</v>
      </c>
      <c r="L271" s="1">
        <v>861</v>
      </c>
    </row>
    <row r="272" spans="1:12" x14ac:dyDescent="0.3">
      <c r="A272" s="2">
        <v>45906</v>
      </c>
      <c r="B272" s="1" t="s">
        <v>250</v>
      </c>
      <c r="C272" s="1" t="s">
        <v>10</v>
      </c>
      <c r="D272" s="1" t="s">
        <v>162</v>
      </c>
      <c r="E272" s="1" t="s">
        <v>42</v>
      </c>
      <c r="F272" s="1" t="s">
        <v>43</v>
      </c>
      <c r="G272" s="4">
        <v>11</v>
      </c>
      <c r="H272" s="4">
        <v>4303</v>
      </c>
      <c r="I272" s="6">
        <v>3238.1327909625747</v>
      </c>
      <c r="J272" s="6">
        <f>表1[[#This Row],[销售金额]]-表1[[#This Row],[退款金额]]</f>
        <v>1064.8672090374253</v>
      </c>
      <c r="K272" s="1">
        <v>696</v>
      </c>
      <c r="L272" s="1">
        <v>861</v>
      </c>
    </row>
    <row r="273" spans="1:12" x14ac:dyDescent="0.3">
      <c r="A273" s="2">
        <v>45906</v>
      </c>
      <c r="B273" s="1" t="s">
        <v>250</v>
      </c>
      <c r="C273" s="1" t="s">
        <v>10</v>
      </c>
      <c r="D273" s="1" t="s">
        <v>162</v>
      </c>
      <c r="E273" s="1" t="s">
        <v>42</v>
      </c>
      <c r="F273" s="1" t="s">
        <v>43</v>
      </c>
      <c r="G273" s="4">
        <v>11</v>
      </c>
      <c r="H273" s="4">
        <v>3450</v>
      </c>
      <c r="I273" s="6">
        <v>3238.1327909625747</v>
      </c>
      <c r="J273" s="6">
        <f>表1[[#This Row],[销售金额]]-表1[[#This Row],[退款金额]]</f>
        <v>211.86720903742525</v>
      </c>
      <c r="K273" s="1">
        <v>696</v>
      </c>
      <c r="L273" s="1">
        <v>861</v>
      </c>
    </row>
    <row r="274" spans="1:12" x14ac:dyDescent="0.3">
      <c r="A274" s="2">
        <v>45906</v>
      </c>
      <c r="B274" s="1" t="s">
        <v>250</v>
      </c>
      <c r="C274" s="1" t="s">
        <v>10</v>
      </c>
      <c r="D274" s="1" t="s">
        <v>162</v>
      </c>
      <c r="E274" s="1" t="s">
        <v>42</v>
      </c>
      <c r="F274" s="1" t="s">
        <v>43</v>
      </c>
      <c r="G274" s="4">
        <v>11</v>
      </c>
      <c r="H274" s="4">
        <v>8050</v>
      </c>
      <c r="I274" s="6">
        <v>3238.1327909625747</v>
      </c>
      <c r="J274" s="6">
        <f>表1[[#This Row],[销售金额]]-表1[[#This Row],[退款金额]]</f>
        <v>4811.8672090374257</v>
      </c>
      <c r="K274" s="1">
        <v>696</v>
      </c>
      <c r="L274" s="1">
        <v>861</v>
      </c>
    </row>
    <row r="275" spans="1:12" x14ac:dyDescent="0.3">
      <c r="A275" s="2">
        <v>45906</v>
      </c>
      <c r="B275" s="1" t="s">
        <v>250</v>
      </c>
      <c r="C275" s="1" t="s">
        <v>10</v>
      </c>
      <c r="D275" s="1" t="s">
        <v>162</v>
      </c>
      <c r="E275" s="1" t="s">
        <v>42</v>
      </c>
      <c r="F275" s="1" t="s">
        <v>43</v>
      </c>
      <c r="G275" s="4">
        <v>11</v>
      </c>
      <c r="H275" s="4">
        <v>6722</v>
      </c>
      <c r="I275" s="6">
        <v>3238.1327909625747</v>
      </c>
      <c r="J275" s="6">
        <f>表1[[#This Row],[销售金额]]-表1[[#This Row],[退款金额]]</f>
        <v>3483.8672090374253</v>
      </c>
      <c r="K275" s="1">
        <v>696</v>
      </c>
      <c r="L275" s="1">
        <v>861</v>
      </c>
    </row>
    <row r="276" spans="1:12" x14ac:dyDescent="0.3">
      <c r="A276" s="2">
        <v>45906</v>
      </c>
      <c r="B276" s="1" t="s">
        <v>250</v>
      </c>
      <c r="C276" s="1" t="s">
        <v>10</v>
      </c>
      <c r="D276" s="1" t="s">
        <v>162</v>
      </c>
      <c r="E276" s="1" t="s">
        <v>42</v>
      </c>
      <c r="F276" s="1" t="s">
        <v>43</v>
      </c>
      <c r="G276" s="4">
        <v>11</v>
      </c>
      <c r="H276" s="4">
        <v>6222</v>
      </c>
      <c r="I276" s="6">
        <v>3238.1327909625747</v>
      </c>
      <c r="J276" s="6">
        <f>表1[[#This Row],[销售金额]]-表1[[#This Row],[退款金额]]</f>
        <v>2983.8672090374253</v>
      </c>
      <c r="K276" s="1">
        <v>696</v>
      </c>
      <c r="L276" s="1">
        <v>861</v>
      </c>
    </row>
    <row r="277" spans="1:12" x14ac:dyDescent="0.3">
      <c r="A277" s="2">
        <v>45906</v>
      </c>
      <c r="B277" s="1" t="s">
        <v>250</v>
      </c>
      <c r="C277" s="1" t="s">
        <v>10</v>
      </c>
      <c r="D277" s="1" t="s">
        <v>162</v>
      </c>
      <c r="E277" s="1" t="s">
        <v>42</v>
      </c>
      <c r="F277" s="1" t="s">
        <v>43</v>
      </c>
      <c r="G277" s="4">
        <v>11</v>
      </c>
      <c r="H277" s="4">
        <v>7856</v>
      </c>
      <c r="I277" s="6">
        <v>3238.1327909625747</v>
      </c>
      <c r="J277" s="6">
        <f>表1[[#This Row],[销售金额]]-表1[[#This Row],[退款金额]]</f>
        <v>4617.8672090374257</v>
      </c>
      <c r="K277" s="1">
        <v>696</v>
      </c>
      <c r="L277" s="1">
        <v>861</v>
      </c>
    </row>
    <row r="278" spans="1:12" x14ac:dyDescent="0.3">
      <c r="A278" s="2">
        <v>45906</v>
      </c>
      <c r="B278" s="1" t="s">
        <v>25</v>
      </c>
      <c r="C278" s="1" t="s">
        <v>10</v>
      </c>
      <c r="D278" s="1" t="s">
        <v>203</v>
      </c>
      <c r="E278" s="1" t="s">
        <v>13</v>
      </c>
      <c r="F278" s="1" t="s">
        <v>14</v>
      </c>
      <c r="G278" s="4">
        <v>15</v>
      </c>
      <c r="H278" s="4">
        <v>84362</v>
      </c>
      <c r="I278" s="6">
        <v>82933.529430165814</v>
      </c>
      <c r="J278" s="6">
        <f>表1[[#This Row],[销售金额]]-表1[[#This Row],[退款金额]]</f>
        <v>1428.4705698341859</v>
      </c>
      <c r="K278" s="1">
        <v>8</v>
      </c>
      <c r="L278" s="1">
        <v>382</v>
      </c>
    </row>
    <row r="279" spans="1:12" x14ac:dyDescent="0.3">
      <c r="A279" s="2">
        <v>45906</v>
      </c>
      <c r="B279" s="1" t="s">
        <v>25</v>
      </c>
      <c r="C279" s="1" t="s">
        <v>10</v>
      </c>
      <c r="D279" s="1" t="s">
        <v>203</v>
      </c>
      <c r="E279" s="1" t="s">
        <v>13</v>
      </c>
      <c r="F279" s="1" t="s">
        <v>14</v>
      </c>
      <c r="G279" s="4">
        <v>15</v>
      </c>
      <c r="H279" s="4">
        <v>83370</v>
      </c>
      <c r="I279" s="6">
        <v>82933.529430165814</v>
      </c>
      <c r="J279" s="6">
        <f>表1[[#This Row],[销售金额]]-表1[[#This Row],[退款金额]]</f>
        <v>436.47056983418588</v>
      </c>
      <c r="K279" s="1">
        <v>8</v>
      </c>
      <c r="L279" s="1">
        <v>382</v>
      </c>
    </row>
    <row r="280" spans="1:12" x14ac:dyDescent="0.3">
      <c r="A280" s="2">
        <v>45906</v>
      </c>
      <c r="B280" s="1" t="s">
        <v>25</v>
      </c>
      <c r="C280" s="1" t="s">
        <v>10</v>
      </c>
      <c r="D280" s="1" t="s">
        <v>203</v>
      </c>
      <c r="E280" s="1" t="s">
        <v>13</v>
      </c>
      <c r="F280" s="1" t="s">
        <v>14</v>
      </c>
      <c r="G280" s="4">
        <v>15</v>
      </c>
      <c r="H280" s="4">
        <v>87205</v>
      </c>
      <c r="I280" s="6">
        <v>82933.529430165814</v>
      </c>
      <c r="J280" s="6">
        <f>表1[[#This Row],[销售金额]]-表1[[#This Row],[退款金额]]</f>
        <v>4271.4705698341859</v>
      </c>
      <c r="K280" s="1">
        <v>8</v>
      </c>
      <c r="L280" s="1">
        <v>382</v>
      </c>
    </row>
    <row r="281" spans="1:12" x14ac:dyDescent="0.3">
      <c r="A281" s="2">
        <v>45906</v>
      </c>
      <c r="B281" s="1" t="s">
        <v>25</v>
      </c>
      <c r="C281" s="1" t="s">
        <v>10</v>
      </c>
      <c r="D281" s="1" t="s">
        <v>203</v>
      </c>
      <c r="E281" s="1" t="s">
        <v>13</v>
      </c>
      <c r="F281" s="1" t="s">
        <v>14</v>
      </c>
      <c r="G281" s="4">
        <v>15</v>
      </c>
      <c r="H281" s="4">
        <v>85280</v>
      </c>
      <c r="I281" s="6">
        <v>82933.529430165814</v>
      </c>
      <c r="J281" s="6">
        <f>表1[[#This Row],[销售金额]]-表1[[#This Row],[退款金额]]</f>
        <v>2346.4705698341859</v>
      </c>
      <c r="K281" s="1">
        <v>8</v>
      </c>
      <c r="L281" s="1">
        <v>382</v>
      </c>
    </row>
    <row r="282" spans="1:12" x14ac:dyDescent="0.3">
      <c r="A282" s="2">
        <v>45906</v>
      </c>
      <c r="B282" s="1" t="s">
        <v>25</v>
      </c>
      <c r="C282" s="1" t="s">
        <v>10</v>
      </c>
      <c r="D282" s="1" t="s">
        <v>203</v>
      </c>
      <c r="E282" s="1" t="s">
        <v>13</v>
      </c>
      <c r="F282" s="1" t="s">
        <v>14</v>
      </c>
      <c r="G282" s="4">
        <v>15</v>
      </c>
      <c r="H282" s="4">
        <v>84846</v>
      </c>
      <c r="I282" s="6">
        <v>82933.529430165814</v>
      </c>
      <c r="J282" s="6">
        <f>表1[[#This Row],[销售金额]]-表1[[#This Row],[退款金额]]</f>
        <v>1912.4705698341859</v>
      </c>
      <c r="K282" s="1">
        <v>8</v>
      </c>
      <c r="L282" s="1">
        <v>382</v>
      </c>
    </row>
    <row r="283" spans="1:12" x14ac:dyDescent="0.3">
      <c r="A283" s="2">
        <v>45906</v>
      </c>
      <c r="B283" s="1" t="s">
        <v>25</v>
      </c>
      <c r="C283" s="1" t="s">
        <v>10</v>
      </c>
      <c r="D283" s="1" t="s">
        <v>203</v>
      </c>
      <c r="E283" s="1" t="s">
        <v>13</v>
      </c>
      <c r="F283" s="1" t="s">
        <v>14</v>
      </c>
      <c r="G283" s="4">
        <v>15</v>
      </c>
      <c r="H283" s="4">
        <v>84482</v>
      </c>
      <c r="I283" s="6">
        <v>82933.529430165814</v>
      </c>
      <c r="J283" s="6">
        <f>表1[[#This Row],[销售金额]]-表1[[#This Row],[退款金额]]</f>
        <v>1548.4705698341859</v>
      </c>
      <c r="K283" s="1">
        <v>8</v>
      </c>
      <c r="L283" s="1">
        <v>382</v>
      </c>
    </row>
    <row r="284" spans="1:12" x14ac:dyDescent="0.3">
      <c r="A284" s="2">
        <v>45906</v>
      </c>
      <c r="B284" s="1" t="s">
        <v>25</v>
      </c>
      <c r="C284" s="1" t="s">
        <v>10</v>
      </c>
      <c r="D284" s="1" t="s">
        <v>203</v>
      </c>
      <c r="E284" s="1" t="s">
        <v>13</v>
      </c>
      <c r="F284" s="1" t="s">
        <v>14</v>
      </c>
      <c r="G284" s="4">
        <v>15</v>
      </c>
      <c r="H284" s="4">
        <v>87337</v>
      </c>
      <c r="I284" s="6">
        <v>82933.529430165814</v>
      </c>
      <c r="J284" s="6">
        <f>表1[[#This Row],[销售金额]]-表1[[#This Row],[退款金额]]</f>
        <v>4403.4705698341859</v>
      </c>
      <c r="K284" s="1">
        <v>8</v>
      </c>
      <c r="L284" s="1">
        <v>382</v>
      </c>
    </row>
    <row r="285" spans="1:12" x14ac:dyDescent="0.3">
      <c r="A285" s="2">
        <v>45906</v>
      </c>
      <c r="B285" s="1" t="s">
        <v>25</v>
      </c>
      <c r="C285" s="1" t="s">
        <v>10</v>
      </c>
      <c r="D285" s="1" t="s">
        <v>203</v>
      </c>
      <c r="E285" s="1" t="s">
        <v>13</v>
      </c>
      <c r="F285" s="1" t="s">
        <v>14</v>
      </c>
      <c r="G285" s="4">
        <v>15</v>
      </c>
      <c r="H285" s="4">
        <v>83254</v>
      </c>
      <c r="I285" s="6">
        <v>82933.529430165814</v>
      </c>
      <c r="J285" s="6">
        <f>表1[[#This Row],[销售金额]]-表1[[#This Row],[退款金额]]</f>
        <v>320.47056983418588</v>
      </c>
      <c r="K285" s="1">
        <v>8</v>
      </c>
      <c r="L285" s="1">
        <v>382</v>
      </c>
    </row>
    <row r="286" spans="1:12" x14ac:dyDescent="0.3">
      <c r="A286" s="2">
        <v>45906</v>
      </c>
      <c r="B286" s="1" t="s">
        <v>25</v>
      </c>
      <c r="C286" s="1" t="s">
        <v>10</v>
      </c>
      <c r="D286" s="1" t="s">
        <v>203</v>
      </c>
      <c r="E286" s="1" t="s">
        <v>13</v>
      </c>
      <c r="F286" s="1" t="s">
        <v>14</v>
      </c>
      <c r="G286" s="4">
        <v>15</v>
      </c>
      <c r="H286" s="4">
        <v>84317</v>
      </c>
      <c r="I286" s="6">
        <v>82933.529430165814</v>
      </c>
      <c r="J286" s="6">
        <f>表1[[#This Row],[销售金额]]-表1[[#This Row],[退款金额]]</f>
        <v>1383.4705698341859</v>
      </c>
      <c r="K286" s="1">
        <v>8</v>
      </c>
      <c r="L286" s="1">
        <v>382</v>
      </c>
    </row>
    <row r="287" spans="1:12" x14ac:dyDescent="0.3">
      <c r="A287" s="2">
        <v>45906</v>
      </c>
      <c r="B287" s="1" t="s">
        <v>11</v>
      </c>
      <c r="C287" s="1" t="s">
        <v>10</v>
      </c>
      <c r="D287" s="1" t="s">
        <v>7</v>
      </c>
      <c r="E287" s="1" t="s">
        <v>8</v>
      </c>
      <c r="F287" s="1" t="s">
        <v>9</v>
      </c>
      <c r="G287" s="4">
        <v>19</v>
      </c>
      <c r="H287" s="4">
        <v>55625</v>
      </c>
      <c r="I287" s="6">
        <v>55084.750779178117</v>
      </c>
      <c r="J287" s="6">
        <f>表1[[#This Row],[销售金额]]-表1[[#This Row],[退款金额]]</f>
        <v>540.24922082188277</v>
      </c>
      <c r="K287" s="1">
        <v>141</v>
      </c>
      <c r="L287" s="1">
        <v>288</v>
      </c>
    </row>
    <row r="288" spans="1:12" x14ac:dyDescent="0.3">
      <c r="A288" s="2">
        <v>45906</v>
      </c>
      <c r="B288" s="1" t="s">
        <v>11</v>
      </c>
      <c r="C288" s="1" t="s">
        <v>10</v>
      </c>
      <c r="D288" s="1" t="s">
        <v>7</v>
      </c>
      <c r="E288" s="1" t="s">
        <v>8</v>
      </c>
      <c r="F288" s="1" t="s">
        <v>9</v>
      </c>
      <c r="G288" s="4">
        <v>19</v>
      </c>
      <c r="H288" s="4">
        <v>57830</v>
      </c>
      <c r="I288" s="6">
        <v>55084.750779178117</v>
      </c>
      <c r="J288" s="6">
        <f>表1[[#This Row],[销售金额]]-表1[[#This Row],[退款金额]]</f>
        <v>2745.2492208218828</v>
      </c>
      <c r="K288" s="1">
        <v>141</v>
      </c>
      <c r="L288" s="1">
        <v>288</v>
      </c>
    </row>
    <row r="289" spans="1:12" x14ac:dyDescent="0.3">
      <c r="A289" s="2">
        <v>45906</v>
      </c>
      <c r="B289" s="1" t="s">
        <v>11</v>
      </c>
      <c r="C289" s="1" t="s">
        <v>10</v>
      </c>
      <c r="D289" s="1" t="s">
        <v>7</v>
      </c>
      <c r="E289" s="1" t="s">
        <v>8</v>
      </c>
      <c r="F289" s="1" t="s">
        <v>9</v>
      </c>
      <c r="G289" s="4">
        <v>19</v>
      </c>
      <c r="H289" s="4">
        <v>59323</v>
      </c>
      <c r="I289" s="6">
        <v>55084.750779178117</v>
      </c>
      <c r="J289" s="6">
        <f>表1[[#This Row],[销售金额]]-表1[[#This Row],[退款金额]]</f>
        <v>4238.2492208218828</v>
      </c>
      <c r="K289" s="1">
        <v>141</v>
      </c>
      <c r="L289" s="1">
        <v>288</v>
      </c>
    </row>
    <row r="290" spans="1:12" x14ac:dyDescent="0.3">
      <c r="A290" s="2">
        <v>45906</v>
      </c>
      <c r="B290" s="1" t="s">
        <v>11</v>
      </c>
      <c r="C290" s="1" t="s">
        <v>10</v>
      </c>
      <c r="D290" s="1" t="s">
        <v>7</v>
      </c>
      <c r="E290" s="1" t="s">
        <v>8</v>
      </c>
      <c r="F290" s="1" t="s">
        <v>9</v>
      </c>
      <c r="G290" s="4">
        <v>19</v>
      </c>
      <c r="H290" s="4">
        <v>55628</v>
      </c>
      <c r="I290" s="6">
        <v>55084.750779178117</v>
      </c>
      <c r="J290" s="6">
        <f>表1[[#This Row],[销售金额]]-表1[[#This Row],[退款金额]]</f>
        <v>543.24922082188277</v>
      </c>
      <c r="K290" s="1">
        <v>141</v>
      </c>
      <c r="L290" s="1">
        <v>288</v>
      </c>
    </row>
    <row r="291" spans="1:12" x14ac:dyDescent="0.3">
      <c r="A291" s="2">
        <v>45906</v>
      </c>
      <c r="B291" s="1" t="s">
        <v>11</v>
      </c>
      <c r="C291" s="1" t="s">
        <v>10</v>
      </c>
      <c r="D291" s="1" t="s">
        <v>7</v>
      </c>
      <c r="E291" s="1" t="s">
        <v>8</v>
      </c>
      <c r="F291" s="1" t="s">
        <v>9</v>
      </c>
      <c r="G291" s="4">
        <v>19</v>
      </c>
      <c r="H291" s="4">
        <v>56745</v>
      </c>
      <c r="I291" s="6">
        <v>55084.750779178117</v>
      </c>
      <c r="J291" s="6">
        <f>表1[[#This Row],[销售金额]]-表1[[#This Row],[退款金额]]</f>
        <v>1660.2492208218828</v>
      </c>
      <c r="K291" s="1">
        <v>141</v>
      </c>
      <c r="L291" s="1">
        <v>288</v>
      </c>
    </row>
    <row r="292" spans="1:12" x14ac:dyDescent="0.3">
      <c r="A292" s="2">
        <v>45906</v>
      </c>
      <c r="B292" s="1" t="s">
        <v>11</v>
      </c>
      <c r="C292" s="1" t="s">
        <v>10</v>
      </c>
      <c r="D292" s="1" t="s">
        <v>7</v>
      </c>
      <c r="E292" s="1" t="s">
        <v>8</v>
      </c>
      <c r="F292" s="1" t="s">
        <v>9</v>
      </c>
      <c r="G292" s="4">
        <v>19</v>
      </c>
      <c r="H292" s="4">
        <v>56559</v>
      </c>
      <c r="I292" s="6">
        <v>55084.750779178117</v>
      </c>
      <c r="J292" s="6">
        <f>表1[[#This Row],[销售金额]]-表1[[#This Row],[退款金额]]</f>
        <v>1474.2492208218828</v>
      </c>
      <c r="K292" s="1">
        <v>141</v>
      </c>
      <c r="L292" s="1">
        <v>288</v>
      </c>
    </row>
    <row r="293" spans="1:12" x14ac:dyDescent="0.3">
      <c r="A293" s="2">
        <v>45906</v>
      </c>
      <c r="B293" s="1" t="s">
        <v>11</v>
      </c>
      <c r="C293" s="1" t="s">
        <v>10</v>
      </c>
      <c r="D293" s="1" t="s">
        <v>7</v>
      </c>
      <c r="E293" s="1" t="s">
        <v>8</v>
      </c>
      <c r="F293" s="1" t="s">
        <v>9</v>
      </c>
      <c r="G293" s="4">
        <v>19</v>
      </c>
      <c r="H293" s="4">
        <v>55622</v>
      </c>
      <c r="I293" s="6">
        <v>55084.750779178117</v>
      </c>
      <c r="J293" s="6">
        <f>表1[[#This Row],[销售金额]]-表1[[#This Row],[退款金额]]</f>
        <v>537.24922082188277</v>
      </c>
      <c r="K293" s="1">
        <v>141</v>
      </c>
      <c r="L293" s="1">
        <v>288</v>
      </c>
    </row>
    <row r="294" spans="1:12" x14ac:dyDescent="0.3">
      <c r="A294" s="2">
        <v>45906</v>
      </c>
      <c r="B294" s="1" t="s">
        <v>11</v>
      </c>
      <c r="C294" s="1" t="s">
        <v>10</v>
      </c>
      <c r="D294" s="1" t="s">
        <v>7</v>
      </c>
      <c r="E294" s="1" t="s">
        <v>8</v>
      </c>
      <c r="F294" s="1" t="s">
        <v>9</v>
      </c>
      <c r="G294" s="4">
        <v>19</v>
      </c>
      <c r="H294" s="4">
        <v>59058</v>
      </c>
      <c r="I294" s="6">
        <v>55084.750779178117</v>
      </c>
      <c r="J294" s="6">
        <f>表1[[#This Row],[销售金额]]-表1[[#This Row],[退款金额]]</f>
        <v>3973.2492208218828</v>
      </c>
      <c r="K294" s="1">
        <v>141</v>
      </c>
      <c r="L294" s="1">
        <v>288</v>
      </c>
    </row>
    <row r="295" spans="1:12" x14ac:dyDescent="0.3">
      <c r="A295" s="2">
        <v>45906</v>
      </c>
      <c r="B295" s="1" t="s">
        <v>11</v>
      </c>
      <c r="C295" s="1" t="s">
        <v>10</v>
      </c>
      <c r="D295" s="1" t="s">
        <v>7</v>
      </c>
      <c r="E295" s="1" t="s">
        <v>8</v>
      </c>
      <c r="F295" s="1" t="s">
        <v>9</v>
      </c>
      <c r="G295" s="4">
        <v>19</v>
      </c>
      <c r="H295" s="4">
        <v>57966</v>
      </c>
      <c r="I295" s="6">
        <v>55084.750779178117</v>
      </c>
      <c r="J295" s="6">
        <f>表1[[#This Row],[销售金额]]-表1[[#This Row],[退款金额]]</f>
        <v>2881.2492208218828</v>
      </c>
      <c r="K295" s="1">
        <v>141</v>
      </c>
      <c r="L295" s="1">
        <v>288</v>
      </c>
    </row>
    <row r="296" spans="1:12" x14ac:dyDescent="0.3">
      <c r="A296" s="2">
        <v>45907</v>
      </c>
      <c r="B296" s="1" t="s">
        <v>11</v>
      </c>
      <c r="C296" s="1" t="s">
        <v>19</v>
      </c>
      <c r="D296" s="1" t="s">
        <v>218</v>
      </c>
      <c r="E296" s="1" t="s">
        <v>21</v>
      </c>
      <c r="F296" s="1" t="s">
        <v>22</v>
      </c>
      <c r="G296" s="4">
        <v>2</v>
      </c>
      <c r="H296" s="4">
        <v>1470</v>
      </c>
      <c r="I296" s="6">
        <v>372.34339476166872</v>
      </c>
      <c r="J296" s="6">
        <f>表1[[#This Row],[销售金额]]-表1[[#This Row],[退款金额]]</f>
        <v>1097.6566052383314</v>
      </c>
      <c r="K296" s="1">
        <v>43</v>
      </c>
      <c r="L296" s="1">
        <v>208</v>
      </c>
    </row>
    <row r="297" spans="1:12" x14ac:dyDescent="0.3">
      <c r="A297" s="2">
        <v>45907</v>
      </c>
      <c r="B297" s="1" t="s">
        <v>11</v>
      </c>
      <c r="C297" s="1" t="s">
        <v>19</v>
      </c>
      <c r="D297" s="1" t="s">
        <v>218</v>
      </c>
      <c r="E297" s="1" t="s">
        <v>21</v>
      </c>
      <c r="F297" s="1" t="s">
        <v>22</v>
      </c>
      <c r="G297" s="4">
        <v>2</v>
      </c>
      <c r="H297" s="4">
        <v>5269</v>
      </c>
      <c r="I297" s="6">
        <v>372.34339476166872</v>
      </c>
      <c r="J297" s="6">
        <f>表1[[#This Row],[销售金额]]-表1[[#This Row],[退款金额]]</f>
        <v>4896.6566052383314</v>
      </c>
      <c r="K297" s="1">
        <v>43</v>
      </c>
      <c r="L297" s="1">
        <v>208</v>
      </c>
    </row>
    <row r="298" spans="1:12" x14ac:dyDescent="0.3">
      <c r="A298" s="2">
        <v>45907</v>
      </c>
      <c r="B298" s="1" t="s">
        <v>11</v>
      </c>
      <c r="C298" s="1" t="s">
        <v>19</v>
      </c>
      <c r="D298" s="1" t="s">
        <v>218</v>
      </c>
      <c r="E298" s="1" t="s">
        <v>21</v>
      </c>
      <c r="F298" s="1" t="s">
        <v>22</v>
      </c>
      <c r="G298" s="4">
        <v>2</v>
      </c>
      <c r="H298" s="4">
        <v>2214</v>
      </c>
      <c r="I298" s="6">
        <v>372.34339476166872</v>
      </c>
      <c r="J298" s="6">
        <f>表1[[#This Row],[销售金额]]-表1[[#This Row],[退款金额]]</f>
        <v>1841.6566052383314</v>
      </c>
      <c r="K298" s="1">
        <v>43</v>
      </c>
      <c r="L298" s="1">
        <v>208</v>
      </c>
    </row>
    <row r="299" spans="1:12" x14ac:dyDescent="0.3">
      <c r="A299" s="2">
        <v>45907</v>
      </c>
      <c r="B299" s="1" t="s">
        <v>11</v>
      </c>
      <c r="C299" s="1" t="s">
        <v>19</v>
      </c>
      <c r="D299" s="1" t="s">
        <v>218</v>
      </c>
      <c r="E299" s="1" t="s">
        <v>21</v>
      </c>
      <c r="F299" s="1" t="s">
        <v>22</v>
      </c>
      <c r="G299" s="4">
        <v>2</v>
      </c>
      <c r="H299" s="4">
        <v>3997</v>
      </c>
      <c r="I299" s="6">
        <v>372.34339476166872</v>
      </c>
      <c r="J299" s="6">
        <f>表1[[#This Row],[销售金额]]-表1[[#This Row],[退款金额]]</f>
        <v>3624.6566052383314</v>
      </c>
      <c r="K299" s="1">
        <v>43</v>
      </c>
      <c r="L299" s="1">
        <v>208</v>
      </c>
    </row>
    <row r="300" spans="1:12" x14ac:dyDescent="0.3">
      <c r="A300" s="2">
        <v>45907</v>
      </c>
      <c r="B300" s="1" t="s">
        <v>11</v>
      </c>
      <c r="C300" s="1" t="s">
        <v>19</v>
      </c>
      <c r="D300" s="1" t="s">
        <v>218</v>
      </c>
      <c r="E300" s="1" t="s">
        <v>21</v>
      </c>
      <c r="F300" s="1" t="s">
        <v>22</v>
      </c>
      <c r="G300" s="4">
        <v>2</v>
      </c>
      <c r="H300" s="4">
        <v>3584</v>
      </c>
      <c r="I300" s="6">
        <v>372.34339476166872</v>
      </c>
      <c r="J300" s="6">
        <f>表1[[#This Row],[销售金额]]-表1[[#This Row],[退款金额]]</f>
        <v>3211.6566052383314</v>
      </c>
      <c r="K300" s="1">
        <v>43</v>
      </c>
      <c r="L300" s="1">
        <v>208</v>
      </c>
    </row>
    <row r="301" spans="1:12" x14ac:dyDescent="0.3">
      <c r="A301" s="2">
        <v>45907</v>
      </c>
      <c r="B301" s="1" t="s">
        <v>11</v>
      </c>
      <c r="C301" s="1" t="s">
        <v>19</v>
      </c>
      <c r="D301" s="1" t="s">
        <v>218</v>
      </c>
      <c r="E301" s="1" t="s">
        <v>21</v>
      </c>
      <c r="F301" s="1" t="s">
        <v>22</v>
      </c>
      <c r="G301" s="4">
        <v>2</v>
      </c>
      <c r="H301" s="4">
        <v>1855</v>
      </c>
      <c r="I301" s="6">
        <v>372.34339476166872</v>
      </c>
      <c r="J301" s="6">
        <f>表1[[#This Row],[销售金额]]-表1[[#This Row],[退款金额]]</f>
        <v>1482.6566052383314</v>
      </c>
      <c r="K301" s="1">
        <v>43</v>
      </c>
      <c r="L301" s="1">
        <v>208</v>
      </c>
    </row>
    <row r="302" spans="1:12" x14ac:dyDescent="0.3">
      <c r="A302" s="2">
        <v>45907</v>
      </c>
      <c r="B302" s="1" t="s">
        <v>11</v>
      </c>
      <c r="C302" s="1" t="s">
        <v>19</v>
      </c>
      <c r="D302" s="1" t="s">
        <v>218</v>
      </c>
      <c r="E302" s="1" t="s">
        <v>21</v>
      </c>
      <c r="F302" s="1" t="s">
        <v>22</v>
      </c>
      <c r="G302" s="4">
        <v>2</v>
      </c>
      <c r="H302" s="4">
        <v>892</v>
      </c>
      <c r="I302" s="6">
        <v>372.34339476166872</v>
      </c>
      <c r="J302" s="6">
        <f>表1[[#This Row],[销售金额]]-表1[[#This Row],[退款金额]]</f>
        <v>519.65660523833128</v>
      </c>
      <c r="K302" s="1">
        <v>43</v>
      </c>
      <c r="L302" s="1">
        <v>208</v>
      </c>
    </row>
    <row r="303" spans="1:12" x14ac:dyDescent="0.3">
      <c r="A303" s="2">
        <v>45907</v>
      </c>
      <c r="B303" s="1" t="s">
        <v>11</v>
      </c>
      <c r="C303" s="1" t="s">
        <v>19</v>
      </c>
      <c r="D303" s="1" t="s">
        <v>218</v>
      </c>
      <c r="E303" s="1" t="s">
        <v>21</v>
      </c>
      <c r="F303" s="1" t="s">
        <v>22</v>
      </c>
      <c r="G303" s="4">
        <v>2</v>
      </c>
      <c r="H303" s="4">
        <v>4166</v>
      </c>
      <c r="I303" s="6">
        <v>372.34339476166872</v>
      </c>
      <c r="J303" s="6">
        <f>表1[[#This Row],[销售金额]]-表1[[#This Row],[退款金额]]</f>
        <v>3793.6566052383314</v>
      </c>
      <c r="K303" s="1">
        <v>43</v>
      </c>
      <c r="L303" s="1">
        <v>208</v>
      </c>
    </row>
    <row r="304" spans="1:12" x14ac:dyDescent="0.3">
      <c r="A304" s="2">
        <v>45907</v>
      </c>
      <c r="B304" s="1" t="s">
        <v>11</v>
      </c>
      <c r="C304" s="1" t="s">
        <v>19</v>
      </c>
      <c r="D304" s="1" t="s">
        <v>218</v>
      </c>
      <c r="E304" s="1" t="s">
        <v>21</v>
      </c>
      <c r="F304" s="1" t="s">
        <v>22</v>
      </c>
      <c r="G304" s="4">
        <v>2</v>
      </c>
      <c r="H304" s="4">
        <v>5188</v>
      </c>
      <c r="I304" s="6">
        <v>372.34339476166872</v>
      </c>
      <c r="J304" s="6">
        <f>表1[[#This Row],[销售金额]]-表1[[#This Row],[退款金额]]</f>
        <v>4815.6566052383314</v>
      </c>
      <c r="K304" s="1">
        <v>43</v>
      </c>
      <c r="L304" s="1">
        <v>208</v>
      </c>
    </row>
    <row r="305" spans="1:12" x14ac:dyDescent="0.3">
      <c r="A305" s="2">
        <v>45907</v>
      </c>
      <c r="B305" s="1" t="s">
        <v>11</v>
      </c>
      <c r="C305" s="1" t="s">
        <v>32</v>
      </c>
      <c r="D305" s="1" t="s">
        <v>192</v>
      </c>
      <c r="E305" s="1" t="s">
        <v>38</v>
      </c>
      <c r="F305" s="1" t="s">
        <v>39</v>
      </c>
      <c r="G305" s="4">
        <v>4</v>
      </c>
      <c r="H305" s="4">
        <v>4143</v>
      </c>
      <c r="I305" s="6">
        <v>970.81676544952552</v>
      </c>
      <c r="J305" s="6">
        <f>表1[[#This Row],[销售金额]]-表1[[#This Row],[退款金额]]</f>
        <v>3172.1832345504745</v>
      </c>
      <c r="K305" s="1">
        <v>249</v>
      </c>
      <c r="L305" s="1">
        <v>42</v>
      </c>
    </row>
    <row r="306" spans="1:12" x14ac:dyDescent="0.3">
      <c r="A306" s="2">
        <v>45907</v>
      </c>
      <c r="B306" s="1" t="s">
        <v>11</v>
      </c>
      <c r="C306" s="1" t="s">
        <v>32</v>
      </c>
      <c r="D306" s="1" t="s">
        <v>192</v>
      </c>
      <c r="E306" s="1" t="s">
        <v>38</v>
      </c>
      <c r="F306" s="1" t="s">
        <v>39</v>
      </c>
      <c r="G306" s="4">
        <v>4</v>
      </c>
      <c r="H306" s="4">
        <v>1102</v>
      </c>
      <c r="I306" s="6">
        <v>970.81676544952552</v>
      </c>
      <c r="J306" s="6">
        <f>表1[[#This Row],[销售金额]]-表1[[#This Row],[退款金额]]</f>
        <v>131.18323455047448</v>
      </c>
      <c r="K306" s="1">
        <v>249</v>
      </c>
      <c r="L306" s="1">
        <v>42</v>
      </c>
    </row>
    <row r="307" spans="1:12" x14ac:dyDescent="0.3">
      <c r="A307" s="2">
        <v>45907</v>
      </c>
      <c r="B307" s="1" t="s">
        <v>11</v>
      </c>
      <c r="C307" s="1" t="s">
        <v>32</v>
      </c>
      <c r="D307" s="1" t="s">
        <v>192</v>
      </c>
      <c r="E307" s="1" t="s">
        <v>38</v>
      </c>
      <c r="F307" s="1" t="s">
        <v>39</v>
      </c>
      <c r="G307" s="4">
        <v>4</v>
      </c>
      <c r="H307" s="4">
        <v>3706</v>
      </c>
      <c r="I307" s="6">
        <v>970.81676544952552</v>
      </c>
      <c r="J307" s="6">
        <f>表1[[#This Row],[销售金额]]-表1[[#This Row],[退款金额]]</f>
        <v>2735.1832345504745</v>
      </c>
      <c r="K307" s="1">
        <v>249</v>
      </c>
      <c r="L307" s="1">
        <v>42</v>
      </c>
    </row>
    <row r="308" spans="1:12" x14ac:dyDescent="0.3">
      <c r="A308" s="2">
        <v>45907</v>
      </c>
      <c r="B308" s="1" t="s">
        <v>11</v>
      </c>
      <c r="C308" s="1" t="s">
        <v>32</v>
      </c>
      <c r="D308" s="1" t="s">
        <v>192</v>
      </c>
      <c r="E308" s="1" t="s">
        <v>38</v>
      </c>
      <c r="F308" s="1" t="s">
        <v>39</v>
      </c>
      <c r="G308" s="4">
        <v>4</v>
      </c>
      <c r="H308" s="4">
        <v>4279</v>
      </c>
      <c r="I308" s="6">
        <v>970.81676544952552</v>
      </c>
      <c r="J308" s="6">
        <f>表1[[#This Row],[销售金额]]-表1[[#This Row],[退款金额]]</f>
        <v>3308.1832345504745</v>
      </c>
      <c r="K308" s="1">
        <v>249</v>
      </c>
      <c r="L308" s="1">
        <v>42</v>
      </c>
    </row>
    <row r="309" spans="1:12" x14ac:dyDescent="0.3">
      <c r="A309" s="2">
        <v>45907</v>
      </c>
      <c r="B309" s="1" t="s">
        <v>11</v>
      </c>
      <c r="C309" s="1" t="s">
        <v>32</v>
      </c>
      <c r="D309" s="1" t="s">
        <v>192</v>
      </c>
      <c r="E309" s="1" t="s">
        <v>38</v>
      </c>
      <c r="F309" s="1" t="s">
        <v>39</v>
      </c>
      <c r="G309" s="4">
        <v>4</v>
      </c>
      <c r="H309" s="4">
        <v>5104</v>
      </c>
      <c r="I309" s="6">
        <v>970.81676544952552</v>
      </c>
      <c r="J309" s="6">
        <f>表1[[#This Row],[销售金额]]-表1[[#This Row],[退款金额]]</f>
        <v>4133.1832345504745</v>
      </c>
      <c r="K309" s="1">
        <v>249</v>
      </c>
      <c r="L309" s="1">
        <v>42</v>
      </c>
    </row>
    <row r="310" spans="1:12" x14ac:dyDescent="0.3">
      <c r="A310" s="2">
        <v>45907</v>
      </c>
      <c r="B310" s="1" t="s">
        <v>11</v>
      </c>
      <c r="C310" s="1" t="s">
        <v>32</v>
      </c>
      <c r="D310" s="1" t="s">
        <v>192</v>
      </c>
      <c r="E310" s="1" t="s">
        <v>38</v>
      </c>
      <c r="F310" s="1" t="s">
        <v>39</v>
      </c>
      <c r="G310" s="4">
        <v>4</v>
      </c>
      <c r="H310" s="4">
        <v>4301</v>
      </c>
      <c r="I310" s="6">
        <v>970.81676544952552</v>
      </c>
      <c r="J310" s="6">
        <f>表1[[#This Row],[销售金额]]-表1[[#This Row],[退款金额]]</f>
        <v>3330.1832345504745</v>
      </c>
      <c r="K310" s="1">
        <v>249</v>
      </c>
      <c r="L310" s="1">
        <v>42</v>
      </c>
    </row>
    <row r="311" spans="1:12" x14ac:dyDescent="0.3">
      <c r="A311" s="2">
        <v>45907</v>
      </c>
      <c r="B311" s="1" t="s">
        <v>11</v>
      </c>
      <c r="C311" s="1" t="s">
        <v>32</v>
      </c>
      <c r="D311" s="1" t="s">
        <v>192</v>
      </c>
      <c r="E311" s="1" t="s">
        <v>38</v>
      </c>
      <c r="F311" s="1" t="s">
        <v>39</v>
      </c>
      <c r="G311" s="4">
        <v>4</v>
      </c>
      <c r="H311" s="4">
        <v>1517</v>
      </c>
      <c r="I311" s="6">
        <v>970.81676544952552</v>
      </c>
      <c r="J311" s="6">
        <f>表1[[#This Row],[销售金额]]-表1[[#This Row],[退款金额]]</f>
        <v>546.18323455047448</v>
      </c>
      <c r="K311" s="1">
        <v>249</v>
      </c>
      <c r="L311" s="1">
        <v>42</v>
      </c>
    </row>
    <row r="312" spans="1:12" x14ac:dyDescent="0.3">
      <c r="A312" s="2">
        <v>45907</v>
      </c>
      <c r="B312" s="1" t="s">
        <v>11</v>
      </c>
      <c r="C312" s="1" t="s">
        <v>32</v>
      </c>
      <c r="D312" s="1" t="s">
        <v>192</v>
      </c>
      <c r="E312" s="1" t="s">
        <v>38</v>
      </c>
      <c r="F312" s="1" t="s">
        <v>39</v>
      </c>
      <c r="G312" s="4">
        <v>4</v>
      </c>
      <c r="H312" s="4">
        <v>4059</v>
      </c>
      <c r="I312" s="6">
        <v>970.81676544952552</v>
      </c>
      <c r="J312" s="6">
        <f>表1[[#This Row],[销售金额]]-表1[[#This Row],[退款金额]]</f>
        <v>3088.1832345504745</v>
      </c>
      <c r="K312" s="1">
        <v>249</v>
      </c>
      <c r="L312" s="1">
        <v>42</v>
      </c>
    </row>
    <row r="313" spans="1:12" x14ac:dyDescent="0.3">
      <c r="A313" s="2">
        <v>45907</v>
      </c>
      <c r="B313" s="1" t="s">
        <v>11</v>
      </c>
      <c r="C313" s="1" t="s">
        <v>32</v>
      </c>
      <c r="D313" s="1" t="s">
        <v>192</v>
      </c>
      <c r="E313" s="1" t="s">
        <v>38</v>
      </c>
      <c r="F313" s="1" t="s">
        <v>39</v>
      </c>
      <c r="G313" s="4">
        <v>4</v>
      </c>
      <c r="H313" s="4">
        <v>5955</v>
      </c>
      <c r="I313" s="6">
        <v>970.81676544952552</v>
      </c>
      <c r="J313" s="6">
        <f>表1[[#This Row],[销售金额]]-表1[[#This Row],[退款金额]]</f>
        <v>4984.1832345504745</v>
      </c>
      <c r="K313" s="1">
        <v>249</v>
      </c>
      <c r="L313" s="1">
        <v>42</v>
      </c>
    </row>
    <row r="314" spans="1:12" x14ac:dyDescent="0.3">
      <c r="A314" s="2">
        <v>45907</v>
      </c>
      <c r="B314" s="1" t="s">
        <v>25</v>
      </c>
      <c r="C314" s="1" t="s">
        <v>19</v>
      </c>
      <c r="D314" s="1" t="s">
        <v>114</v>
      </c>
      <c r="E314" s="1" t="s">
        <v>51</v>
      </c>
      <c r="F314" s="1" t="s">
        <v>52</v>
      </c>
      <c r="G314" s="4">
        <v>5</v>
      </c>
      <c r="H314" s="4">
        <v>7232</v>
      </c>
      <c r="I314" s="6">
        <v>2485.228338169245</v>
      </c>
      <c r="J314" s="6">
        <f>表1[[#This Row],[销售金额]]-表1[[#This Row],[退款金额]]</f>
        <v>4746.771661830755</v>
      </c>
      <c r="K314" s="1">
        <v>507</v>
      </c>
      <c r="L314" s="1">
        <v>265</v>
      </c>
    </row>
    <row r="315" spans="1:12" x14ac:dyDescent="0.3">
      <c r="A315" s="2">
        <v>45907</v>
      </c>
      <c r="B315" s="1" t="s">
        <v>25</v>
      </c>
      <c r="C315" s="1" t="s">
        <v>19</v>
      </c>
      <c r="D315" s="1" t="s">
        <v>114</v>
      </c>
      <c r="E315" s="1" t="s">
        <v>51</v>
      </c>
      <c r="F315" s="1" t="s">
        <v>52</v>
      </c>
      <c r="G315" s="4">
        <v>5</v>
      </c>
      <c r="H315" s="4">
        <v>6666</v>
      </c>
      <c r="I315" s="6">
        <v>2485.228338169245</v>
      </c>
      <c r="J315" s="6">
        <f>表1[[#This Row],[销售金额]]-表1[[#This Row],[退款金额]]</f>
        <v>4180.771661830755</v>
      </c>
      <c r="K315" s="1">
        <v>507</v>
      </c>
      <c r="L315" s="1">
        <v>265</v>
      </c>
    </row>
    <row r="316" spans="1:12" x14ac:dyDescent="0.3">
      <c r="A316" s="2">
        <v>45907</v>
      </c>
      <c r="B316" s="1" t="s">
        <v>25</v>
      </c>
      <c r="C316" s="1" t="s">
        <v>19</v>
      </c>
      <c r="D316" s="1" t="s">
        <v>114</v>
      </c>
      <c r="E316" s="1" t="s">
        <v>51</v>
      </c>
      <c r="F316" s="1" t="s">
        <v>52</v>
      </c>
      <c r="G316" s="4">
        <v>5</v>
      </c>
      <c r="H316" s="4">
        <v>3179</v>
      </c>
      <c r="I316" s="6">
        <v>2485.228338169245</v>
      </c>
      <c r="J316" s="6">
        <f>表1[[#This Row],[销售金额]]-表1[[#This Row],[退款金额]]</f>
        <v>693.77166183075497</v>
      </c>
      <c r="K316" s="1">
        <v>507</v>
      </c>
      <c r="L316" s="1">
        <v>265</v>
      </c>
    </row>
    <row r="317" spans="1:12" x14ac:dyDescent="0.3">
      <c r="A317" s="2">
        <v>45907</v>
      </c>
      <c r="B317" s="1" t="s">
        <v>25</v>
      </c>
      <c r="C317" s="1" t="s">
        <v>19</v>
      </c>
      <c r="D317" s="1" t="s">
        <v>114</v>
      </c>
      <c r="E317" s="1" t="s">
        <v>51</v>
      </c>
      <c r="F317" s="1" t="s">
        <v>52</v>
      </c>
      <c r="G317" s="4">
        <v>5</v>
      </c>
      <c r="H317" s="4">
        <v>5040</v>
      </c>
      <c r="I317" s="6">
        <v>2485.228338169245</v>
      </c>
      <c r="J317" s="6">
        <f>表1[[#This Row],[销售金额]]-表1[[#This Row],[退款金额]]</f>
        <v>2554.771661830755</v>
      </c>
      <c r="K317" s="1">
        <v>507</v>
      </c>
      <c r="L317" s="1">
        <v>265</v>
      </c>
    </row>
    <row r="318" spans="1:12" x14ac:dyDescent="0.3">
      <c r="A318" s="2">
        <v>45907</v>
      </c>
      <c r="B318" s="1" t="s">
        <v>25</v>
      </c>
      <c r="C318" s="1" t="s">
        <v>19</v>
      </c>
      <c r="D318" s="1" t="s">
        <v>114</v>
      </c>
      <c r="E318" s="1" t="s">
        <v>51</v>
      </c>
      <c r="F318" s="1" t="s">
        <v>52</v>
      </c>
      <c r="G318" s="4">
        <v>5</v>
      </c>
      <c r="H318" s="4">
        <v>7455</v>
      </c>
      <c r="I318" s="6">
        <v>2485.228338169245</v>
      </c>
      <c r="J318" s="6">
        <f>表1[[#This Row],[销售金额]]-表1[[#This Row],[退款金额]]</f>
        <v>4969.771661830755</v>
      </c>
      <c r="K318" s="1">
        <v>507</v>
      </c>
      <c r="L318" s="1">
        <v>265</v>
      </c>
    </row>
    <row r="319" spans="1:12" x14ac:dyDescent="0.3">
      <c r="A319" s="2">
        <v>45907</v>
      </c>
      <c r="B319" s="1" t="s">
        <v>25</v>
      </c>
      <c r="C319" s="1" t="s">
        <v>19</v>
      </c>
      <c r="D319" s="1" t="s">
        <v>114</v>
      </c>
      <c r="E319" s="1" t="s">
        <v>51</v>
      </c>
      <c r="F319" s="1" t="s">
        <v>52</v>
      </c>
      <c r="G319" s="4">
        <v>5</v>
      </c>
      <c r="H319" s="4">
        <v>5175</v>
      </c>
      <c r="I319" s="6">
        <v>2485.228338169245</v>
      </c>
      <c r="J319" s="6">
        <f>表1[[#This Row],[销售金额]]-表1[[#This Row],[退款金额]]</f>
        <v>2689.771661830755</v>
      </c>
      <c r="K319" s="1">
        <v>507</v>
      </c>
      <c r="L319" s="1">
        <v>265</v>
      </c>
    </row>
    <row r="320" spans="1:12" x14ac:dyDescent="0.3">
      <c r="A320" s="2">
        <v>45907</v>
      </c>
      <c r="B320" s="1" t="s">
        <v>25</v>
      </c>
      <c r="C320" s="1" t="s">
        <v>19</v>
      </c>
      <c r="D320" s="1" t="s">
        <v>114</v>
      </c>
      <c r="E320" s="1" t="s">
        <v>51</v>
      </c>
      <c r="F320" s="1" t="s">
        <v>52</v>
      </c>
      <c r="G320" s="4">
        <v>5</v>
      </c>
      <c r="H320" s="4">
        <v>5566</v>
      </c>
      <c r="I320" s="6">
        <v>2485.228338169245</v>
      </c>
      <c r="J320" s="6">
        <f>表1[[#This Row],[销售金额]]-表1[[#This Row],[退款金额]]</f>
        <v>3080.771661830755</v>
      </c>
      <c r="K320" s="1">
        <v>507</v>
      </c>
      <c r="L320" s="1">
        <v>265</v>
      </c>
    </row>
    <row r="321" spans="1:12" x14ac:dyDescent="0.3">
      <c r="A321" s="2">
        <v>45907</v>
      </c>
      <c r="B321" s="1" t="s">
        <v>25</v>
      </c>
      <c r="C321" s="1" t="s">
        <v>19</v>
      </c>
      <c r="D321" s="1" t="s">
        <v>114</v>
      </c>
      <c r="E321" s="1" t="s">
        <v>51</v>
      </c>
      <c r="F321" s="1" t="s">
        <v>52</v>
      </c>
      <c r="G321" s="4">
        <v>5</v>
      </c>
      <c r="H321" s="4">
        <v>6396</v>
      </c>
      <c r="I321" s="6">
        <v>2485.228338169245</v>
      </c>
      <c r="J321" s="6">
        <f>表1[[#This Row],[销售金额]]-表1[[#This Row],[退款金额]]</f>
        <v>3910.771661830755</v>
      </c>
      <c r="K321" s="1">
        <v>507</v>
      </c>
      <c r="L321" s="1">
        <v>265</v>
      </c>
    </row>
    <row r="322" spans="1:12" x14ac:dyDescent="0.3">
      <c r="A322" s="2">
        <v>45907</v>
      </c>
      <c r="B322" s="1" t="s">
        <v>25</v>
      </c>
      <c r="C322" s="1" t="s">
        <v>19</v>
      </c>
      <c r="D322" s="1" t="s">
        <v>114</v>
      </c>
      <c r="E322" s="1" t="s">
        <v>51</v>
      </c>
      <c r="F322" s="1" t="s">
        <v>52</v>
      </c>
      <c r="G322" s="4">
        <v>5</v>
      </c>
      <c r="H322" s="4">
        <v>2657</v>
      </c>
      <c r="I322" s="6">
        <v>2485.228338169245</v>
      </c>
      <c r="J322" s="6">
        <f>表1[[#This Row],[销售金额]]-表1[[#This Row],[退款金额]]</f>
        <v>171.77166183075497</v>
      </c>
      <c r="K322" s="1">
        <v>507</v>
      </c>
      <c r="L322" s="1">
        <v>265</v>
      </c>
    </row>
    <row r="323" spans="1:12" x14ac:dyDescent="0.3">
      <c r="A323" s="2">
        <v>45907</v>
      </c>
      <c r="B323" s="1" t="s">
        <v>250</v>
      </c>
      <c r="C323" s="1" t="s">
        <v>19</v>
      </c>
      <c r="D323" s="1" t="s">
        <v>208</v>
      </c>
      <c r="E323" s="1" t="s">
        <v>27</v>
      </c>
      <c r="F323" s="1" t="s">
        <v>28</v>
      </c>
      <c r="G323" s="4">
        <v>6</v>
      </c>
      <c r="H323" s="4">
        <v>5888</v>
      </c>
      <c r="I323" s="6">
        <v>1774.6624127281057</v>
      </c>
      <c r="J323" s="6">
        <f>表1[[#This Row],[销售金额]]-表1[[#This Row],[退款金额]]</f>
        <v>4113.3375872718943</v>
      </c>
      <c r="K323" s="1">
        <v>877</v>
      </c>
      <c r="L323" s="1">
        <v>875</v>
      </c>
    </row>
    <row r="324" spans="1:12" x14ac:dyDescent="0.3">
      <c r="A324" s="2">
        <v>45907</v>
      </c>
      <c r="B324" s="1" t="s">
        <v>250</v>
      </c>
      <c r="C324" s="1" t="s">
        <v>19</v>
      </c>
      <c r="D324" s="1" t="s">
        <v>208</v>
      </c>
      <c r="E324" s="1" t="s">
        <v>27</v>
      </c>
      <c r="F324" s="1" t="s">
        <v>28</v>
      </c>
      <c r="G324" s="4">
        <v>6</v>
      </c>
      <c r="H324" s="4">
        <v>5503</v>
      </c>
      <c r="I324" s="6">
        <v>1774.6624127281057</v>
      </c>
      <c r="J324" s="6">
        <f>表1[[#This Row],[销售金额]]-表1[[#This Row],[退款金额]]</f>
        <v>3728.3375872718943</v>
      </c>
      <c r="K324" s="1">
        <v>877</v>
      </c>
      <c r="L324" s="1">
        <v>875</v>
      </c>
    </row>
    <row r="325" spans="1:12" x14ac:dyDescent="0.3">
      <c r="A325" s="2">
        <v>45907</v>
      </c>
      <c r="B325" s="1" t="s">
        <v>250</v>
      </c>
      <c r="C325" s="1" t="s">
        <v>19</v>
      </c>
      <c r="D325" s="1" t="s">
        <v>208</v>
      </c>
      <c r="E325" s="1" t="s">
        <v>27</v>
      </c>
      <c r="F325" s="1" t="s">
        <v>28</v>
      </c>
      <c r="G325" s="4">
        <v>6</v>
      </c>
      <c r="H325" s="4">
        <v>4770</v>
      </c>
      <c r="I325" s="6">
        <v>1774.6624127281057</v>
      </c>
      <c r="J325" s="6">
        <f>表1[[#This Row],[销售金额]]-表1[[#This Row],[退款金额]]</f>
        <v>2995.3375872718943</v>
      </c>
      <c r="K325" s="1">
        <v>877</v>
      </c>
      <c r="L325" s="1">
        <v>875</v>
      </c>
    </row>
    <row r="326" spans="1:12" x14ac:dyDescent="0.3">
      <c r="A326" s="2">
        <v>45907</v>
      </c>
      <c r="B326" s="1" t="s">
        <v>250</v>
      </c>
      <c r="C326" s="1" t="s">
        <v>19</v>
      </c>
      <c r="D326" s="1" t="s">
        <v>208</v>
      </c>
      <c r="E326" s="1" t="s">
        <v>27</v>
      </c>
      <c r="F326" s="1" t="s">
        <v>28</v>
      </c>
      <c r="G326" s="4">
        <v>6</v>
      </c>
      <c r="H326" s="4">
        <v>3773</v>
      </c>
      <c r="I326" s="6">
        <v>1774.6624127281057</v>
      </c>
      <c r="J326" s="6">
        <f>表1[[#This Row],[销售金额]]-表1[[#This Row],[退款金额]]</f>
        <v>1998.3375872718943</v>
      </c>
      <c r="K326" s="1">
        <v>877</v>
      </c>
      <c r="L326" s="1">
        <v>875</v>
      </c>
    </row>
    <row r="327" spans="1:12" x14ac:dyDescent="0.3">
      <c r="A327" s="2">
        <v>45907</v>
      </c>
      <c r="B327" s="1" t="s">
        <v>250</v>
      </c>
      <c r="C327" s="1" t="s">
        <v>19</v>
      </c>
      <c r="D327" s="1" t="s">
        <v>208</v>
      </c>
      <c r="E327" s="1" t="s">
        <v>27</v>
      </c>
      <c r="F327" s="1" t="s">
        <v>28</v>
      </c>
      <c r="G327" s="4">
        <v>6</v>
      </c>
      <c r="H327" s="4">
        <v>6701</v>
      </c>
      <c r="I327" s="6">
        <v>1774.6624127281057</v>
      </c>
      <c r="J327" s="6">
        <f>表1[[#This Row],[销售金额]]-表1[[#This Row],[退款金额]]</f>
        <v>4926.3375872718943</v>
      </c>
      <c r="K327" s="1">
        <v>877</v>
      </c>
      <c r="L327" s="1">
        <v>875</v>
      </c>
    </row>
    <row r="328" spans="1:12" x14ac:dyDescent="0.3">
      <c r="A328" s="2">
        <v>45907</v>
      </c>
      <c r="B328" s="1" t="s">
        <v>250</v>
      </c>
      <c r="C328" s="1" t="s">
        <v>19</v>
      </c>
      <c r="D328" s="1" t="s">
        <v>208</v>
      </c>
      <c r="E328" s="1" t="s">
        <v>27</v>
      </c>
      <c r="F328" s="1" t="s">
        <v>28</v>
      </c>
      <c r="G328" s="4">
        <v>6</v>
      </c>
      <c r="H328" s="4">
        <v>2079</v>
      </c>
      <c r="I328" s="6">
        <v>1774.6624127281057</v>
      </c>
      <c r="J328" s="6">
        <f>表1[[#This Row],[销售金额]]-表1[[#This Row],[退款金额]]</f>
        <v>304.33758727189434</v>
      </c>
      <c r="K328" s="1">
        <v>877</v>
      </c>
      <c r="L328" s="1">
        <v>875</v>
      </c>
    </row>
    <row r="329" spans="1:12" x14ac:dyDescent="0.3">
      <c r="A329" s="2">
        <v>45907</v>
      </c>
      <c r="B329" s="1" t="s">
        <v>250</v>
      </c>
      <c r="C329" s="1" t="s">
        <v>19</v>
      </c>
      <c r="D329" s="1" t="s">
        <v>208</v>
      </c>
      <c r="E329" s="1" t="s">
        <v>27</v>
      </c>
      <c r="F329" s="1" t="s">
        <v>28</v>
      </c>
      <c r="G329" s="4">
        <v>6</v>
      </c>
      <c r="H329" s="4">
        <v>6007</v>
      </c>
      <c r="I329" s="6">
        <v>1774.6624127281057</v>
      </c>
      <c r="J329" s="6">
        <f>表1[[#This Row],[销售金额]]-表1[[#This Row],[退款金额]]</f>
        <v>4232.3375872718943</v>
      </c>
      <c r="K329" s="1">
        <v>877</v>
      </c>
      <c r="L329" s="1">
        <v>875</v>
      </c>
    </row>
    <row r="330" spans="1:12" x14ac:dyDescent="0.3">
      <c r="A330" s="2">
        <v>45907</v>
      </c>
      <c r="B330" s="1" t="s">
        <v>250</v>
      </c>
      <c r="C330" s="1" t="s">
        <v>19</v>
      </c>
      <c r="D330" s="1" t="s">
        <v>208</v>
      </c>
      <c r="E330" s="1" t="s">
        <v>27</v>
      </c>
      <c r="F330" s="1" t="s">
        <v>28</v>
      </c>
      <c r="G330" s="4">
        <v>6</v>
      </c>
      <c r="H330" s="4">
        <v>3389</v>
      </c>
      <c r="I330" s="6">
        <v>1774.6624127281057</v>
      </c>
      <c r="J330" s="6">
        <f>表1[[#This Row],[销售金额]]-表1[[#This Row],[退款金额]]</f>
        <v>1614.3375872718943</v>
      </c>
      <c r="K330" s="1">
        <v>877</v>
      </c>
      <c r="L330" s="1">
        <v>875</v>
      </c>
    </row>
    <row r="331" spans="1:12" x14ac:dyDescent="0.3">
      <c r="A331" s="2">
        <v>45907</v>
      </c>
      <c r="B331" s="1" t="s">
        <v>250</v>
      </c>
      <c r="C331" s="1" t="s">
        <v>19</v>
      </c>
      <c r="D331" s="1" t="s">
        <v>208</v>
      </c>
      <c r="E331" s="1" t="s">
        <v>27</v>
      </c>
      <c r="F331" s="1" t="s">
        <v>28</v>
      </c>
      <c r="G331" s="4">
        <v>6</v>
      </c>
      <c r="H331" s="4">
        <v>5248</v>
      </c>
      <c r="I331" s="6">
        <v>1774.6624127281057</v>
      </c>
      <c r="J331" s="6">
        <f>表1[[#This Row],[销售金额]]-表1[[#This Row],[退款金额]]</f>
        <v>3473.3375872718943</v>
      </c>
      <c r="K331" s="1">
        <v>877</v>
      </c>
      <c r="L331" s="1">
        <v>875</v>
      </c>
    </row>
    <row r="332" spans="1:12" x14ac:dyDescent="0.3">
      <c r="A332" s="2">
        <v>45907</v>
      </c>
      <c r="B332" s="1" t="s">
        <v>15</v>
      </c>
      <c r="C332" s="1" t="s">
        <v>19</v>
      </c>
      <c r="D332" s="1" t="s">
        <v>40</v>
      </c>
      <c r="E332" s="1" t="s">
        <v>21</v>
      </c>
      <c r="F332" s="1" t="s">
        <v>22</v>
      </c>
      <c r="G332" s="4">
        <v>8</v>
      </c>
      <c r="H332" s="4">
        <v>4837</v>
      </c>
      <c r="I332" s="6">
        <v>1717.1321717141084</v>
      </c>
      <c r="J332" s="6">
        <f>表1[[#This Row],[销售金额]]-表1[[#This Row],[退款金额]]</f>
        <v>3119.8678282858918</v>
      </c>
      <c r="K332" s="1">
        <v>291</v>
      </c>
      <c r="L332" s="1">
        <v>601</v>
      </c>
    </row>
    <row r="333" spans="1:12" x14ac:dyDescent="0.3">
      <c r="A333" s="2">
        <v>45907</v>
      </c>
      <c r="B333" s="1" t="s">
        <v>15</v>
      </c>
      <c r="C333" s="1" t="s">
        <v>19</v>
      </c>
      <c r="D333" s="1" t="s">
        <v>40</v>
      </c>
      <c r="E333" s="1" t="s">
        <v>21</v>
      </c>
      <c r="F333" s="1" t="s">
        <v>22</v>
      </c>
      <c r="G333" s="4">
        <v>8</v>
      </c>
      <c r="H333" s="4">
        <v>4119</v>
      </c>
      <c r="I333" s="6">
        <v>1717.1321717141084</v>
      </c>
      <c r="J333" s="6">
        <f>表1[[#This Row],[销售金额]]-表1[[#This Row],[退款金额]]</f>
        <v>2401.8678282858918</v>
      </c>
      <c r="K333" s="1">
        <v>291</v>
      </c>
      <c r="L333" s="1">
        <v>601</v>
      </c>
    </row>
    <row r="334" spans="1:12" x14ac:dyDescent="0.3">
      <c r="A334" s="2">
        <v>45907</v>
      </c>
      <c r="B334" s="1" t="s">
        <v>15</v>
      </c>
      <c r="C334" s="1" t="s">
        <v>19</v>
      </c>
      <c r="D334" s="1" t="s">
        <v>40</v>
      </c>
      <c r="E334" s="1" t="s">
        <v>21</v>
      </c>
      <c r="F334" s="1" t="s">
        <v>22</v>
      </c>
      <c r="G334" s="4">
        <v>8</v>
      </c>
      <c r="H334" s="4">
        <v>5474</v>
      </c>
      <c r="I334" s="6">
        <v>1717.1321717141084</v>
      </c>
      <c r="J334" s="6">
        <f>表1[[#This Row],[销售金额]]-表1[[#This Row],[退款金额]]</f>
        <v>3756.8678282858918</v>
      </c>
      <c r="K334" s="1">
        <v>291</v>
      </c>
      <c r="L334" s="1">
        <v>601</v>
      </c>
    </row>
    <row r="335" spans="1:12" x14ac:dyDescent="0.3">
      <c r="A335" s="2">
        <v>45907</v>
      </c>
      <c r="B335" s="1" t="s">
        <v>15</v>
      </c>
      <c r="C335" s="1" t="s">
        <v>19</v>
      </c>
      <c r="D335" s="1" t="s">
        <v>40</v>
      </c>
      <c r="E335" s="1" t="s">
        <v>21</v>
      </c>
      <c r="F335" s="1" t="s">
        <v>22</v>
      </c>
      <c r="G335" s="4">
        <v>8</v>
      </c>
      <c r="H335" s="4">
        <v>2634</v>
      </c>
      <c r="I335" s="6">
        <v>1717.1321717141084</v>
      </c>
      <c r="J335" s="6">
        <f>表1[[#This Row],[销售金额]]-表1[[#This Row],[退款金额]]</f>
        <v>916.86782828589162</v>
      </c>
      <c r="K335" s="1">
        <v>291</v>
      </c>
      <c r="L335" s="1">
        <v>601</v>
      </c>
    </row>
    <row r="336" spans="1:12" x14ac:dyDescent="0.3">
      <c r="A336" s="2">
        <v>45907</v>
      </c>
      <c r="B336" s="1" t="s">
        <v>15</v>
      </c>
      <c r="C336" s="1" t="s">
        <v>19</v>
      </c>
      <c r="D336" s="1" t="s">
        <v>40</v>
      </c>
      <c r="E336" s="1" t="s">
        <v>21</v>
      </c>
      <c r="F336" s="1" t="s">
        <v>22</v>
      </c>
      <c r="G336" s="4">
        <v>8</v>
      </c>
      <c r="H336" s="4">
        <v>5865</v>
      </c>
      <c r="I336" s="6">
        <v>1717.1321717141084</v>
      </c>
      <c r="J336" s="6">
        <f>表1[[#This Row],[销售金额]]-表1[[#This Row],[退款金额]]</f>
        <v>4147.8678282858918</v>
      </c>
      <c r="K336" s="1">
        <v>291</v>
      </c>
      <c r="L336" s="1">
        <v>601</v>
      </c>
    </row>
    <row r="337" spans="1:12" x14ac:dyDescent="0.3">
      <c r="A337" s="2">
        <v>45907</v>
      </c>
      <c r="B337" s="1" t="s">
        <v>15</v>
      </c>
      <c r="C337" s="1" t="s">
        <v>19</v>
      </c>
      <c r="D337" s="1" t="s">
        <v>40</v>
      </c>
      <c r="E337" s="1" t="s">
        <v>21</v>
      </c>
      <c r="F337" s="1" t="s">
        <v>22</v>
      </c>
      <c r="G337" s="4">
        <v>8</v>
      </c>
      <c r="H337" s="4">
        <v>1870</v>
      </c>
      <c r="I337" s="6">
        <v>1717.1321717141084</v>
      </c>
      <c r="J337" s="6">
        <f>表1[[#This Row],[销售金额]]-表1[[#This Row],[退款金额]]</f>
        <v>152.86782828589162</v>
      </c>
      <c r="K337" s="1">
        <v>291</v>
      </c>
      <c r="L337" s="1">
        <v>601</v>
      </c>
    </row>
    <row r="338" spans="1:12" x14ac:dyDescent="0.3">
      <c r="A338" s="2">
        <v>45907</v>
      </c>
      <c r="B338" s="1" t="s">
        <v>15</v>
      </c>
      <c r="C338" s="1" t="s">
        <v>19</v>
      </c>
      <c r="D338" s="1" t="s">
        <v>40</v>
      </c>
      <c r="E338" s="1" t="s">
        <v>21</v>
      </c>
      <c r="F338" s="1" t="s">
        <v>22</v>
      </c>
      <c r="G338" s="4">
        <v>8</v>
      </c>
      <c r="H338" s="4">
        <v>5339</v>
      </c>
      <c r="I338" s="6">
        <v>1717.1321717141084</v>
      </c>
      <c r="J338" s="6">
        <f>表1[[#This Row],[销售金额]]-表1[[#This Row],[退款金额]]</f>
        <v>3621.8678282858918</v>
      </c>
      <c r="K338" s="1">
        <v>291</v>
      </c>
      <c r="L338" s="1">
        <v>601</v>
      </c>
    </row>
    <row r="339" spans="1:12" x14ac:dyDescent="0.3">
      <c r="A339" s="2">
        <v>45907</v>
      </c>
      <c r="B339" s="1" t="s">
        <v>15</v>
      </c>
      <c r="C339" s="1" t="s">
        <v>19</v>
      </c>
      <c r="D339" s="1" t="s">
        <v>40</v>
      </c>
      <c r="E339" s="1" t="s">
        <v>21</v>
      </c>
      <c r="F339" s="1" t="s">
        <v>22</v>
      </c>
      <c r="G339" s="4">
        <v>8</v>
      </c>
      <c r="H339" s="4">
        <v>2004</v>
      </c>
      <c r="I339" s="6">
        <v>1717.1321717141084</v>
      </c>
      <c r="J339" s="6">
        <f>表1[[#This Row],[销售金额]]-表1[[#This Row],[退款金额]]</f>
        <v>286.86782828589162</v>
      </c>
      <c r="K339" s="1">
        <v>291</v>
      </c>
      <c r="L339" s="1">
        <v>601</v>
      </c>
    </row>
    <row r="340" spans="1:12" x14ac:dyDescent="0.3">
      <c r="A340" s="2">
        <v>45907</v>
      </c>
      <c r="B340" s="1" t="s">
        <v>247</v>
      </c>
      <c r="C340" s="1" t="s">
        <v>32</v>
      </c>
      <c r="D340" s="1" t="s">
        <v>37</v>
      </c>
      <c r="E340" s="1" t="s">
        <v>38</v>
      </c>
      <c r="F340" s="1" t="s">
        <v>39</v>
      </c>
      <c r="G340" s="4">
        <v>11</v>
      </c>
      <c r="H340" s="4">
        <v>7412</v>
      </c>
      <c r="I340" s="6">
        <v>5649.8637332324897</v>
      </c>
      <c r="J340" s="6">
        <f>表1[[#This Row],[销售金额]]-表1[[#This Row],[退款金额]]</f>
        <v>1762.1362667675103</v>
      </c>
      <c r="K340" s="1">
        <v>278</v>
      </c>
      <c r="L340" s="1">
        <v>759</v>
      </c>
    </row>
    <row r="341" spans="1:12" x14ac:dyDescent="0.3">
      <c r="A341" s="2">
        <v>45907</v>
      </c>
      <c r="B341" s="1" t="s">
        <v>247</v>
      </c>
      <c r="C341" s="1" t="s">
        <v>32</v>
      </c>
      <c r="D341" s="1" t="s">
        <v>37</v>
      </c>
      <c r="E341" s="1" t="s">
        <v>38</v>
      </c>
      <c r="F341" s="1" t="s">
        <v>39</v>
      </c>
      <c r="G341" s="4">
        <v>11</v>
      </c>
      <c r="H341" s="4">
        <v>8813</v>
      </c>
      <c r="I341" s="6">
        <v>5649.8637332324897</v>
      </c>
      <c r="J341" s="6">
        <f>表1[[#This Row],[销售金额]]-表1[[#This Row],[退款金额]]</f>
        <v>3163.1362667675103</v>
      </c>
      <c r="K341" s="1">
        <v>278</v>
      </c>
      <c r="L341" s="1">
        <v>759</v>
      </c>
    </row>
    <row r="342" spans="1:12" x14ac:dyDescent="0.3">
      <c r="A342" s="2">
        <v>45907</v>
      </c>
      <c r="B342" s="1" t="s">
        <v>247</v>
      </c>
      <c r="C342" s="1" t="s">
        <v>32</v>
      </c>
      <c r="D342" s="1" t="s">
        <v>37</v>
      </c>
      <c r="E342" s="1" t="s">
        <v>38</v>
      </c>
      <c r="F342" s="1" t="s">
        <v>39</v>
      </c>
      <c r="G342" s="4">
        <v>11</v>
      </c>
      <c r="H342" s="4">
        <v>6031</v>
      </c>
      <c r="I342" s="6">
        <v>5649.8637332324897</v>
      </c>
      <c r="J342" s="6">
        <f>表1[[#This Row],[销售金额]]-表1[[#This Row],[退款金额]]</f>
        <v>381.13626676751028</v>
      </c>
      <c r="K342" s="1">
        <v>278</v>
      </c>
      <c r="L342" s="1">
        <v>759</v>
      </c>
    </row>
    <row r="343" spans="1:12" x14ac:dyDescent="0.3">
      <c r="A343" s="2">
        <v>45907</v>
      </c>
      <c r="B343" s="1" t="s">
        <v>247</v>
      </c>
      <c r="C343" s="1" t="s">
        <v>32</v>
      </c>
      <c r="D343" s="1" t="s">
        <v>37</v>
      </c>
      <c r="E343" s="1" t="s">
        <v>38</v>
      </c>
      <c r="F343" s="1" t="s">
        <v>39</v>
      </c>
      <c r="G343" s="4">
        <v>11</v>
      </c>
      <c r="H343" s="4">
        <v>8207</v>
      </c>
      <c r="I343" s="6">
        <v>5649.8637332324897</v>
      </c>
      <c r="J343" s="6">
        <f>表1[[#This Row],[销售金额]]-表1[[#This Row],[退款金额]]</f>
        <v>2557.1362667675103</v>
      </c>
      <c r="K343" s="1">
        <v>278</v>
      </c>
      <c r="L343" s="1">
        <v>759</v>
      </c>
    </row>
    <row r="344" spans="1:12" x14ac:dyDescent="0.3">
      <c r="A344" s="2">
        <v>45907</v>
      </c>
      <c r="B344" s="1" t="s">
        <v>247</v>
      </c>
      <c r="C344" s="1" t="s">
        <v>32</v>
      </c>
      <c r="D344" s="1" t="s">
        <v>37</v>
      </c>
      <c r="E344" s="1" t="s">
        <v>38</v>
      </c>
      <c r="F344" s="1" t="s">
        <v>39</v>
      </c>
      <c r="G344" s="4">
        <v>11</v>
      </c>
      <c r="H344" s="4">
        <v>10447</v>
      </c>
      <c r="I344" s="6">
        <v>5649.8637332324897</v>
      </c>
      <c r="J344" s="6">
        <f>表1[[#This Row],[销售金额]]-表1[[#This Row],[退款金额]]</f>
        <v>4797.1362667675103</v>
      </c>
      <c r="K344" s="1">
        <v>278</v>
      </c>
      <c r="L344" s="1">
        <v>759</v>
      </c>
    </row>
    <row r="345" spans="1:12" x14ac:dyDescent="0.3">
      <c r="A345" s="2">
        <v>45907</v>
      </c>
      <c r="B345" s="1" t="s">
        <v>247</v>
      </c>
      <c r="C345" s="1" t="s">
        <v>32</v>
      </c>
      <c r="D345" s="1" t="s">
        <v>37</v>
      </c>
      <c r="E345" s="1" t="s">
        <v>38</v>
      </c>
      <c r="F345" s="1" t="s">
        <v>39</v>
      </c>
      <c r="G345" s="4">
        <v>11</v>
      </c>
      <c r="H345" s="4">
        <v>6127</v>
      </c>
      <c r="I345" s="6">
        <v>5649.8637332324897</v>
      </c>
      <c r="J345" s="6">
        <f>表1[[#This Row],[销售金额]]-表1[[#This Row],[退款金额]]</f>
        <v>477.13626676751028</v>
      </c>
      <c r="K345" s="1">
        <v>278</v>
      </c>
      <c r="L345" s="1">
        <v>759</v>
      </c>
    </row>
    <row r="346" spans="1:12" x14ac:dyDescent="0.3">
      <c r="A346" s="2">
        <v>45907</v>
      </c>
      <c r="B346" s="1" t="s">
        <v>247</v>
      </c>
      <c r="C346" s="1" t="s">
        <v>32</v>
      </c>
      <c r="D346" s="1" t="s">
        <v>37</v>
      </c>
      <c r="E346" s="1" t="s">
        <v>38</v>
      </c>
      <c r="F346" s="1" t="s">
        <v>39</v>
      </c>
      <c r="G346" s="4">
        <v>11</v>
      </c>
      <c r="H346" s="4">
        <v>7986</v>
      </c>
      <c r="I346" s="6">
        <v>5649.8637332324897</v>
      </c>
      <c r="J346" s="6">
        <f>表1[[#This Row],[销售金额]]-表1[[#This Row],[退款金额]]</f>
        <v>2336.1362667675103</v>
      </c>
      <c r="K346" s="1">
        <v>278</v>
      </c>
      <c r="L346" s="1">
        <v>759</v>
      </c>
    </row>
    <row r="347" spans="1:12" x14ac:dyDescent="0.3">
      <c r="A347" s="2">
        <v>45907</v>
      </c>
      <c r="B347" s="1" t="s">
        <v>247</v>
      </c>
      <c r="C347" s="1" t="s">
        <v>32</v>
      </c>
      <c r="D347" s="1" t="s">
        <v>37</v>
      </c>
      <c r="E347" s="1" t="s">
        <v>38</v>
      </c>
      <c r="F347" s="1" t="s">
        <v>39</v>
      </c>
      <c r="G347" s="4">
        <v>11</v>
      </c>
      <c r="H347" s="4">
        <v>10079</v>
      </c>
      <c r="I347" s="6">
        <v>5649.8637332324897</v>
      </c>
      <c r="J347" s="6">
        <f>表1[[#This Row],[销售金额]]-表1[[#This Row],[退款金额]]</f>
        <v>4429.1362667675103</v>
      </c>
      <c r="K347" s="1">
        <v>278</v>
      </c>
      <c r="L347" s="1">
        <v>759</v>
      </c>
    </row>
    <row r="348" spans="1:12" x14ac:dyDescent="0.3">
      <c r="A348" s="2">
        <v>45907</v>
      </c>
      <c r="B348" s="1" t="s">
        <v>25</v>
      </c>
      <c r="C348" s="1" t="s">
        <v>10</v>
      </c>
      <c r="D348" s="1" t="s">
        <v>140</v>
      </c>
      <c r="E348" s="1" t="s">
        <v>13</v>
      </c>
      <c r="F348" s="1" t="s">
        <v>14</v>
      </c>
      <c r="G348" s="4">
        <v>12</v>
      </c>
      <c r="H348" s="4">
        <v>32661</v>
      </c>
      <c r="I348" s="6">
        <v>29449.303375445023</v>
      </c>
      <c r="J348" s="6">
        <f>表1[[#This Row],[销售金额]]-表1[[#This Row],[退款金额]]</f>
        <v>3211.6966245549775</v>
      </c>
      <c r="K348" s="1">
        <v>906</v>
      </c>
      <c r="L348" s="1">
        <v>729</v>
      </c>
    </row>
    <row r="349" spans="1:12" x14ac:dyDescent="0.3">
      <c r="A349" s="2">
        <v>45907</v>
      </c>
      <c r="B349" s="1" t="s">
        <v>25</v>
      </c>
      <c r="C349" s="1" t="s">
        <v>10</v>
      </c>
      <c r="D349" s="1" t="s">
        <v>140</v>
      </c>
      <c r="E349" s="1" t="s">
        <v>13</v>
      </c>
      <c r="F349" s="1" t="s">
        <v>14</v>
      </c>
      <c r="G349" s="4">
        <v>12</v>
      </c>
      <c r="H349" s="4">
        <v>31776</v>
      </c>
      <c r="I349" s="6">
        <v>29449.303375445023</v>
      </c>
      <c r="J349" s="6">
        <f>表1[[#This Row],[销售金额]]-表1[[#This Row],[退款金额]]</f>
        <v>2326.6966245549775</v>
      </c>
      <c r="K349" s="1">
        <v>906</v>
      </c>
      <c r="L349" s="1">
        <v>729</v>
      </c>
    </row>
    <row r="350" spans="1:12" x14ac:dyDescent="0.3">
      <c r="A350" s="2">
        <v>45907</v>
      </c>
      <c r="B350" s="1" t="s">
        <v>25</v>
      </c>
      <c r="C350" s="1" t="s">
        <v>10</v>
      </c>
      <c r="D350" s="1" t="s">
        <v>140</v>
      </c>
      <c r="E350" s="1" t="s">
        <v>13</v>
      </c>
      <c r="F350" s="1" t="s">
        <v>14</v>
      </c>
      <c r="G350" s="4">
        <v>12</v>
      </c>
      <c r="H350" s="4">
        <v>33223</v>
      </c>
      <c r="I350" s="6">
        <v>29449.303375445023</v>
      </c>
      <c r="J350" s="6">
        <f>表1[[#This Row],[销售金额]]-表1[[#This Row],[退款金额]]</f>
        <v>3773.6966245549775</v>
      </c>
      <c r="K350" s="1">
        <v>906</v>
      </c>
      <c r="L350" s="1">
        <v>729</v>
      </c>
    </row>
    <row r="351" spans="1:12" x14ac:dyDescent="0.3">
      <c r="A351" s="2">
        <v>45907</v>
      </c>
      <c r="B351" s="1" t="s">
        <v>25</v>
      </c>
      <c r="C351" s="1" t="s">
        <v>10</v>
      </c>
      <c r="D351" s="1" t="s">
        <v>140</v>
      </c>
      <c r="E351" s="1" t="s">
        <v>13</v>
      </c>
      <c r="F351" s="1" t="s">
        <v>14</v>
      </c>
      <c r="G351" s="4">
        <v>12</v>
      </c>
      <c r="H351" s="4">
        <v>31231</v>
      </c>
      <c r="I351" s="6">
        <v>29449.303375445023</v>
      </c>
      <c r="J351" s="6">
        <f>表1[[#This Row],[销售金额]]-表1[[#This Row],[退款金额]]</f>
        <v>1781.6966245549775</v>
      </c>
      <c r="K351" s="1">
        <v>906</v>
      </c>
      <c r="L351" s="1">
        <v>729</v>
      </c>
    </row>
    <row r="352" spans="1:12" x14ac:dyDescent="0.3">
      <c r="A352" s="2">
        <v>45907</v>
      </c>
      <c r="B352" s="1" t="s">
        <v>25</v>
      </c>
      <c r="C352" s="1" t="s">
        <v>10</v>
      </c>
      <c r="D352" s="1" t="s">
        <v>140</v>
      </c>
      <c r="E352" s="1" t="s">
        <v>13</v>
      </c>
      <c r="F352" s="1" t="s">
        <v>14</v>
      </c>
      <c r="G352" s="4">
        <v>12</v>
      </c>
      <c r="H352" s="4">
        <v>29801</v>
      </c>
      <c r="I352" s="6">
        <v>29449.303375445023</v>
      </c>
      <c r="J352" s="6">
        <f>表1[[#This Row],[销售金额]]-表1[[#This Row],[退款金额]]</f>
        <v>351.69662455497746</v>
      </c>
      <c r="K352" s="1">
        <v>906</v>
      </c>
      <c r="L352" s="1">
        <v>729</v>
      </c>
    </row>
    <row r="353" spans="1:12" x14ac:dyDescent="0.3">
      <c r="A353" s="2">
        <v>45907</v>
      </c>
      <c r="B353" s="1" t="s">
        <v>25</v>
      </c>
      <c r="C353" s="1" t="s">
        <v>10</v>
      </c>
      <c r="D353" s="1" t="s">
        <v>140</v>
      </c>
      <c r="E353" s="1" t="s">
        <v>13</v>
      </c>
      <c r="F353" s="1" t="s">
        <v>14</v>
      </c>
      <c r="G353" s="4">
        <v>12</v>
      </c>
      <c r="H353" s="4">
        <v>30774</v>
      </c>
      <c r="I353" s="6">
        <v>29449.303375445023</v>
      </c>
      <c r="J353" s="6">
        <f>表1[[#This Row],[销售金额]]-表1[[#This Row],[退款金额]]</f>
        <v>1324.6966245549775</v>
      </c>
      <c r="K353" s="1">
        <v>906</v>
      </c>
      <c r="L353" s="1">
        <v>729</v>
      </c>
    </row>
    <row r="354" spans="1:12" x14ac:dyDescent="0.3">
      <c r="A354" s="2">
        <v>45907</v>
      </c>
      <c r="B354" s="1" t="s">
        <v>25</v>
      </c>
      <c r="C354" s="1" t="s">
        <v>10</v>
      </c>
      <c r="D354" s="1" t="s">
        <v>140</v>
      </c>
      <c r="E354" s="1" t="s">
        <v>13</v>
      </c>
      <c r="F354" s="1" t="s">
        <v>14</v>
      </c>
      <c r="G354" s="4">
        <v>12</v>
      </c>
      <c r="H354" s="4">
        <v>33852</v>
      </c>
      <c r="I354" s="6">
        <v>29449.303375445023</v>
      </c>
      <c r="J354" s="6">
        <f>表1[[#This Row],[销售金额]]-表1[[#This Row],[退款金额]]</f>
        <v>4402.6966245549775</v>
      </c>
      <c r="K354" s="1">
        <v>906</v>
      </c>
      <c r="L354" s="1">
        <v>729</v>
      </c>
    </row>
    <row r="355" spans="1:12" x14ac:dyDescent="0.3">
      <c r="A355" s="2">
        <v>45907</v>
      </c>
      <c r="B355" s="1" t="s">
        <v>25</v>
      </c>
      <c r="C355" s="1" t="s">
        <v>10</v>
      </c>
      <c r="D355" s="1" t="s">
        <v>140</v>
      </c>
      <c r="E355" s="1" t="s">
        <v>13</v>
      </c>
      <c r="F355" s="1" t="s">
        <v>14</v>
      </c>
      <c r="G355" s="4">
        <v>12</v>
      </c>
      <c r="H355" s="4">
        <v>31684</v>
      </c>
      <c r="I355" s="6">
        <v>29449.303375445023</v>
      </c>
      <c r="J355" s="6">
        <f>表1[[#This Row],[销售金额]]-表1[[#This Row],[退款金额]]</f>
        <v>2234.6966245549775</v>
      </c>
      <c r="K355" s="1">
        <v>906</v>
      </c>
      <c r="L355" s="1">
        <v>729</v>
      </c>
    </row>
    <row r="356" spans="1:12" x14ac:dyDescent="0.3">
      <c r="A356" s="2">
        <v>45907</v>
      </c>
      <c r="B356" s="1" t="s">
        <v>25</v>
      </c>
      <c r="C356" s="1" t="s">
        <v>10</v>
      </c>
      <c r="D356" s="1" t="s">
        <v>140</v>
      </c>
      <c r="E356" s="1" t="s">
        <v>13</v>
      </c>
      <c r="F356" s="1" t="s">
        <v>14</v>
      </c>
      <c r="G356" s="4">
        <v>12</v>
      </c>
      <c r="H356" s="4">
        <v>30552</v>
      </c>
      <c r="I356" s="6">
        <v>29449.303375445023</v>
      </c>
      <c r="J356" s="6">
        <f>表1[[#This Row],[销售金额]]-表1[[#This Row],[退款金额]]</f>
        <v>1102.6966245549775</v>
      </c>
      <c r="K356" s="1">
        <v>906</v>
      </c>
      <c r="L356" s="1">
        <v>729</v>
      </c>
    </row>
    <row r="357" spans="1:12" x14ac:dyDescent="0.3">
      <c r="A357" s="2">
        <v>45907</v>
      </c>
      <c r="B357" s="1" t="s">
        <v>247</v>
      </c>
      <c r="C357" s="1" t="s">
        <v>10</v>
      </c>
      <c r="D357" s="1" t="s">
        <v>141</v>
      </c>
      <c r="E357" s="1" t="s">
        <v>13</v>
      </c>
      <c r="F357" s="1" t="s">
        <v>14</v>
      </c>
      <c r="G357" s="4">
        <v>19</v>
      </c>
      <c r="H357" s="4">
        <v>67555</v>
      </c>
      <c r="I357" s="6">
        <v>64059.219828551322</v>
      </c>
      <c r="J357" s="6">
        <f>表1[[#This Row],[销售金额]]-表1[[#This Row],[退款金额]]</f>
        <v>3495.7801714486777</v>
      </c>
      <c r="K357" s="1">
        <v>925</v>
      </c>
      <c r="L357" s="1">
        <v>70</v>
      </c>
    </row>
    <row r="358" spans="1:12" x14ac:dyDescent="0.3">
      <c r="A358" s="2">
        <v>45907</v>
      </c>
      <c r="B358" s="1" t="s">
        <v>247</v>
      </c>
      <c r="C358" s="1" t="s">
        <v>10</v>
      </c>
      <c r="D358" s="1" t="s">
        <v>141</v>
      </c>
      <c r="E358" s="1" t="s">
        <v>13</v>
      </c>
      <c r="F358" s="1" t="s">
        <v>14</v>
      </c>
      <c r="G358" s="4">
        <v>19</v>
      </c>
      <c r="H358" s="4">
        <v>65780</v>
      </c>
      <c r="I358" s="6">
        <v>64059.219828551322</v>
      </c>
      <c r="J358" s="6">
        <f>表1[[#This Row],[销售金额]]-表1[[#This Row],[退款金额]]</f>
        <v>1720.7801714486777</v>
      </c>
      <c r="K358" s="1">
        <v>925</v>
      </c>
      <c r="L358" s="1">
        <v>70</v>
      </c>
    </row>
    <row r="359" spans="1:12" x14ac:dyDescent="0.3">
      <c r="A359" s="2">
        <v>45907</v>
      </c>
      <c r="B359" s="1" t="s">
        <v>247</v>
      </c>
      <c r="C359" s="1" t="s">
        <v>10</v>
      </c>
      <c r="D359" s="1" t="s">
        <v>141</v>
      </c>
      <c r="E359" s="1" t="s">
        <v>13</v>
      </c>
      <c r="F359" s="1" t="s">
        <v>14</v>
      </c>
      <c r="G359" s="4">
        <v>19</v>
      </c>
      <c r="H359" s="4">
        <v>67517</v>
      </c>
      <c r="I359" s="6">
        <v>64059.219828551322</v>
      </c>
      <c r="J359" s="6">
        <f>表1[[#This Row],[销售金额]]-表1[[#This Row],[退款金额]]</f>
        <v>3457.7801714486777</v>
      </c>
      <c r="K359" s="1">
        <v>925</v>
      </c>
      <c r="L359" s="1">
        <v>70</v>
      </c>
    </row>
    <row r="360" spans="1:12" x14ac:dyDescent="0.3">
      <c r="A360" s="2">
        <v>45907</v>
      </c>
      <c r="B360" s="1" t="s">
        <v>247</v>
      </c>
      <c r="C360" s="1" t="s">
        <v>10</v>
      </c>
      <c r="D360" s="1" t="s">
        <v>141</v>
      </c>
      <c r="E360" s="1" t="s">
        <v>13</v>
      </c>
      <c r="F360" s="1" t="s">
        <v>14</v>
      </c>
      <c r="G360" s="4">
        <v>19</v>
      </c>
      <c r="H360" s="4">
        <v>65516</v>
      </c>
      <c r="I360" s="6">
        <v>64059.219828551322</v>
      </c>
      <c r="J360" s="6">
        <f>表1[[#This Row],[销售金额]]-表1[[#This Row],[退款金额]]</f>
        <v>1456.7801714486777</v>
      </c>
      <c r="K360" s="1">
        <v>925</v>
      </c>
      <c r="L360" s="1">
        <v>70</v>
      </c>
    </row>
    <row r="361" spans="1:12" x14ac:dyDescent="0.3">
      <c r="A361" s="2">
        <v>45907</v>
      </c>
      <c r="B361" s="1" t="s">
        <v>247</v>
      </c>
      <c r="C361" s="1" t="s">
        <v>10</v>
      </c>
      <c r="D361" s="1" t="s">
        <v>141</v>
      </c>
      <c r="E361" s="1" t="s">
        <v>13</v>
      </c>
      <c r="F361" s="1" t="s">
        <v>14</v>
      </c>
      <c r="G361" s="4">
        <v>19</v>
      </c>
      <c r="H361" s="4">
        <v>68055</v>
      </c>
      <c r="I361" s="6">
        <v>64059.219828551322</v>
      </c>
      <c r="J361" s="6">
        <f>表1[[#This Row],[销售金额]]-表1[[#This Row],[退款金额]]</f>
        <v>3995.7801714486777</v>
      </c>
      <c r="K361" s="1">
        <v>925</v>
      </c>
      <c r="L361" s="1">
        <v>70</v>
      </c>
    </row>
    <row r="362" spans="1:12" x14ac:dyDescent="0.3">
      <c r="A362" s="2">
        <v>45907</v>
      </c>
      <c r="B362" s="1" t="s">
        <v>247</v>
      </c>
      <c r="C362" s="1" t="s">
        <v>10</v>
      </c>
      <c r="D362" s="1" t="s">
        <v>141</v>
      </c>
      <c r="E362" s="1" t="s">
        <v>13</v>
      </c>
      <c r="F362" s="1" t="s">
        <v>14</v>
      </c>
      <c r="G362" s="4">
        <v>19</v>
      </c>
      <c r="H362" s="4">
        <v>64741</v>
      </c>
      <c r="I362" s="6">
        <v>64059.219828551322</v>
      </c>
      <c r="J362" s="6">
        <f>表1[[#This Row],[销售金额]]-表1[[#This Row],[退款金额]]</f>
        <v>681.78017144867772</v>
      </c>
      <c r="K362" s="1">
        <v>925</v>
      </c>
      <c r="L362" s="1">
        <v>70</v>
      </c>
    </row>
    <row r="363" spans="1:12" x14ac:dyDescent="0.3">
      <c r="A363" s="2">
        <v>45907</v>
      </c>
      <c r="B363" s="1" t="s">
        <v>247</v>
      </c>
      <c r="C363" s="1" t="s">
        <v>10</v>
      </c>
      <c r="D363" s="1" t="s">
        <v>141</v>
      </c>
      <c r="E363" s="1" t="s">
        <v>13</v>
      </c>
      <c r="F363" s="1" t="s">
        <v>14</v>
      </c>
      <c r="G363" s="4">
        <v>19</v>
      </c>
      <c r="H363" s="4">
        <v>68735</v>
      </c>
      <c r="I363" s="6">
        <v>64059.219828551322</v>
      </c>
      <c r="J363" s="6">
        <f>表1[[#This Row],[销售金额]]-表1[[#This Row],[退款金额]]</f>
        <v>4675.7801714486777</v>
      </c>
      <c r="K363" s="1">
        <v>925</v>
      </c>
      <c r="L363" s="1">
        <v>70</v>
      </c>
    </row>
    <row r="364" spans="1:12" x14ac:dyDescent="0.3">
      <c r="A364" s="2">
        <v>45907</v>
      </c>
      <c r="B364" s="1" t="s">
        <v>247</v>
      </c>
      <c r="C364" s="1" t="s">
        <v>10</v>
      </c>
      <c r="D364" s="1" t="s">
        <v>141</v>
      </c>
      <c r="E364" s="1" t="s">
        <v>13</v>
      </c>
      <c r="F364" s="1" t="s">
        <v>14</v>
      </c>
      <c r="G364" s="4">
        <v>19</v>
      </c>
      <c r="H364" s="4">
        <v>64629</v>
      </c>
      <c r="I364" s="6">
        <v>64059.219828551322</v>
      </c>
      <c r="J364" s="6">
        <f>表1[[#This Row],[销售金额]]-表1[[#This Row],[退款金额]]</f>
        <v>569.78017144867772</v>
      </c>
      <c r="K364" s="1">
        <v>925</v>
      </c>
      <c r="L364" s="1">
        <v>70</v>
      </c>
    </row>
    <row r="365" spans="1:12" x14ac:dyDescent="0.3">
      <c r="A365" s="2">
        <v>45907</v>
      </c>
      <c r="B365" s="1" t="s">
        <v>247</v>
      </c>
      <c r="C365" s="1" t="s">
        <v>10</v>
      </c>
      <c r="D365" s="1" t="s">
        <v>141</v>
      </c>
      <c r="E365" s="1" t="s">
        <v>13</v>
      </c>
      <c r="F365" s="1" t="s">
        <v>14</v>
      </c>
      <c r="G365" s="4">
        <v>19</v>
      </c>
      <c r="H365" s="4">
        <v>65947</v>
      </c>
      <c r="I365" s="6">
        <v>64059.219828551322</v>
      </c>
      <c r="J365" s="6">
        <f>表1[[#This Row],[销售金额]]-表1[[#This Row],[退款金额]]</f>
        <v>1887.7801714486777</v>
      </c>
      <c r="K365" s="1">
        <v>925</v>
      </c>
      <c r="L365" s="1">
        <v>70</v>
      </c>
    </row>
    <row r="366" spans="1:12" x14ac:dyDescent="0.3">
      <c r="A366" s="2">
        <v>45908</v>
      </c>
      <c r="B366" s="1" t="s">
        <v>25</v>
      </c>
      <c r="C366" s="1" t="s">
        <v>19</v>
      </c>
      <c r="D366" s="1" t="s">
        <v>211</v>
      </c>
      <c r="E366" s="1" t="s">
        <v>17</v>
      </c>
      <c r="F366" s="1" t="s">
        <v>18</v>
      </c>
      <c r="G366" s="4">
        <v>4</v>
      </c>
      <c r="H366" s="4">
        <v>8341</v>
      </c>
      <c r="I366" s="6">
        <v>4905.5634924677843</v>
      </c>
      <c r="J366" s="6">
        <f>表1[[#This Row],[销售金额]]-表1[[#This Row],[退款金额]]</f>
        <v>3435.4365075322157</v>
      </c>
      <c r="K366" s="1">
        <v>545</v>
      </c>
      <c r="L366" s="1">
        <v>739</v>
      </c>
    </row>
    <row r="367" spans="1:12" x14ac:dyDescent="0.3">
      <c r="A367" s="2">
        <v>45908</v>
      </c>
      <c r="B367" s="1" t="s">
        <v>25</v>
      </c>
      <c r="C367" s="1" t="s">
        <v>19</v>
      </c>
      <c r="D367" s="1" t="s">
        <v>211</v>
      </c>
      <c r="E367" s="1" t="s">
        <v>17</v>
      </c>
      <c r="F367" s="1" t="s">
        <v>18</v>
      </c>
      <c r="G367" s="4">
        <v>4</v>
      </c>
      <c r="H367" s="4">
        <v>5095</v>
      </c>
      <c r="I367" s="6">
        <v>4905.5634924677843</v>
      </c>
      <c r="J367" s="6">
        <f>表1[[#This Row],[销售金额]]-表1[[#This Row],[退款金额]]</f>
        <v>189.43650753221573</v>
      </c>
      <c r="K367" s="1">
        <v>545</v>
      </c>
      <c r="L367" s="1">
        <v>739</v>
      </c>
    </row>
    <row r="368" spans="1:12" x14ac:dyDescent="0.3">
      <c r="A368" s="2">
        <v>45908</v>
      </c>
      <c r="B368" s="1" t="s">
        <v>25</v>
      </c>
      <c r="C368" s="1" t="s">
        <v>19</v>
      </c>
      <c r="D368" s="1" t="s">
        <v>211</v>
      </c>
      <c r="E368" s="1" t="s">
        <v>17</v>
      </c>
      <c r="F368" s="1" t="s">
        <v>18</v>
      </c>
      <c r="G368" s="4">
        <v>4</v>
      </c>
      <c r="H368" s="4">
        <v>9631</v>
      </c>
      <c r="I368" s="6">
        <v>4905.5634924677843</v>
      </c>
      <c r="J368" s="6">
        <f>表1[[#This Row],[销售金额]]-表1[[#This Row],[退款金额]]</f>
        <v>4725.4365075322157</v>
      </c>
      <c r="K368" s="1">
        <v>545</v>
      </c>
      <c r="L368" s="1">
        <v>739</v>
      </c>
    </row>
    <row r="369" spans="1:12" x14ac:dyDescent="0.3">
      <c r="A369" s="2">
        <v>45908</v>
      </c>
      <c r="B369" s="1" t="s">
        <v>25</v>
      </c>
      <c r="C369" s="1" t="s">
        <v>19</v>
      </c>
      <c r="D369" s="1" t="s">
        <v>211</v>
      </c>
      <c r="E369" s="1" t="s">
        <v>17</v>
      </c>
      <c r="F369" s="1" t="s">
        <v>18</v>
      </c>
      <c r="G369" s="4">
        <v>4</v>
      </c>
      <c r="H369" s="4">
        <v>7494</v>
      </c>
      <c r="I369" s="6">
        <v>4905.5634924677843</v>
      </c>
      <c r="J369" s="6">
        <f>表1[[#This Row],[销售金额]]-表1[[#This Row],[退款金额]]</f>
        <v>2588.4365075322157</v>
      </c>
      <c r="K369" s="1">
        <v>545</v>
      </c>
      <c r="L369" s="1">
        <v>739</v>
      </c>
    </row>
    <row r="370" spans="1:12" x14ac:dyDescent="0.3">
      <c r="A370" s="2">
        <v>45908</v>
      </c>
      <c r="B370" s="1" t="s">
        <v>25</v>
      </c>
      <c r="C370" s="1" t="s">
        <v>19</v>
      </c>
      <c r="D370" s="1" t="s">
        <v>211</v>
      </c>
      <c r="E370" s="1" t="s">
        <v>17</v>
      </c>
      <c r="F370" s="1" t="s">
        <v>18</v>
      </c>
      <c r="G370" s="4">
        <v>4</v>
      </c>
      <c r="H370" s="4">
        <v>7932</v>
      </c>
      <c r="I370" s="6">
        <v>4905.5634924677843</v>
      </c>
      <c r="J370" s="6">
        <f>表1[[#This Row],[销售金额]]-表1[[#This Row],[退款金额]]</f>
        <v>3026.4365075322157</v>
      </c>
      <c r="K370" s="1">
        <v>545</v>
      </c>
      <c r="L370" s="1">
        <v>739</v>
      </c>
    </row>
    <row r="371" spans="1:12" x14ac:dyDescent="0.3">
      <c r="A371" s="2">
        <v>45908</v>
      </c>
      <c r="B371" s="1" t="s">
        <v>25</v>
      </c>
      <c r="C371" s="1" t="s">
        <v>19</v>
      </c>
      <c r="D371" s="1" t="s">
        <v>211</v>
      </c>
      <c r="E371" s="1" t="s">
        <v>17</v>
      </c>
      <c r="F371" s="1" t="s">
        <v>18</v>
      </c>
      <c r="G371" s="4">
        <v>4</v>
      </c>
      <c r="H371" s="4">
        <v>9205</v>
      </c>
      <c r="I371" s="6">
        <v>4905.5634924677843</v>
      </c>
      <c r="J371" s="6">
        <f>表1[[#This Row],[销售金额]]-表1[[#This Row],[退款金额]]</f>
        <v>4299.4365075322157</v>
      </c>
      <c r="K371" s="1">
        <v>545</v>
      </c>
      <c r="L371" s="1">
        <v>739</v>
      </c>
    </row>
    <row r="372" spans="1:12" x14ac:dyDescent="0.3">
      <c r="A372" s="2">
        <v>45908</v>
      </c>
      <c r="B372" s="1" t="s">
        <v>25</v>
      </c>
      <c r="C372" s="1" t="s">
        <v>19</v>
      </c>
      <c r="D372" s="1" t="s">
        <v>211</v>
      </c>
      <c r="E372" s="1" t="s">
        <v>17</v>
      </c>
      <c r="F372" s="1" t="s">
        <v>18</v>
      </c>
      <c r="G372" s="4">
        <v>4</v>
      </c>
      <c r="H372" s="4">
        <v>6339</v>
      </c>
      <c r="I372" s="6">
        <v>4905.5634924677843</v>
      </c>
      <c r="J372" s="6">
        <f>表1[[#This Row],[销售金额]]-表1[[#This Row],[退款金额]]</f>
        <v>1433.4365075322157</v>
      </c>
      <c r="K372" s="1">
        <v>545</v>
      </c>
      <c r="L372" s="1">
        <v>739</v>
      </c>
    </row>
    <row r="373" spans="1:12" x14ac:dyDescent="0.3">
      <c r="A373" s="2">
        <v>45908</v>
      </c>
      <c r="B373" s="1" t="s">
        <v>25</v>
      </c>
      <c r="C373" s="1" t="s">
        <v>19</v>
      </c>
      <c r="D373" s="1" t="s">
        <v>211</v>
      </c>
      <c r="E373" s="1" t="s">
        <v>17</v>
      </c>
      <c r="F373" s="1" t="s">
        <v>18</v>
      </c>
      <c r="G373" s="4">
        <v>4</v>
      </c>
      <c r="H373" s="4">
        <v>9306</v>
      </c>
      <c r="I373" s="6">
        <v>4905.5634924677843</v>
      </c>
      <c r="J373" s="6">
        <f>表1[[#This Row],[销售金额]]-表1[[#This Row],[退款金额]]</f>
        <v>4400.4365075322157</v>
      </c>
      <c r="K373" s="1">
        <v>545</v>
      </c>
      <c r="L373" s="1">
        <v>739</v>
      </c>
    </row>
    <row r="374" spans="1:12" x14ac:dyDescent="0.3">
      <c r="A374" s="2">
        <v>45908</v>
      </c>
      <c r="B374" s="1" t="s">
        <v>25</v>
      </c>
      <c r="C374" s="1" t="s">
        <v>19</v>
      </c>
      <c r="D374" s="1" t="s">
        <v>211</v>
      </c>
      <c r="E374" s="1" t="s">
        <v>17</v>
      </c>
      <c r="F374" s="1" t="s">
        <v>18</v>
      </c>
      <c r="G374" s="4">
        <v>4</v>
      </c>
      <c r="H374" s="4">
        <v>9715</v>
      </c>
      <c r="I374" s="6">
        <v>4905.5634924677843</v>
      </c>
      <c r="J374" s="6">
        <f>表1[[#This Row],[销售金额]]-表1[[#This Row],[退款金额]]</f>
        <v>4809.4365075322157</v>
      </c>
      <c r="K374" s="1">
        <v>545</v>
      </c>
      <c r="L374" s="1">
        <v>739</v>
      </c>
    </row>
    <row r="375" spans="1:12" x14ac:dyDescent="0.3">
      <c r="A375" s="2">
        <v>45908</v>
      </c>
      <c r="B375" s="1" t="s">
        <v>11</v>
      </c>
      <c r="C375" s="1" t="s">
        <v>10</v>
      </c>
      <c r="D375" s="1" t="s">
        <v>152</v>
      </c>
      <c r="E375" s="1" t="s">
        <v>8</v>
      </c>
      <c r="F375" s="1" t="s">
        <v>9</v>
      </c>
      <c r="G375" s="4">
        <v>9</v>
      </c>
      <c r="H375" s="4">
        <v>3095</v>
      </c>
      <c r="I375" s="6">
        <v>1074.4380260882635</v>
      </c>
      <c r="J375" s="6">
        <f>表1[[#This Row],[销售金额]]-表1[[#This Row],[退款金额]]</f>
        <v>2020.5619739117365</v>
      </c>
      <c r="K375" s="1">
        <v>196</v>
      </c>
      <c r="L375" s="1">
        <v>882</v>
      </c>
    </row>
    <row r="376" spans="1:12" x14ac:dyDescent="0.3">
      <c r="A376" s="2">
        <v>45908</v>
      </c>
      <c r="B376" s="1" t="s">
        <v>25</v>
      </c>
      <c r="C376" s="1" t="s">
        <v>32</v>
      </c>
      <c r="D376" s="1" t="s">
        <v>177</v>
      </c>
      <c r="E376" s="1" t="s">
        <v>38</v>
      </c>
      <c r="F376" s="1" t="s">
        <v>39</v>
      </c>
      <c r="G376" s="4">
        <v>9</v>
      </c>
      <c r="H376" s="4">
        <v>3598</v>
      </c>
      <c r="I376" s="6">
        <v>2517.4937105274835</v>
      </c>
      <c r="J376" s="6">
        <f>表1[[#This Row],[销售金额]]-表1[[#This Row],[退款金额]]</f>
        <v>1080.5062894725165</v>
      </c>
      <c r="K376" s="1">
        <v>155</v>
      </c>
      <c r="L376" s="1">
        <v>336</v>
      </c>
    </row>
    <row r="377" spans="1:12" x14ac:dyDescent="0.3">
      <c r="A377" s="2">
        <v>45908</v>
      </c>
      <c r="B377" s="1" t="s">
        <v>11</v>
      </c>
      <c r="C377" s="1" t="s">
        <v>10</v>
      </c>
      <c r="D377" s="1" t="s">
        <v>152</v>
      </c>
      <c r="E377" s="1" t="s">
        <v>8</v>
      </c>
      <c r="F377" s="1" t="s">
        <v>9</v>
      </c>
      <c r="G377" s="4">
        <v>9</v>
      </c>
      <c r="H377" s="4">
        <v>5743</v>
      </c>
      <c r="I377" s="6">
        <v>1074.4380260882635</v>
      </c>
      <c r="J377" s="6">
        <f>表1[[#This Row],[销售金额]]-表1[[#This Row],[退款金额]]</f>
        <v>4668.5619739117365</v>
      </c>
      <c r="K377" s="1">
        <v>196</v>
      </c>
      <c r="L377" s="1">
        <v>882</v>
      </c>
    </row>
    <row r="378" spans="1:12" x14ac:dyDescent="0.3">
      <c r="A378" s="2">
        <v>45908</v>
      </c>
      <c r="B378" s="1" t="s">
        <v>25</v>
      </c>
      <c r="C378" s="1" t="s">
        <v>32</v>
      </c>
      <c r="D378" s="1" t="s">
        <v>177</v>
      </c>
      <c r="E378" s="1" t="s">
        <v>38</v>
      </c>
      <c r="F378" s="1" t="s">
        <v>39</v>
      </c>
      <c r="G378" s="4">
        <v>9</v>
      </c>
      <c r="H378" s="4">
        <v>6417</v>
      </c>
      <c r="I378" s="6">
        <v>2517.4937105274835</v>
      </c>
      <c r="J378" s="6">
        <f>表1[[#This Row],[销售金额]]-表1[[#This Row],[退款金额]]</f>
        <v>3899.5062894725165</v>
      </c>
      <c r="K378" s="1">
        <v>155</v>
      </c>
      <c r="L378" s="1">
        <v>336</v>
      </c>
    </row>
    <row r="379" spans="1:12" x14ac:dyDescent="0.3">
      <c r="A379" s="2">
        <v>45908</v>
      </c>
      <c r="B379" s="1" t="s">
        <v>11</v>
      </c>
      <c r="C379" s="1" t="s">
        <v>10</v>
      </c>
      <c r="D379" s="1" t="s">
        <v>152</v>
      </c>
      <c r="E379" s="1" t="s">
        <v>8</v>
      </c>
      <c r="F379" s="1" t="s">
        <v>9</v>
      </c>
      <c r="G379" s="4">
        <v>9</v>
      </c>
      <c r="H379" s="4">
        <v>2069</v>
      </c>
      <c r="I379" s="6">
        <v>1074.4380260882635</v>
      </c>
      <c r="J379" s="6">
        <f>表1[[#This Row],[销售金额]]-表1[[#This Row],[退款金额]]</f>
        <v>994.56197391173646</v>
      </c>
      <c r="K379" s="1">
        <v>196</v>
      </c>
      <c r="L379" s="1">
        <v>882</v>
      </c>
    </row>
    <row r="380" spans="1:12" x14ac:dyDescent="0.3">
      <c r="A380" s="2">
        <v>45908</v>
      </c>
      <c r="B380" s="1" t="s">
        <v>25</v>
      </c>
      <c r="C380" s="1" t="s">
        <v>32</v>
      </c>
      <c r="D380" s="1" t="s">
        <v>177</v>
      </c>
      <c r="E380" s="1" t="s">
        <v>38</v>
      </c>
      <c r="F380" s="1" t="s">
        <v>39</v>
      </c>
      <c r="G380" s="4">
        <v>9</v>
      </c>
      <c r="H380" s="4">
        <v>7073</v>
      </c>
      <c r="I380" s="6">
        <v>2517.4937105274835</v>
      </c>
      <c r="J380" s="6">
        <f>表1[[#This Row],[销售金额]]-表1[[#This Row],[退款金额]]</f>
        <v>4555.5062894725161</v>
      </c>
      <c r="K380" s="1">
        <v>155</v>
      </c>
      <c r="L380" s="1">
        <v>336</v>
      </c>
    </row>
    <row r="381" spans="1:12" x14ac:dyDescent="0.3">
      <c r="A381" s="2">
        <v>45908</v>
      </c>
      <c r="B381" s="1" t="s">
        <v>11</v>
      </c>
      <c r="C381" s="1" t="s">
        <v>10</v>
      </c>
      <c r="D381" s="1" t="s">
        <v>152</v>
      </c>
      <c r="E381" s="1" t="s">
        <v>8</v>
      </c>
      <c r="F381" s="1" t="s">
        <v>9</v>
      </c>
      <c r="G381" s="4">
        <v>9</v>
      </c>
      <c r="H381" s="4">
        <v>4716</v>
      </c>
      <c r="I381" s="6">
        <v>1074.4380260882635</v>
      </c>
      <c r="J381" s="6">
        <f>表1[[#This Row],[销售金额]]-表1[[#This Row],[退款金额]]</f>
        <v>3641.5619739117365</v>
      </c>
      <c r="K381" s="1">
        <v>196</v>
      </c>
      <c r="L381" s="1">
        <v>882</v>
      </c>
    </row>
    <row r="382" spans="1:12" x14ac:dyDescent="0.3">
      <c r="A382" s="2">
        <v>45908</v>
      </c>
      <c r="B382" s="1" t="s">
        <v>25</v>
      </c>
      <c r="C382" s="1" t="s">
        <v>32</v>
      </c>
      <c r="D382" s="1" t="s">
        <v>177</v>
      </c>
      <c r="E382" s="1" t="s">
        <v>38</v>
      </c>
      <c r="F382" s="1" t="s">
        <v>39</v>
      </c>
      <c r="G382" s="4">
        <v>9</v>
      </c>
      <c r="H382" s="4">
        <v>4149</v>
      </c>
      <c r="I382" s="6">
        <v>2517.4937105274835</v>
      </c>
      <c r="J382" s="6">
        <f>表1[[#This Row],[销售金额]]-表1[[#This Row],[退款金额]]</f>
        <v>1631.5062894725165</v>
      </c>
      <c r="K382" s="1">
        <v>155</v>
      </c>
      <c r="L382" s="1">
        <v>336</v>
      </c>
    </row>
    <row r="383" spans="1:12" x14ac:dyDescent="0.3">
      <c r="A383" s="2">
        <v>45908</v>
      </c>
      <c r="B383" s="1" t="s">
        <v>11</v>
      </c>
      <c r="C383" s="1" t="s">
        <v>10</v>
      </c>
      <c r="D383" s="1" t="s">
        <v>152</v>
      </c>
      <c r="E383" s="1" t="s">
        <v>8</v>
      </c>
      <c r="F383" s="1" t="s">
        <v>9</v>
      </c>
      <c r="G383" s="4">
        <v>9</v>
      </c>
      <c r="H383" s="4">
        <v>4213</v>
      </c>
      <c r="I383" s="6">
        <v>1074.4380260882635</v>
      </c>
      <c r="J383" s="6">
        <f>表1[[#This Row],[销售金额]]-表1[[#This Row],[退款金额]]</f>
        <v>3138.5619739117365</v>
      </c>
      <c r="K383" s="1">
        <v>196</v>
      </c>
      <c r="L383" s="1">
        <v>882</v>
      </c>
    </row>
    <row r="384" spans="1:12" x14ac:dyDescent="0.3">
      <c r="A384" s="2">
        <v>45908</v>
      </c>
      <c r="B384" s="1" t="s">
        <v>25</v>
      </c>
      <c r="C384" s="1" t="s">
        <v>32</v>
      </c>
      <c r="D384" s="1" t="s">
        <v>177</v>
      </c>
      <c r="E384" s="1" t="s">
        <v>38</v>
      </c>
      <c r="F384" s="1" t="s">
        <v>39</v>
      </c>
      <c r="G384" s="4">
        <v>9</v>
      </c>
      <c r="H384" s="4">
        <v>3662</v>
      </c>
      <c r="I384" s="6">
        <v>2517.4937105274835</v>
      </c>
      <c r="J384" s="6">
        <f>表1[[#This Row],[销售金额]]-表1[[#This Row],[退款金额]]</f>
        <v>1144.5062894725165</v>
      </c>
      <c r="K384" s="1">
        <v>155</v>
      </c>
      <c r="L384" s="1">
        <v>336</v>
      </c>
    </row>
    <row r="385" spans="1:12" x14ac:dyDescent="0.3">
      <c r="A385" s="2">
        <v>45908</v>
      </c>
      <c r="B385" s="1" t="s">
        <v>11</v>
      </c>
      <c r="C385" s="1" t="s">
        <v>10</v>
      </c>
      <c r="D385" s="1" t="s">
        <v>152</v>
      </c>
      <c r="E385" s="1" t="s">
        <v>8</v>
      </c>
      <c r="F385" s="1" t="s">
        <v>9</v>
      </c>
      <c r="G385" s="4">
        <v>9</v>
      </c>
      <c r="H385" s="4">
        <v>4091</v>
      </c>
      <c r="I385" s="6">
        <v>1074.4380260882635</v>
      </c>
      <c r="J385" s="6">
        <f>表1[[#This Row],[销售金额]]-表1[[#This Row],[退款金额]]</f>
        <v>3016.5619739117365</v>
      </c>
      <c r="K385" s="1">
        <v>196</v>
      </c>
      <c r="L385" s="1">
        <v>882</v>
      </c>
    </row>
    <row r="386" spans="1:12" x14ac:dyDescent="0.3">
      <c r="A386" s="2">
        <v>45908</v>
      </c>
      <c r="B386" s="1" t="s">
        <v>25</v>
      </c>
      <c r="C386" s="1" t="s">
        <v>32</v>
      </c>
      <c r="D386" s="1" t="s">
        <v>177</v>
      </c>
      <c r="E386" s="1" t="s">
        <v>38</v>
      </c>
      <c r="F386" s="1" t="s">
        <v>39</v>
      </c>
      <c r="G386" s="4">
        <v>9</v>
      </c>
      <c r="H386" s="4">
        <v>3624</v>
      </c>
      <c r="I386" s="6">
        <v>2517.4937105274835</v>
      </c>
      <c r="J386" s="6">
        <f>表1[[#This Row],[销售金额]]-表1[[#This Row],[退款金额]]</f>
        <v>1106.5062894725165</v>
      </c>
      <c r="K386" s="1">
        <v>155</v>
      </c>
      <c r="L386" s="1">
        <v>336</v>
      </c>
    </row>
    <row r="387" spans="1:12" x14ac:dyDescent="0.3">
      <c r="A387" s="2">
        <v>45908</v>
      </c>
      <c r="B387" s="1" t="s">
        <v>11</v>
      </c>
      <c r="C387" s="1" t="s">
        <v>10</v>
      </c>
      <c r="D387" s="1" t="s">
        <v>152</v>
      </c>
      <c r="E387" s="1" t="s">
        <v>8</v>
      </c>
      <c r="F387" s="1" t="s">
        <v>9</v>
      </c>
      <c r="G387" s="4">
        <v>9</v>
      </c>
      <c r="H387" s="4">
        <v>2101</v>
      </c>
      <c r="I387" s="6">
        <v>1074.4380260882635</v>
      </c>
      <c r="J387" s="6">
        <f>表1[[#This Row],[销售金额]]-表1[[#This Row],[退款金额]]</f>
        <v>1026.5619739117365</v>
      </c>
      <c r="K387" s="1">
        <v>196</v>
      </c>
      <c r="L387" s="1">
        <v>882</v>
      </c>
    </row>
    <row r="388" spans="1:12" x14ac:dyDescent="0.3">
      <c r="A388" s="2">
        <v>45908</v>
      </c>
      <c r="B388" s="1" t="s">
        <v>25</v>
      </c>
      <c r="C388" s="1" t="s">
        <v>32</v>
      </c>
      <c r="D388" s="1" t="s">
        <v>177</v>
      </c>
      <c r="E388" s="1" t="s">
        <v>38</v>
      </c>
      <c r="F388" s="1" t="s">
        <v>39</v>
      </c>
      <c r="G388" s="4">
        <v>9</v>
      </c>
      <c r="H388" s="4">
        <v>3157</v>
      </c>
      <c r="I388" s="6">
        <v>2517.4937105274835</v>
      </c>
      <c r="J388" s="6">
        <f>表1[[#This Row],[销售金额]]-表1[[#This Row],[退款金额]]</f>
        <v>639.50628947251653</v>
      </c>
      <c r="K388" s="1">
        <v>155</v>
      </c>
      <c r="L388" s="1">
        <v>336</v>
      </c>
    </row>
    <row r="389" spans="1:12" x14ac:dyDescent="0.3">
      <c r="A389" s="2">
        <v>45908</v>
      </c>
      <c r="B389" s="1" t="s">
        <v>11</v>
      </c>
      <c r="C389" s="1" t="s">
        <v>10</v>
      </c>
      <c r="D389" s="1" t="s">
        <v>152</v>
      </c>
      <c r="E389" s="1" t="s">
        <v>8</v>
      </c>
      <c r="F389" s="1" t="s">
        <v>9</v>
      </c>
      <c r="G389" s="4">
        <v>9</v>
      </c>
      <c r="H389" s="4">
        <v>3951</v>
      </c>
      <c r="I389" s="6">
        <v>1074.4380260882635</v>
      </c>
      <c r="J389" s="6">
        <f>表1[[#This Row],[销售金额]]-表1[[#This Row],[退款金额]]</f>
        <v>2876.5619739117365</v>
      </c>
      <c r="K389" s="1">
        <v>196</v>
      </c>
      <c r="L389" s="1">
        <v>882</v>
      </c>
    </row>
    <row r="390" spans="1:12" x14ac:dyDescent="0.3">
      <c r="A390" s="2">
        <v>45908</v>
      </c>
      <c r="B390" s="1" t="s">
        <v>25</v>
      </c>
      <c r="C390" s="1" t="s">
        <v>32</v>
      </c>
      <c r="D390" s="1" t="s">
        <v>177</v>
      </c>
      <c r="E390" s="1" t="s">
        <v>38</v>
      </c>
      <c r="F390" s="1" t="s">
        <v>39</v>
      </c>
      <c r="G390" s="4">
        <v>9</v>
      </c>
      <c r="H390" s="4">
        <v>6657</v>
      </c>
      <c r="I390" s="6">
        <v>2517.4937105274835</v>
      </c>
      <c r="J390" s="6">
        <f>表1[[#This Row],[销售金额]]-表1[[#This Row],[退款金额]]</f>
        <v>4139.5062894725161</v>
      </c>
      <c r="K390" s="1">
        <v>155</v>
      </c>
      <c r="L390" s="1">
        <v>336</v>
      </c>
    </row>
    <row r="391" spans="1:12" x14ac:dyDescent="0.3">
      <c r="A391" s="2">
        <v>45908</v>
      </c>
      <c r="B391" s="1" t="s">
        <v>11</v>
      </c>
      <c r="C391" s="1" t="s">
        <v>10</v>
      </c>
      <c r="D391" s="1" t="s">
        <v>152</v>
      </c>
      <c r="E391" s="1" t="s">
        <v>8</v>
      </c>
      <c r="F391" s="1" t="s">
        <v>9</v>
      </c>
      <c r="G391" s="4">
        <v>9</v>
      </c>
      <c r="H391" s="4">
        <v>4037</v>
      </c>
      <c r="I391" s="6">
        <v>1074.4380260882635</v>
      </c>
      <c r="J391" s="6">
        <f>表1[[#This Row],[销售金额]]-表1[[#This Row],[退款金额]]</f>
        <v>2962.5619739117365</v>
      </c>
      <c r="K391" s="1">
        <v>196</v>
      </c>
      <c r="L391" s="1">
        <v>882</v>
      </c>
    </row>
    <row r="392" spans="1:12" x14ac:dyDescent="0.3">
      <c r="A392" s="2">
        <v>45908</v>
      </c>
      <c r="B392" s="1" t="s">
        <v>25</v>
      </c>
      <c r="C392" s="1" t="s">
        <v>32</v>
      </c>
      <c r="D392" s="1" t="s">
        <v>177</v>
      </c>
      <c r="E392" s="1" t="s">
        <v>38</v>
      </c>
      <c r="F392" s="1" t="s">
        <v>39</v>
      </c>
      <c r="G392" s="4">
        <v>9</v>
      </c>
      <c r="H392" s="4">
        <v>3852</v>
      </c>
      <c r="I392" s="6">
        <v>2517.4937105274835</v>
      </c>
      <c r="J392" s="6">
        <f>表1[[#This Row],[销售金额]]-表1[[#This Row],[退款金额]]</f>
        <v>1334.5062894725165</v>
      </c>
      <c r="K392" s="1">
        <v>155</v>
      </c>
      <c r="L392" s="1">
        <v>336</v>
      </c>
    </row>
    <row r="393" spans="1:12" x14ac:dyDescent="0.3">
      <c r="A393" s="2">
        <v>45908</v>
      </c>
      <c r="B393" s="1" t="s">
        <v>247</v>
      </c>
      <c r="C393" s="1" t="s">
        <v>10</v>
      </c>
      <c r="D393" s="1" t="s">
        <v>216</v>
      </c>
      <c r="E393" s="1" t="s">
        <v>42</v>
      </c>
      <c r="F393" s="1" t="s">
        <v>43</v>
      </c>
      <c r="G393" s="4">
        <v>10</v>
      </c>
      <c r="H393" s="4">
        <v>4337</v>
      </c>
      <c r="I393" s="6">
        <v>2032.4201107244371</v>
      </c>
      <c r="J393" s="6">
        <f>表1[[#This Row],[销售金额]]-表1[[#This Row],[退款金额]]</f>
        <v>2304.5798892755629</v>
      </c>
      <c r="K393" s="1">
        <v>698</v>
      </c>
      <c r="L393" s="1">
        <v>488</v>
      </c>
    </row>
    <row r="394" spans="1:12" x14ac:dyDescent="0.3">
      <c r="A394" s="2">
        <v>45908</v>
      </c>
      <c r="B394" s="1" t="s">
        <v>247</v>
      </c>
      <c r="C394" s="1" t="s">
        <v>10</v>
      </c>
      <c r="D394" s="1" t="s">
        <v>216</v>
      </c>
      <c r="E394" s="1" t="s">
        <v>42</v>
      </c>
      <c r="F394" s="1" t="s">
        <v>43</v>
      </c>
      <c r="G394" s="4">
        <v>10</v>
      </c>
      <c r="H394" s="4">
        <v>4627</v>
      </c>
      <c r="I394" s="6">
        <v>2032.4201107244371</v>
      </c>
      <c r="J394" s="6">
        <f>表1[[#This Row],[销售金额]]-表1[[#This Row],[退款金额]]</f>
        <v>2594.5798892755629</v>
      </c>
      <c r="K394" s="1">
        <v>698</v>
      </c>
      <c r="L394" s="1">
        <v>488</v>
      </c>
    </row>
    <row r="395" spans="1:12" x14ac:dyDescent="0.3">
      <c r="A395" s="2">
        <v>45908</v>
      </c>
      <c r="B395" s="1" t="s">
        <v>247</v>
      </c>
      <c r="C395" s="1" t="s">
        <v>10</v>
      </c>
      <c r="D395" s="1" t="s">
        <v>216</v>
      </c>
      <c r="E395" s="1" t="s">
        <v>42</v>
      </c>
      <c r="F395" s="1" t="s">
        <v>43</v>
      </c>
      <c r="G395" s="4">
        <v>10</v>
      </c>
      <c r="H395" s="4">
        <v>2943</v>
      </c>
      <c r="I395" s="6">
        <v>2032.4201107244371</v>
      </c>
      <c r="J395" s="6">
        <f>表1[[#This Row],[销售金额]]-表1[[#This Row],[退款金额]]</f>
        <v>910.57988927556289</v>
      </c>
      <c r="K395" s="1">
        <v>698</v>
      </c>
      <c r="L395" s="1">
        <v>488</v>
      </c>
    </row>
    <row r="396" spans="1:12" x14ac:dyDescent="0.3">
      <c r="A396" s="2">
        <v>45908</v>
      </c>
      <c r="B396" s="1" t="s">
        <v>247</v>
      </c>
      <c r="C396" s="1" t="s">
        <v>10</v>
      </c>
      <c r="D396" s="1" t="s">
        <v>216</v>
      </c>
      <c r="E396" s="1" t="s">
        <v>42</v>
      </c>
      <c r="F396" s="1" t="s">
        <v>43</v>
      </c>
      <c r="G396" s="4">
        <v>10</v>
      </c>
      <c r="H396" s="4">
        <v>7005</v>
      </c>
      <c r="I396" s="6">
        <v>2032.4201107244371</v>
      </c>
      <c r="J396" s="6">
        <f>表1[[#This Row],[销售金额]]-表1[[#This Row],[退款金额]]</f>
        <v>4972.5798892755629</v>
      </c>
      <c r="K396" s="1">
        <v>698</v>
      </c>
      <c r="L396" s="1">
        <v>488</v>
      </c>
    </row>
    <row r="397" spans="1:12" x14ac:dyDescent="0.3">
      <c r="A397" s="2">
        <v>45908</v>
      </c>
      <c r="B397" s="1" t="s">
        <v>247</v>
      </c>
      <c r="C397" s="1" t="s">
        <v>10</v>
      </c>
      <c r="D397" s="1" t="s">
        <v>216</v>
      </c>
      <c r="E397" s="1" t="s">
        <v>42</v>
      </c>
      <c r="F397" s="1" t="s">
        <v>43</v>
      </c>
      <c r="G397" s="4">
        <v>10</v>
      </c>
      <c r="H397" s="4">
        <v>2676</v>
      </c>
      <c r="I397" s="6">
        <v>2032.4201107244371</v>
      </c>
      <c r="J397" s="6">
        <f>表1[[#This Row],[销售金额]]-表1[[#This Row],[退款金额]]</f>
        <v>643.57988927556289</v>
      </c>
      <c r="K397" s="1">
        <v>698</v>
      </c>
      <c r="L397" s="1">
        <v>488</v>
      </c>
    </row>
    <row r="398" spans="1:12" x14ac:dyDescent="0.3">
      <c r="A398" s="2">
        <v>45908</v>
      </c>
      <c r="B398" s="1" t="s">
        <v>247</v>
      </c>
      <c r="C398" s="1" t="s">
        <v>10</v>
      </c>
      <c r="D398" s="1" t="s">
        <v>216</v>
      </c>
      <c r="E398" s="1" t="s">
        <v>42</v>
      </c>
      <c r="F398" s="1" t="s">
        <v>43</v>
      </c>
      <c r="G398" s="4">
        <v>10</v>
      </c>
      <c r="H398" s="4">
        <v>4310</v>
      </c>
      <c r="I398" s="6">
        <v>2032.4201107244371</v>
      </c>
      <c r="J398" s="6">
        <f>表1[[#This Row],[销售金额]]-表1[[#This Row],[退款金额]]</f>
        <v>2277.5798892755629</v>
      </c>
      <c r="K398" s="1">
        <v>698</v>
      </c>
      <c r="L398" s="1">
        <v>488</v>
      </c>
    </row>
    <row r="399" spans="1:12" x14ac:dyDescent="0.3">
      <c r="A399" s="2">
        <v>45908</v>
      </c>
      <c r="B399" s="1" t="s">
        <v>247</v>
      </c>
      <c r="C399" s="1" t="s">
        <v>10</v>
      </c>
      <c r="D399" s="1" t="s">
        <v>216</v>
      </c>
      <c r="E399" s="1" t="s">
        <v>42</v>
      </c>
      <c r="F399" s="1" t="s">
        <v>43</v>
      </c>
      <c r="G399" s="4">
        <v>10</v>
      </c>
      <c r="H399" s="4">
        <v>3464</v>
      </c>
      <c r="I399" s="6">
        <v>2032.4201107244371</v>
      </c>
      <c r="J399" s="6">
        <f>表1[[#This Row],[销售金额]]-表1[[#This Row],[退款金额]]</f>
        <v>1431.5798892755629</v>
      </c>
      <c r="K399" s="1">
        <v>698</v>
      </c>
      <c r="L399" s="1">
        <v>488</v>
      </c>
    </row>
    <row r="400" spans="1:12" x14ac:dyDescent="0.3">
      <c r="A400" s="2">
        <v>45908</v>
      </c>
      <c r="B400" s="1" t="s">
        <v>247</v>
      </c>
      <c r="C400" s="1" t="s">
        <v>10</v>
      </c>
      <c r="D400" s="1" t="s">
        <v>216</v>
      </c>
      <c r="E400" s="1" t="s">
        <v>42</v>
      </c>
      <c r="F400" s="1" t="s">
        <v>43</v>
      </c>
      <c r="G400" s="4">
        <v>10</v>
      </c>
      <c r="H400" s="4">
        <v>5950</v>
      </c>
      <c r="I400" s="6">
        <v>2032.4201107244371</v>
      </c>
      <c r="J400" s="6">
        <f>表1[[#This Row],[销售金额]]-表1[[#This Row],[退款金额]]</f>
        <v>3917.5798892755629</v>
      </c>
      <c r="K400" s="1">
        <v>698</v>
      </c>
      <c r="L400" s="1">
        <v>488</v>
      </c>
    </row>
    <row r="401" spans="1:12" x14ac:dyDescent="0.3">
      <c r="A401" s="2">
        <v>45908</v>
      </c>
      <c r="B401" s="1" t="s">
        <v>247</v>
      </c>
      <c r="C401" s="1" t="s">
        <v>10</v>
      </c>
      <c r="D401" s="1" t="s">
        <v>216</v>
      </c>
      <c r="E401" s="1" t="s">
        <v>42</v>
      </c>
      <c r="F401" s="1" t="s">
        <v>43</v>
      </c>
      <c r="G401" s="4">
        <v>10</v>
      </c>
      <c r="H401" s="4">
        <v>2803</v>
      </c>
      <c r="I401" s="6">
        <v>2032.4201107244371</v>
      </c>
      <c r="J401" s="6">
        <f>表1[[#This Row],[销售金额]]-表1[[#This Row],[退款金额]]</f>
        <v>770.57988927556289</v>
      </c>
      <c r="K401" s="1">
        <v>698</v>
      </c>
      <c r="L401" s="1">
        <v>488</v>
      </c>
    </row>
    <row r="402" spans="1:12" x14ac:dyDescent="0.3">
      <c r="A402" s="2">
        <v>45908</v>
      </c>
      <c r="B402" s="1" t="s">
        <v>247</v>
      </c>
      <c r="C402" s="1" t="s">
        <v>10</v>
      </c>
      <c r="D402" s="1" t="s">
        <v>191</v>
      </c>
      <c r="E402" s="1" t="s">
        <v>8</v>
      </c>
      <c r="F402" s="1" t="s">
        <v>9</v>
      </c>
      <c r="G402" s="4">
        <v>11</v>
      </c>
      <c r="H402" s="4">
        <v>34432</v>
      </c>
      <c r="I402" s="6">
        <v>29999.765295656787</v>
      </c>
      <c r="J402" s="6">
        <f>表1[[#This Row],[销售金额]]-表1[[#This Row],[退款金额]]</f>
        <v>4432.2347043432128</v>
      </c>
      <c r="K402" s="1">
        <v>396</v>
      </c>
      <c r="L402" s="1">
        <v>599</v>
      </c>
    </row>
    <row r="403" spans="1:12" x14ac:dyDescent="0.3">
      <c r="A403" s="2">
        <v>45908</v>
      </c>
      <c r="B403" s="1" t="s">
        <v>250</v>
      </c>
      <c r="C403" s="1" t="s">
        <v>10</v>
      </c>
      <c r="D403" s="1" t="s">
        <v>199</v>
      </c>
      <c r="E403" s="1" t="s">
        <v>8</v>
      </c>
      <c r="F403" s="1" t="s">
        <v>9</v>
      </c>
      <c r="G403" s="4">
        <v>11</v>
      </c>
      <c r="H403" s="4">
        <v>31291</v>
      </c>
      <c r="I403" s="6">
        <v>26819.378590328633</v>
      </c>
      <c r="J403" s="6">
        <f>表1[[#This Row],[销售金额]]-表1[[#This Row],[退款金额]]</f>
        <v>4471.6214096713666</v>
      </c>
      <c r="K403" s="1">
        <v>998</v>
      </c>
      <c r="L403" s="1">
        <v>26</v>
      </c>
    </row>
    <row r="404" spans="1:12" x14ac:dyDescent="0.3">
      <c r="A404" s="2">
        <v>45908</v>
      </c>
      <c r="B404" s="1" t="s">
        <v>247</v>
      </c>
      <c r="C404" s="1" t="s">
        <v>10</v>
      </c>
      <c r="D404" s="1" t="s">
        <v>191</v>
      </c>
      <c r="E404" s="1" t="s">
        <v>8</v>
      </c>
      <c r="F404" s="1" t="s">
        <v>9</v>
      </c>
      <c r="G404" s="4">
        <v>11</v>
      </c>
      <c r="H404" s="4">
        <v>34462</v>
      </c>
      <c r="I404" s="6">
        <v>29999.765295656787</v>
      </c>
      <c r="J404" s="6">
        <f>表1[[#This Row],[销售金额]]-表1[[#This Row],[退款金额]]</f>
        <v>4462.2347043432128</v>
      </c>
      <c r="K404" s="1">
        <v>396</v>
      </c>
      <c r="L404" s="1">
        <v>599</v>
      </c>
    </row>
    <row r="405" spans="1:12" x14ac:dyDescent="0.3">
      <c r="A405" s="2">
        <v>45908</v>
      </c>
      <c r="B405" s="1" t="s">
        <v>250</v>
      </c>
      <c r="C405" s="1" t="s">
        <v>10</v>
      </c>
      <c r="D405" s="1" t="s">
        <v>199</v>
      </c>
      <c r="E405" s="1" t="s">
        <v>8</v>
      </c>
      <c r="F405" s="1" t="s">
        <v>9</v>
      </c>
      <c r="G405" s="4">
        <v>11</v>
      </c>
      <c r="H405" s="4">
        <v>30908</v>
      </c>
      <c r="I405" s="6">
        <v>26819.378590328633</v>
      </c>
      <c r="J405" s="6">
        <f>表1[[#This Row],[销售金额]]-表1[[#This Row],[退款金额]]</f>
        <v>4088.6214096713666</v>
      </c>
      <c r="K405" s="1">
        <v>998</v>
      </c>
      <c r="L405" s="1">
        <v>26</v>
      </c>
    </row>
    <row r="406" spans="1:12" x14ac:dyDescent="0.3">
      <c r="A406" s="2">
        <v>45908</v>
      </c>
      <c r="B406" s="1" t="s">
        <v>247</v>
      </c>
      <c r="C406" s="1" t="s">
        <v>10</v>
      </c>
      <c r="D406" s="1" t="s">
        <v>191</v>
      </c>
      <c r="E406" s="1" t="s">
        <v>8</v>
      </c>
      <c r="F406" s="1" t="s">
        <v>9</v>
      </c>
      <c r="G406" s="4">
        <v>11</v>
      </c>
      <c r="H406" s="4">
        <v>34623</v>
      </c>
      <c r="I406" s="6">
        <v>29999.765295656787</v>
      </c>
      <c r="J406" s="6">
        <f>表1[[#This Row],[销售金额]]-表1[[#This Row],[退款金额]]</f>
        <v>4623.2347043432128</v>
      </c>
      <c r="K406" s="1">
        <v>396</v>
      </c>
      <c r="L406" s="1">
        <v>599</v>
      </c>
    </row>
    <row r="407" spans="1:12" x14ac:dyDescent="0.3">
      <c r="A407" s="2">
        <v>45908</v>
      </c>
      <c r="B407" s="1" t="s">
        <v>250</v>
      </c>
      <c r="C407" s="1" t="s">
        <v>10</v>
      </c>
      <c r="D407" s="1" t="s">
        <v>199</v>
      </c>
      <c r="E407" s="1" t="s">
        <v>8</v>
      </c>
      <c r="F407" s="1" t="s">
        <v>9</v>
      </c>
      <c r="G407" s="4">
        <v>11</v>
      </c>
      <c r="H407" s="4">
        <v>28808</v>
      </c>
      <c r="I407" s="6">
        <v>26819.378590328633</v>
      </c>
      <c r="J407" s="6">
        <f>表1[[#This Row],[销售金额]]-表1[[#This Row],[退款金额]]</f>
        <v>1988.6214096713666</v>
      </c>
      <c r="K407" s="1">
        <v>998</v>
      </c>
      <c r="L407" s="1">
        <v>26</v>
      </c>
    </row>
    <row r="408" spans="1:12" x14ac:dyDescent="0.3">
      <c r="A408" s="2">
        <v>45908</v>
      </c>
      <c r="B408" s="1" t="s">
        <v>247</v>
      </c>
      <c r="C408" s="1" t="s">
        <v>10</v>
      </c>
      <c r="D408" s="1" t="s">
        <v>191</v>
      </c>
      <c r="E408" s="1" t="s">
        <v>8</v>
      </c>
      <c r="F408" s="1" t="s">
        <v>9</v>
      </c>
      <c r="G408" s="4">
        <v>11</v>
      </c>
      <c r="H408" s="4">
        <v>34125</v>
      </c>
      <c r="I408" s="6">
        <v>29999.765295656787</v>
      </c>
      <c r="J408" s="6">
        <f>表1[[#This Row],[销售金额]]-表1[[#This Row],[退款金额]]</f>
        <v>4125.2347043432128</v>
      </c>
      <c r="K408" s="1">
        <v>396</v>
      </c>
      <c r="L408" s="1">
        <v>599</v>
      </c>
    </row>
    <row r="409" spans="1:12" x14ac:dyDescent="0.3">
      <c r="A409" s="2">
        <v>45908</v>
      </c>
      <c r="B409" s="1" t="s">
        <v>250</v>
      </c>
      <c r="C409" s="1" t="s">
        <v>10</v>
      </c>
      <c r="D409" s="1" t="s">
        <v>199</v>
      </c>
      <c r="E409" s="1" t="s">
        <v>8</v>
      </c>
      <c r="F409" s="1" t="s">
        <v>9</v>
      </c>
      <c r="G409" s="4">
        <v>11</v>
      </c>
      <c r="H409" s="4">
        <v>28723</v>
      </c>
      <c r="I409" s="6">
        <v>26819.378590328633</v>
      </c>
      <c r="J409" s="6">
        <f>表1[[#This Row],[销售金额]]-表1[[#This Row],[退款金额]]</f>
        <v>1903.6214096713666</v>
      </c>
      <c r="K409" s="1">
        <v>998</v>
      </c>
      <c r="L409" s="1">
        <v>26</v>
      </c>
    </row>
    <row r="410" spans="1:12" x14ac:dyDescent="0.3">
      <c r="A410" s="2">
        <v>45908</v>
      </c>
      <c r="B410" s="1" t="s">
        <v>247</v>
      </c>
      <c r="C410" s="1" t="s">
        <v>10</v>
      </c>
      <c r="D410" s="1" t="s">
        <v>191</v>
      </c>
      <c r="E410" s="1" t="s">
        <v>8</v>
      </c>
      <c r="F410" s="1" t="s">
        <v>9</v>
      </c>
      <c r="G410" s="4">
        <v>11</v>
      </c>
      <c r="H410" s="4">
        <v>31571</v>
      </c>
      <c r="I410" s="6">
        <v>29999.765295656787</v>
      </c>
      <c r="J410" s="6">
        <f>表1[[#This Row],[销售金额]]-表1[[#This Row],[退款金额]]</f>
        <v>1571.2347043432128</v>
      </c>
      <c r="K410" s="1">
        <v>396</v>
      </c>
      <c r="L410" s="1">
        <v>599</v>
      </c>
    </row>
    <row r="411" spans="1:12" x14ac:dyDescent="0.3">
      <c r="A411" s="2">
        <v>45908</v>
      </c>
      <c r="B411" s="1" t="s">
        <v>250</v>
      </c>
      <c r="C411" s="1" t="s">
        <v>10</v>
      </c>
      <c r="D411" s="1" t="s">
        <v>199</v>
      </c>
      <c r="E411" s="1" t="s">
        <v>8</v>
      </c>
      <c r="F411" s="1" t="s">
        <v>9</v>
      </c>
      <c r="G411" s="4">
        <v>11</v>
      </c>
      <c r="H411" s="4">
        <v>31420</v>
      </c>
      <c r="I411" s="6">
        <v>26819.378590328633</v>
      </c>
      <c r="J411" s="6">
        <f>表1[[#This Row],[销售金额]]-表1[[#This Row],[退款金额]]</f>
        <v>4600.6214096713666</v>
      </c>
      <c r="K411" s="1">
        <v>998</v>
      </c>
      <c r="L411" s="1">
        <v>26</v>
      </c>
    </row>
    <row r="412" spans="1:12" x14ac:dyDescent="0.3">
      <c r="A412" s="2">
        <v>45908</v>
      </c>
      <c r="B412" s="1" t="s">
        <v>247</v>
      </c>
      <c r="C412" s="1" t="s">
        <v>10</v>
      </c>
      <c r="D412" s="1" t="s">
        <v>191</v>
      </c>
      <c r="E412" s="1" t="s">
        <v>8</v>
      </c>
      <c r="F412" s="1" t="s">
        <v>9</v>
      </c>
      <c r="G412" s="4">
        <v>11</v>
      </c>
      <c r="H412" s="4">
        <v>32629</v>
      </c>
      <c r="I412" s="6">
        <v>29999.765295656787</v>
      </c>
      <c r="J412" s="6">
        <f>表1[[#This Row],[销售金额]]-表1[[#This Row],[退款金额]]</f>
        <v>2629.2347043432128</v>
      </c>
      <c r="K412" s="1">
        <v>396</v>
      </c>
      <c r="L412" s="1">
        <v>599</v>
      </c>
    </row>
    <row r="413" spans="1:12" x14ac:dyDescent="0.3">
      <c r="A413" s="2">
        <v>45908</v>
      </c>
      <c r="B413" s="1" t="s">
        <v>250</v>
      </c>
      <c r="C413" s="1" t="s">
        <v>10</v>
      </c>
      <c r="D413" s="1" t="s">
        <v>199</v>
      </c>
      <c r="E413" s="1" t="s">
        <v>8</v>
      </c>
      <c r="F413" s="1" t="s">
        <v>9</v>
      </c>
      <c r="G413" s="4">
        <v>11</v>
      </c>
      <c r="H413" s="4">
        <v>28830</v>
      </c>
      <c r="I413" s="6">
        <v>26819.378590328633</v>
      </c>
      <c r="J413" s="6">
        <f>表1[[#This Row],[销售金额]]-表1[[#This Row],[退款金额]]</f>
        <v>2010.6214096713666</v>
      </c>
      <c r="K413" s="1">
        <v>998</v>
      </c>
      <c r="L413" s="1">
        <v>26</v>
      </c>
    </row>
    <row r="414" spans="1:12" x14ac:dyDescent="0.3">
      <c r="A414" s="2">
        <v>45908</v>
      </c>
      <c r="B414" s="1" t="s">
        <v>247</v>
      </c>
      <c r="C414" s="1" t="s">
        <v>10</v>
      </c>
      <c r="D414" s="1" t="s">
        <v>191</v>
      </c>
      <c r="E414" s="1" t="s">
        <v>8</v>
      </c>
      <c r="F414" s="1" t="s">
        <v>9</v>
      </c>
      <c r="G414" s="4">
        <v>11</v>
      </c>
      <c r="H414" s="4">
        <v>33686</v>
      </c>
      <c r="I414" s="6">
        <v>29999.765295656787</v>
      </c>
      <c r="J414" s="6">
        <f>表1[[#This Row],[销售金额]]-表1[[#This Row],[退款金额]]</f>
        <v>3686.2347043432128</v>
      </c>
      <c r="K414" s="1">
        <v>396</v>
      </c>
      <c r="L414" s="1">
        <v>599</v>
      </c>
    </row>
    <row r="415" spans="1:12" x14ac:dyDescent="0.3">
      <c r="A415" s="2">
        <v>45908</v>
      </c>
      <c r="B415" s="1" t="s">
        <v>250</v>
      </c>
      <c r="C415" s="1" t="s">
        <v>10</v>
      </c>
      <c r="D415" s="1" t="s">
        <v>199</v>
      </c>
      <c r="E415" s="1" t="s">
        <v>8</v>
      </c>
      <c r="F415" s="1" t="s">
        <v>9</v>
      </c>
      <c r="G415" s="4">
        <v>11</v>
      </c>
      <c r="H415" s="4">
        <v>27645</v>
      </c>
      <c r="I415" s="6">
        <v>26819.378590328633</v>
      </c>
      <c r="J415" s="6">
        <f>表1[[#This Row],[销售金额]]-表1[[#This Row],[退款金额]]</f>
        <v>825.62140967136656</v>
      </c>
      <c r="K415" s="1">
        <v>998</v>
      </c>
      <c r="L415" s="1">
        <v>26</v>
      </c>
    </row>
    <row r="416" spans="1:12" x14ac:dyDescent="0.3">
      <c r="A416" s="2">
        <v>45908</v>
      </c>
      <c r="B416" s="1" t="s">
        <v>247</v>
      </c>
      <c r="C416" s="1" t="s">
        <v>10</v>
      </c>
      <c r="D416" s="1" t="s">
        <v>191</v>
      </c>
      <c r="E416" s="1" t="s">
        <v>8</v>
      </c>
      <c r="F416" s="1" t="s">
        <v>9</v>
      </c>
      <c r="G416" s="4">
        <v>11</v>
      </c>
      <c r="H416" s="4">
        <v>30953</v>
      </c>
      <c r="I416" s="6">
        <v>29999.765295656787</v>
      </c>
      <c r="J416" s="6">
        <f>表1[[#This Row],[销售金额]]-表1[[#This Row],[退款金额]]</f>
        <v>953.2347043432128</v>
      </c>
      <c r="K416" s="1">
        <v>396</v>
      </c>
      <c r="L416" s="1">
        <v>599</v>
      </c>
    </row>
    <row r="417" spans="1:12" x14ac:dyDescent="0.3">
      <c r="A417" s="2">
        <v>45908</v>
      </c>
      <c r="B417" s="1" t="s">
        <v>250</v>
      </c>
      <c r="C417" s="1" t="s">
        <v>10</v>
      </c>
      <c r="D417" s="1" t="s">
        <v>199</v>
      </c>
      <c r="E417" s="1" t="s">
        <v>8</v>
      </c>
      <c r="F417" s="1" t="s">
        <v>9</v>
      </c>
      <c r="G417" s="4">
        <v>11</v>
      </c>
      <c r="H417" s="4">
        <v>31400</v>
      </c>
      <c r="I417" s="6">
        <v>26819.378590328633</v>
      </c>
      <c r="J417" s="6">
        <f>表1[[#This Row],[销售金额]]-表1[[#This Row],[退款金额]]</f>
        <v>4580.6214096713666</v>
      </c>
      <c r="K417" s="1">
        <v>998</v>
      </c>
      <c r="L417" s="1">
        <v>26</v>
      </c>
    </row>
    <row r="418" spans="1:12" x14ac:dyDescent="0.3">
      <c r="A418" s="2">
        <v>45908</v>
      </c>
      <c r="B418" s="1" t="s">
        <v>247</v>
      </c>
      <c r="C418" s="1" t="s">
        <v>10</v>
      </c>
      <c r="D418" s="1" t="s">
        <v>191</v>
      </c>
      <c r="E418" s="1" t="s">
        <v>8</v>
      </c>
      <c r="F418" s="1" t="s">
        <v>9</v>
      </c>
      <c r="G418" s="4">
        <v>11</v>
      </c>
      <c r="H418" s="4">
        <v>33326</v>
      </c>
      <c r="I418" s="6">
        <v>29999.765295656787</v>
      </c>
      <c r="J418" s="6">
        <f>表1[[#This Row],[销售金额]]-表1[[#This Row],[退款金额]]</f>
        <v>3326.2347043432128</v>
      </c>
      <c r="K418" s="1">
        <v>396</v>
      </c>
      <c r="L418" s="1">
        <v>599</v>
      </c>
    </row>
    <row r="419" spans="1:12" x14ac:dyDescent="0.3">
      <c r="A419" s="2">
        <v>45908</v>
      </c>
      <c r="B419" s="1" t="s">
        <v>250</v>
      </c>
      <c r="C419" s="1" t="s">
        <v>10</v>
      </c>
      <c r="D419" s="1" t="s">
        <v>199</v>
      </c>
      <c r="E419" s="1" t="s">
        <v>8</v>
      </c>
      <c r="F419" s="1" t="s">
        <v>9</v>
      </c>
      <c r="G419" s="4">
        <v>11</v>
      </c>
      <c r="H419" s="4">
        <v>27778</v>
      </c>
      <c r="I419" s="6">
        <v>26819.378590328633</v>
      </c>
      <c r="J419" s="6">
        <f>表1[[#This Row],[销售金额]]-表1[[#This Row],[退款金额]]</f>
        <v>958.62140967136656</v>
      </c>
      <c r="K419" s="1">
        <v>998</v>
      </c>
      <c r="L419" s="1">
        <v>26</v>
      </c>
    </row>
    <row r="420" spans="1:12" x14ac:dyDescent="0.3">
      <c r="A420" s="2">
        <v>45908</v>
      </c>
      <c r="B420" s="1" t="s">
        <v>248</v>
      </c>
      <c r="C420" s="1" t="s">
        <v>10</v>
      </c>
      <c r="D420" s="1" t="s">
        <v>47</v>
      </c>
      <c r="E420" s="1" t="s">
        <v>34</v>
      </c>
      <c r="F420" s="1" t="s">
        <v>35</v>
      </c>
      <c r="G420" s="4">
        <v>12</v>
      </c>
      <c r="H420" s="4">
        <v>62024</v>
      </c>
      <c r="I420" s="6">
        <v>58922.233142220488</v>
      </c>
      <c r="J420" s="6">
        <f>表1[[#This Row],[销售金额]]-表1[[#This Row],[退款金额]]</f>
        <v>3101.7668577795121</v>
      </c>
      <c r="K420" s="1">
        <v>138</v>
      </c>
      <c r="L420" s="1">
        <v>815</v>
      </c>
    </row>
    <row r="421" spans="1:12" x14ac:dyDescent="0.3">
      <c r="A421" s="2">
        <v>45908</v>
      </c>
      <c r="B421" s="1" t="s">
        <v>248</v>
      </c>
      <c r="C421" s="1" t="s">
        <v>10</v>
      </c>
      <c r="D421" s="1" t="s">
        <v>47</v>
      </c>
      <c r="E421" s="1" t="s">
        <v>34</v>
      </c>
      <c r="F421" s="1" t="s">
        <v>35</v>
      </c>
      <c r="G421" s="4">
        <v>12</v>
      </c>
      <c r="H421" s="4">
        <v>63328</v>
      </c>
      <c r="I421" s="6">
        <v>58922.233142220488</v>
      </c>
      <c r="J421" s="6">
        <f>表1[[#This Row],[销售金额]]-表1[[#This Row],[退款金额]]</f>
        <v>4405.7668577795121</v>
      </c>
      <c r="K421" s="1">
        <v>138</v>
      </c>
      <c r="L421" s="1">
        <v>815</v>
      </c>
    </row>
    <row r="422" spans="1:12" x14ac:dyDescent="0.3">
      <c r="A422" s="2">
        <v>45908</v>
      </c>
      <c r="B422" s="1" t="s">
        <v>248</v>
      </c>
      <c r="C422" s="1" t="s">
        <v>10</v>
      </c>
      <c r="D422" s="1" t="s">
        <v>47</v>
      </c>
      <c r="E422" s="1" t="s">
        <v>34</v>
      </c>
      <c r="F422" s="1" t="s">
        <v>35</v>
      </c>
      <c r="G422" s="4">
        <v>12</v>
      </c>
      <c r="H422" s="4">
        <v>63562</v>
      </c>
      <c r="I422" s="6">
        <v>58922.233142220488</v>
      </c>
      <c r="J422" s="6">
        <f>表1[[#This Row],[销售金额]]-表1[[#This Row],[退款金额]]</f>
        <v>4639.7668577795121</v>
      </c>
      <c r="K422" s="1">
        <v>138</v>
      </c>
      <c r="L422" s="1">
        <v>815</v>
      </c>
    </row>
    <row r="423" spans="1:12" x14ac:dyDescent="0.3">
      <c r="A423" s="2">
        <v>45908</v>
      </c>
      <c r="B423" s="1" t="s">
        <v>248</v>
      </c>
      <c r="C423" s="1" t="s">
        <v>10</v>
      </c>
      <c r="D423" s="1" t="s">
        <v>47</v>
      </c>
      <c r="E423" s="1" t="s">
        <v>34</v>
      </c>
      <c r="F423" s="1" t="s">
        <v>35</v>
      </c>
      <c r="G423" s="4">
        <v>12</v>
      </c>
      <c r="H423" s="4">
        <v>61185</v>
      </c>
      <c r="I423" s="6">
        <v>58922.233142220488</v>
      </c>
      <c r="J423" s="6">
        <f>表1[[#This Row],[销售金额]]-表1[[#This Row],[退款金额]]</f>
        <v>2262.7668577795121</v>
      </c>
      <c r="K423" s="1">
        <v>138</v>
      </c>
      <c r="L423" s="1">
        <v>815</v>
      </c>
    </row>
    <row r="424" spans="1:12" x14ac:dyDescent="0.3">
      <c r="A424" s="2">
        <v>45908</v>
      </c>
      <c r="B424" s="1" t="s">
        <v>248</v>
      </c>
      <c r="C424" s="1" t="s">
        <v>10</v>
      </c>
      <c r="D424" s="1" t="s">
        <v>47</v>
      </c>
      <c r="E424" s="1" t="s">
        <v>34</v>
      </c>
      <c r="F424" s="1" t="s">
        <v>35</v>
      </c>
      <c r="G424" s="4">
        <v>12</v>
      </c>
      <c r="H424" s="4">
        <v>61535</v>
      </c>
      <c r="I424" s="6">
        <v>58922.233142220488</v>
      </c>
      <c r="J424" s="6">
        <f>表1[[#This Row],[销售金额]]-表1[[#This Row],[退款金额]]</f>
        <v>2612.7668577795121</v>
      </c>
      <c r="K424" s="1">
        <v>138</v>
      </c>
      <c r="L424" s="1">
        <v>815</v>
      </c>
    </row>
    <row r="425" spans="1:12" x14ac:dyDescent="0.3">
      <c r="A425" s="2">
        <v>45908</v>
      </c>
      <c r="B425" s="1" t="s">
        <v>248</v>
      </c>
      <c r="C425" s="1" t="s">
        <v>10</v>
      </c>
      <c r="D425" s="1" t="s">
        <v>47</v>
      </c>
      <c r="E425" s="1" t="s">
        <v>34</v>
      </c>
      <c r="F425" s="1" t="s">
        <v>35</v>
      </c>
      <c r="G425" s="4">
        <v>12</v>
      </c>
      <c r="H425" s="4">
        <v>62868</v>
      </c>
      <c r="I425" s="6">
        <v>58922.233142220488</v>
      </c>
      <c r="J425" s="6">
        <f>表1[[#This Row],[销售金额]]-表1[[#This Row],[退款金额]]</f>
        <v>3945.7668577795121</v>
      </c>
      <c r="K425" s="1">
        <v>138</v>
      </c>
      <c r="L425" s="1">
        <v>815</v>
      </c>
    </row>
    <row r="426" spans="1:12" x14ac:dyDescent="0.3">
      <c r="A426" s="2">
        <v>45908</v>
      </c>
      <c r="B426" s="1" t="s">
        <v>248</v>
      </c>
      <c r="C426" s="1" t="s">
        <v>10</v>
      </c>
      <c r="D426" s="1" t="s">
        <v>47</v>
      </c>
      <c r="E426" s="1" t="s">
        <v>34</v>
      </c>
      <c r="F426" s="1" t="s">
        <v>35</v>
      </c>
      <c r="G426" s="4">
        <v>12</v>
      </c>
      <c r="H426" s="4">
        <v>59150</v>
      </c>
      <c r="I426" s="6">
        <v>58922.233142220488</v>
      </c>
      <c r="J426" s="6">
        <f>表1[[#This Row],[销售金额]]-表1[[#This Row],[退款金额]]</f>
        <v>227.76685777951207</v>
      </c>
      <c r="K426" s="1">
        <v>138</v>
      </c>
      <c r="L426" s="1">
        <v>815</v>
      </c>
    </row>
    <row r="427" spans="1:12" x14ac:dyDescent="0.3">
      <c r="A427" s="2">
        <v>45908</v>
      </c>
      <c r="B427" s="1" t="s">
        <v>248</v>
      </c>
      <c r="C427" s="1" t="s">
        <v>10</v>
      </c>
      <c r="D427" s="1" t="s">
        <v>47</v>
      </c>
      <c r="E427" s="1" t="s">
        <v>34</v>
      </c>
      <c r="F427" s="1" t="s">
        <v>35</v>
      </c>
      <c r="G427" s="4">
        <v>12</v>
      </c>
      <c r="H427" s="4">
        <v>61617</v>
      </c>
      <c r="I427" s="6">
        <v>58922.233142220488</v>
      </c>
      <c r="J427" s="6">
        <f>表1[[#This Row],[销售金额]]-表1[[#This Row],[退款金额]]</f>
        <v>2694.7668577795121</v>
      </c>
      <c r="K427" s="1">
        <v>138</v>
      </c>
      <c r="L427" s="1">
        <v>815</v>
      </c>
    </row>
    <row r="428" spans="1:12" x14ac:dyDescent="0.3">
      <c r="A428" s="2">
        <v>45908</v>
      </c>
      <c r="B428" s="1" t="s">
        <v>250</v>
      </c>
      <c r="C428" s="1" t="s">
        <v>19</v>
      </c>
      <c r="D428" s="1" t="s">
        <v>161</v>
      </c>
      <c r="E428" s="1" t="s">
        <v>75</v>
      </c>
      <c r="F428" s="1" t="s">
        <v>76</v>
      </c>
      <c r="G428" s="4">
        <v>13</v>
      </c>
      <c r="H428" s="4">
        <v>3759</v>
      </c>
      <c r="I428" s="6">
        <v>2670.9729859181789</v>
      </c>
      <c r="J428" s="6">
        <f>表1[[#This Row],[销售金额]]-表1[[#This Row],[退款金额]]</f>
        <v>1088.0270140818211</v>
      </c>
      <c r="K428" s="1">
        <v>618</v>
      </c>
      <c r="L428" s="1">
        <v>591</v>
      </c>
    </row>
    <row r="429" spans="1:12" x14ac:dyDescent="0.3">
      <c r="A429" s="2">
        <v>45908</v>
      </c>
      <c r="B429" s="1" t="s">
        <v>250</v>
      </c>
      <c r="C429" s="1" t="s">
        <v>19</v>
      </c>
      <c r="D429" s="1" t="s">
        <v>161</v>
      </c>
      <c r="E429" s="1" t="s">
        <v>75</v>
      </c>
      <c r="F429" s="1" t="s">
        <v>76</v>
      </c>
      <c r="G429" s="4">
        <v>13</v>
      </c>
      <c r="H429" s="4">
        <v>3051</v>
      </c>
      <c r="I429" s="6">
        <v>2670.9729859181789</v>
      </c>
      <c r="J429" s="6">
        <f>表1[[#This Row],[销售金额]]-表1[[#This Row],[退款金额]]</f>
        <v>380.02701408182111</v>
      </c>
      <c r="K429" s="1">
        <v>618</v>
      </c>
      <c r="L429" s="1">
        <v>591</v>
      </c>
    </row>
    <row r="430" spans="1:12" x14ac:dyDescent="0.3">
      <c r="A430" s="2">
        <v>45908</v>
      </c>
      <c r="B430" s="1" t="s">
        <v>250</v>
      </c>
      <c r="C430" s="1" t="s">
        <v>19</v>
      </c>
      <c r="D430" s="1" t="s">
        <v>161</v>
      </c>
      <c r="E430" s="1" t="s">
        <v>75</v>
      </c>
      <c r="F430" s="1" t="s">
        <v>76</v>
      </c>
      <c r="G430" s="4">
        <v>13</v>
      </c>
      <c r="H430" s="4">
        <v>6598</v>
      </c>
      <c r="I430" s="6">
        <v>2670.9729859181789</v>
      </c>
      <c r="J430" s="6">
        <f>表1[[#This Row],[销售金额]]-表1[[#This Row],[退款金额]]</f>
        <v>3927.0270140818211</v>
      </c>
      <c r="K430" s="1">
        <v>618</v>
      </c>
      <c r="L430" s="1">
        <v>591</v>
      </c>
    </row>
    <row r="431" spans="1:12" x14ac:dyDescent="0.3">
      <c r="A431" s="2">
        <v>45908</v>
      </c>
      <c r="B431" s="1" t="s">
        <v>250</v>
      </c>
      <c r="C431" s="1" t="s">
        <v>19</v>
      </c>
      <c r="D431" s="1" t="s">
        <v>161</v>
      </c>
      <c r="E431" s="1" t="s">
        <v>75</v>
      </c>
      <c r="F431" s="1" t="s">
        <v>76</v>
      </c>
      <c r="G431" s="4">
        <v>13</v>
      </c>
      <c r="H431" s="4">
        <v>7107</v>
      </c>
      <c r="I431" s="6">
        <v>2670.9729859181789</v>
      </c>
      <c r="J431" s="6">
        <f>表1[[#This Row],[销售金额]]-表1[[#This Row],[退款金额]]</f>
        <v>4436.0270140818211</v>
      </c>
      <c r="K431" s="1">
        <v>618</v>
      </c>
      <c r="L431" s="1">
        <v>591</v>
      </c>
    </row>
    <row r="432" spans="1:12" x14ac:dyDescent="0.3">
      <c r="A432" s="2">
        <v>45908</v>
      </c>
      <c r="B432" s="1" t="s">
        <v>250</v>
      </c>
      <c r="C432" s="1" t="s">
        <v>19</v>
      </c>
      <c r="D432" s="1" t="s">
        <v>161</v>
      </c>
      <c r="E432" s="1" t="s">
        <v>75</v>
      </c>
      <c r="F432" s="1" t="s">
        <v>76</v>
      </c>
      <c r="G432" s="4">
        <v>13</v>
      </c>
      <c r="H432" s="4">
        <v>3443</v>
      </c>
      <c r="I432" s="6">
        <v>2670.9729859181789</v>
      </c>
      <c r="J432" s="6">
        <f>表1[[#This Row],[销售金额]]-表1[[#This Row],[退款金额]]</f>
        <v>772.02701408182111</v>
      </c>
      <c r="K432" s="1">
        <v>618</v>
      </c>
      <c r="L432" s="1">
        <v>591</v>
      </c>
    </row>
    <row r="433" spans="1:12" x14ac:dyDescent="0.3">
      <c r="A433" s="2">
        <v>45908</v>
      </c>
      <c r="B433" s="1" t="s">
        <v>250</v>
      </c>
      <c r="C433" s="1" t="s">
        <v>19</v>
      </c>
      <c r="D433" s="1" t="s">
        <v>161</v>
      </c>
      <c r="E433" s="1" t="s">
        <v>75</v>
      </c>
      <c r="F433" s="1" t="s">
        <v>76</v>
      </c>
      <c r="G433" s="4">
        <v>13</v>
      </c>
      <c r="H433" s="4">
        <v>3455</v>
      </c>
      <c r="I433" s="6">
        <v>2670.9729859181789</v>
      </c>
      <c r="J433" s="6">
        <f>表1[[#This Row],[销售金额]]-表1[[#This Row],[退款金额]]</f>
        <v>784.02701408182111</v>
      </c>
      <c r="K433" s="1">
        <v>618</v>
      </c>
      <c r="L433" s="1">
        <v>591</v>
      </c>
    </row>
    <row r="434" spans="1:12" x14ac:dyDescent="0.3">
      <c r="A434" s="2">
        <v>45908</v>
      </c>
      <c r="B434" s="1" t="s">
        <v>250</v>
      </c>
      <c r="C434" s="1" t="s">
        <v>19</v>
      </c>
      <c r="D434" s="1" t="s">
        <v>161</v>
      </c>
      <c r="E434" s="1" t="s">
        <v>75</v>
      </c>
      <c r="F434" s="1" t="s">
        <v>76</v>
      </c>
      <c r="G434" s="4">
        <v>13</v>
      </c>
      <c r="H434" s="4">
        <v>4466</v>
      </c>
      <c r="I434" s="6">
        <v>2670.9729859181789</v>
      </c>
      <c r="J434" s="6">
        <f>表1[[#This Row],[销售金额]]-表1[[#This Row],[退款金额]]</f>
        <v>1795.0270140818211</v>
      </c>
      <c r="K434" s="1">
        <v>618</v>
      </c>
      <c r="L434" s="1">
        <v>591</v>
      </c>
    </row>
    <row r="435" spans="1:12" x14ac:dyDescent="0.3">
      <c r="A435" s="2">
        <v>45908</v>
      </c>
      <c r="B435" s="1" t="s">
        <v>250</v>
      </c>
      <c r="C435" s="1" t="s">
        <v>19</v>
      </c>
      <c r="D435" s="1" t="s">
        <v>161</v>
      </c>
      <c r="E435" s="1" t="s">
        <v>75</v>
      </c>
      <c r="F435" s="1" t="s">
        <v>76</v>
      </c>
      <c r="G435" s="4">
        <v>13</v>
      </c>
      <c r="H435" s="4">
        <v>7539</v>
      </c>
      <c r="I435" s="6">
        <v>2670.9729859181789</v>
      </c>
      <c r="J435" s="6">
        <f>表1[[#This Row],[销售金额]]-表1[[#This Row],[退款金额]]</f>
        <v>4868.0270140818211</v>
      </c>
      <c r="K435" s="1">
        <v>618</v>
      </c>
      <c r="L435" s="1">
        <v>591</v>
      </c>
    </row>
    <row r="436" spans="1:12" x14ac:dyDescent="0.3">
      <c r="A436" s="2">
        <v>45908</v>
      </c>
      <c r="B436" s="1" t="s">
        <v>250</v>
      </c>
      <c r="C436" s="1" t="s">
        <v>19</v>
      </c>
      <c r="D436" s="1" t="s">
        <v>161</v>
      </c>
      <c r="E436" s="1" t="s">
        <v>75</v>
      </c>
      <c r="F436" s="1" t="s">
        <v>76</v>
      </c>
      <c r="G436" s="4">
        <v>13</v>
      </c>
      <c r="H436" s="4">
        <v>5335</v>
      </c>
      <c r="I436" s="6">
        <v>2670.9729859181789</v>
      </c>
      <c r="J436" s="6">
        <f>表1[[#This Row],[销售金额]]-表1[[#This Row],[退款金额]]</f>
        <v>2664.0270140818211</v>
      </c>
      <c r="K436" s="1">
        <v>618</v>
      </c>
      <c r="L436" s="1">
        <v>591</v>
      </c>
    </row>
    <row r="437" spans="1:12" x14ac:dyDescent="0.3">
      <c r="A437" s="2">
        <v>45909</v>
      </c>
      <c r="B437" s="1" t="s">
        <v>248</v>
      </c>
      <c r="C437" s="1" t="s">
        <v>32</v>
      </c>
      <c r="D437" s="1" t="s">
        <v>219</v>
      </c>
      <c r="E437" s="1" t="s">
        <v>60</v>
      </c>
      <c r="F437" s="1" t="s">
        <v>61</v>
      </c>
      <c r="G437" s="4">
        <v>1</v>
      </c>
      <c r="H437" s="4">
        <v>3218</v>
      </c>
      <c r="I437" s="6">
        <v>312.84385844519414</v>
      </c>
      <c r="J437" s="6">
        <f>表1[[#This Row],[销售金额]]-表1[[#This Row],[退款金额]]</f>
        <v>2905.1561415548058</v>
      </c>
      <c r="K437" s="1">
        <v>603</v>
      </c>
      <c r="L437" s="1">
        <v>933</v>
      </c>
    </row>
    <row r="438" spans="1:12" x14ac:dyDescent="0.3">
      <c r="A438" s="2">
        <v>45909</v>
      </c>
      <c r="B438" s="1" t="s">
        <v>248</v>
      </c>
      <c r="C438" s="1" t="s">
        <v>32</v>
      </c>
      <c r="D438" s="1" t="s">
        <v>219</v>
      </c>
      <c r="E438" s="1" t="s">
        <v>60</v>
      </c>
      <c r="F438" s="1" t="s">
        <v>61</v>
      </c>
      <c r="G438" s="4">
        <v>1</v>
      </c>
      <c r="H438" s="4">
        <v>2323</v>
      </c>
      <c r="I438" s="6">
        <v>312.84385844519414</v>
      </c>
      <c r="J438" s="6">
        <f>表1[[#This Row],[销售金额]]-表1[[#This Row],[退款金额]]</f>
        <v>2010.1561415548058</v>
      </c>
      <c r="K438" s="1">
        <v>603</v>
      </c>
      <c r="L438" s="1">
        <v>933</v>
      </c>
    </row>
    <row r="439" spans="1:12" x14ac:dyDescent="0.3">
      <c r="A439" s="2">
        <v>45909</v>
      </c>
      <c r="B439" s="1" t="s">
        <v>248</v>
      </c>
      <c r="C439" s="1" t="s">
        <v>32</v>
      </c>
      <c r="D439" s="1" t="s">
        <v>219</v>
      </c>
      <c r="E439" s="1" t="s">
        <v>60</v>
      </c>
      <c r="F439" s="1" t="s">
        <v>61</v>
      </c>
      <c r="G439" s="4">
        <v>1</v>
      </c>
      <c r="H439" s="4">
        <v>4254</v>
      </c>
      <c r="I439" s="6">
        <v>312.84385844519414</v>
      </c>
      <c r="J439" s="6">
        <f>表1[[#This Row],[销售金额]]-表1[[#This Row],[退款金额]]</f>
        <v>3941.1561415548058</v>
      </c>
      <c r="K439" s="1">
        <v>603</v>
      </c>
      <c r="L439" s="1">
        <v>933</v>
      </c>
    </row>
    <row r="440" spans="1:12" x14ac:dyDescent="0.3">
      <c r="A440" s="2">
        <v>45909</v>
      </c>
      <c r="B440" s="1" t="s">
        <v>248</v>
      </c>
      <c r="C440" s="1" t="s">
        <v>32</v>
      </c>
      <c r="D440" s="1" t="s">
        <v>219</v>
      </c>
      <c r="E440" s="1" t="s">
        <v>60</v>
      </c>
      <c r="F440" s="1" t="s">
        <v>61</v>
      </c>
      <c r="G440" s="4">
        <v>1</v>
      </c>
      <c r="H440" s="4">
        <v>3780</v>
      </c>
      <c r="I440" s="6">
        <v>312.84385844519414</v>
      </c>
      <c r="J440" s="6">
        <f>表1[[#This Row],[销售金额]]-表1[[#This Row],[退款金额]]</f>
        <v>3467.1561415548058</v>
      </c>
      <c r="K440" s="1">
        <v>603</v>
      </c>
      <c r="L440" s="1">
        <v>933</v>
      </c>
    </row>
    <row r="441" spans="1:12" x14ac:dyDescent="0.3">
      <c r="A441" s="2">
        <v>45909</v>
      </c>
      <c r="B441" s="1" t="s">
        <v>248</v>
      </c>
      <c r="C441" s="1" t="s">
        <v>32</v>
      </c>
      <c r="D441" s="1" t="s">
        <v>219</v>
      </c>
      <c r="E441" s="1" t="s">
        <v>60</v>
      </c>
      <c r="F441" s="1" t="s">
        <v>61</v>
      </c>
      <c r="G441" s="4">
        <v>1</v>
      </c>
      <c r="H441" s="4">
        <v>2583</v>
      </c>
      <c r="I441" s="6">
        <v>312.84385844519414</v>
      </c>
      <c r="J441" s="6">
        <f>表1[[#This Row],[销售金额]]-表1[[#This Row],[退款金额]]</f>
        <v>2270.1561415548058</v>
      </c>
      <c r="K441" s="1">
        <v>603</v>
      </c>
      <c r="L441" s="1">
        <v>933</v>
      </c>
    </row>
    <row r="442" spans="1:12" x14ac:dyDescent="0.3">
      <c r="A442" s="2">
        <v>45909</v>
      </c>
      <c r="B442" s="1" t="s">
        <v>248</v>
      </c>
      <c r="C442" s="1" t="s">
        <v>32</v>
      </c>
      <c r="D442" s="1" t="s">
        <v>219</v>
      </c>
      <c r="E442" s="1" t="s">
        <v>60</v>
      </c>
      <c r="F442" s="1" t="s">
        <v>61</v>
      </c>
      <c r="G442" s="4">
        <v>1</v>
      </c>
      <c r="H442" s="4">
        <v>1765</v>
      </c>
      <c r="I442" s="6">
        <v>312.84385844519414</v>
      </c>
      <c r="J442" s="6">
        <f>表1[[#This Row],[销售金额]]-表1[[#This Row],[退款金额]]</f>
        <v>1452.1561415548058</v>
      </c>
      <c r="K442" s="1">
        <v>603</v>
      </c>
      <c r="L442" s="1">
        <v>933</v>
      </c>
    </row>
    <row r="443" spans="1:12" x14ac:dyDescent="0.3">
      <c r="A443" s="2">
        <v>45909</v>
      </c>
      <c r="B443" s="1" t="s">
        <v>248</v>
      </c>
      <c r="C443" s="1" t="s">
        <v>32</v>
      </c>
      <c r="D443" s="1" t="s">
        <v>219</v>
      </c>
      <c r="E443" s="1" t="s">
        <v>60</v>
      </c>
      <c r="F443" s="1" t="s">
        <v>61</v>
      </c>
      <c r="G443" s="4">
        <v>1</v>
      </c>
      <c r="H443" s="4">
        <v>1407</v>
      </c>
      <c r="I443" s="6">
        <v>312.84385844519414</v>
      </c>
      <c r="J443" s="6">
        <f>表1[[#This Row],[销售金额]]-表1[[#This Row],[退款金额]]</f>
        <v>1094.1561415548058</v>
      </c>
      <c r="K443" s="1">
        <v>603</v>
      </c>
      <c r="L443" s="1">
        <v>933</v>
      </c>
    </row>
    <row r="444" spans="1:12" x14ac:dyDescent="0.3">
      <c r="A444" s="2">
        <v>45909</v>
      </c>
      <c r="B444" s="1" t="s">
        <v>248</v>
      </c>
      <c r="C444" s="1" t="s">
        <v>32</v>
      </c>
      <c r="D444" s="1" t="s">
        <v>219</v>
      </c>
      <c r="E444" s="1" t="s">
        <v>60</v>
      </c>
      <c r="F444" s="1" t="s">
        <v>61</v>
      </c>
      <c r="G444" s="4">
        <v>1</v>
      </c>
      <c r="H444" s="4">
        <v>3992</v>
      </c>
      <c r="I444" s="6">
        <v>312.84385844519414</v>
      </c>
      <c r="J444" s="6">
        <f>表1[[#This Row],[销售金额]]-表1[[#This Row],[退款金额]]</f>
        <v>3679.1561415548058</v>
      </c>
      <c r="K444" s="1">
        <v>603</v>
      </c>
      <c r="L444" s="1">
        <v>933</v>
      </c>
    </row>
    <row r="445" spans="1:12" x14ac:dyDescent="0.3">
      <c r="A445" s="2">
        <v>45909</v>
      </c>
      <c r="B445" s="1" t="s">
        <v>248</v>
      </c>
      <c r="C445" s="1" t="s">
        <v>32</v>
      </c>
      <c r="D445" s="1" t="s">
        <v>219</v>
      </c>
      <c r="E445" s="1" t="s">
        <v>60</v>
      </c>
      <c r="F445" s="1" t="s">
        <v>61</v>
      </c>
      <c r="G445" s="4">
        <v>1</v>
      </c>
      <c r="H445" s="4">
        <v>2573</v>
      </c>
      <c r="I445" s="6">
        <v>312.84385844519414</v>
      </c>
      <c r="J445" s="6">
        <f>表1[[#This Row],[销售金额]]-表1[[#This Row],[退款金额]]</f>
        <v>2260.1561415548058</v>
      </c>
      <c r="K445" s="1">
        <v>603</v>
      </c>
      <c r="L445" s="1">
        <v>933</v>
      </c>
    </row>
    <row r="446" spans="1:12" x14ac:dyDescent="0.3">
      <c r="A446" s="2">
        <v>45909</v>
      </c>
      <c r="B446" s="1" t="s">
        <v>250</v>
      </c>
      <c r="C446" s="1" t="s">
        <v>10</v>
      </c>
      <c r="D446" s="1" t="s">
        <v>88</v>
      </c>
      <c r="E446" s="1" t="s">
        <v>13</v>
      </c>
      <c r="F446" s="1" t="s">
        <v>14</v>
      </c>
      <c r="G446" s="4">
        <v>2</v>
      </c>
      <c r="H446" s="4">
        <v>3587</v>
      </c>
      <c r="I446" s="6">
        <v>1259.2172854188423</v>
      </c>
      <c r="J446" s="6">
        <f>表1[[#This Row],[销售金额]]-表1[[#This Row],[退款金额]]</f>
        <v>2327.782714581158</v>
      </c>
      <c r="K446" s="1">
        <v>703</v>
      </c>
      <c r="L446" s="1">
        <v>562</v>
      </c>
    </row>
    <row r="447" spans="1:12" x14ac:dyDescent="0.3">
      <c r="A447" s="2">
        <v>45909</v>
      </c>
      <c r="B447" s="1" t="s">
        <v>250</v>
      </c>
      <c r="C447" s="1" t="s">
        <v>10</v>
      </c>
      <c r="D447" s="1" t="s">
        <v>88</v>
      </c>
      <c r="E447" s="1" t="s">
        <v>13</v>
      </c>
      <c r="F447" s="1" t="s">
        <v>14</v>
      </c>
      <c r="G447" s="4">
        <v>2</v>
      </c>
      <c r="H447" s="4">
        <v>5753</v>
      </c>
      <c r="I447" s="6">
        <v>1259.2172854188423</v>
      </c>
      <c r="J447" s="6">
        <f>表1[[#This Row],[销售金额]]-表1[[#This Row],[退款金额]]</f>
        <v>4493.782714581158</v>
      </c>
      <c r="K447" s="1">
        <v>703</v>
      </c>
      <c r="L447" s="1">
        <v>562</v>
      </c>
    </row>
    <row r="448" spans="1:12" x14ac:dyDescent="0.3">
      <c r="A448" s="2">
        <v>45909</v>
      </c>
      <c r="B448" s="1" t="s">
        <v>250</v>
      </c>
      <c r="C448" s="1" t="s">
        <v>10</v>
      </c>
      <c r="D448" s="1" t="s">
        <v>88</v>
      </c>
      <c r="E448" s="1" t="s">
        <v>13</v>
      </c>
      <c r="F448" s="1" t="s">
        <v>14</v>
      </c>
      <c r="G448" s="4">
        <v>2</v>
      </c>
      <c r="H448" s="4">
        <v>2301</v>
      </c>
      <c r="I448" s="6">
        <v>1259.2172854188423</v>
      </c>
      <c r="J448" s="6">
        <f>表1[[#This Row],[销售金额]]-表1[[#This Row],[退款金额]]</f>
        <v>1041.7827145811577</v>
      </c>
      <c r="K448" s="1">
        <v>703</v>
      </c>
      <c r="L448" s="1">
        <v>562</v>
      </c>
    </row>
    <row r="449" spans="1:12" x14ac:dyDescent="0.3">
      <c r="A449" s="2">
        <v>45909</v>
      </c>
      <c r="B449" s="1" t="s">
        <v>250</v>
      </c>
      <c r="C449" s="1" t="s">
        <v>10</v>
      </c>
      <c r="D449" s="1" t="s">
        <v>88</v>
      </c>
      <c r="E449" s="1" t="s">
        <v>13</v>
      </c>
      <c r="F449" s="1" t="s">
        <v>14</v>
      </c>
      <c r="G449" s="4">
        <v>2</v>
      </c>
      <c r="H449" s="4">
        <v>2640</v>
      </c>
      <c r="I449" s="6">
        <v>1259.2172854188423</v>
      </c>
      <c r="J449" s="6">
        <f>表1[[#This Row],[销售金额]]-表1[[#This Row],[退款金额]]</f>
        <v>1380.7827145811577</v>
      </c>
      <c r="K449" s="1">
        <v>703</v>
      </c>
      <c r="L449" s="1">
        <v>562</v>
      </c>
    </row>
    <row r="450" spans="1:12" x14ac:dyDescent="0.3">
      <c r="A450" s="2">
        <v>45909</v>
      </c>
      <c r="B450" s="1" t="s">
        <v>250</v>
      </c>
      <c r="C450" s="1" t="s">
        <v>10</v>
      </c>
      <c r="D450" s="1" t="s">
        <v>88</v>
      </c>
      <c r="E450" s="1" t="s">
        <v>13</v>
      </c>
      <c r="F450" s="1" t="s">
        <v>14</v>
      </c>
      <c r="G450" s="4">
        <v>2</v>
      </c>
      <c r="H450" s="4">
        <v>4792</v>
      </c>
      <c r="I450" s="6">
        <v>1259.2172854188423</v>
      </c>
      <c r="J450" s="6">
        <f>表1[[#This Row],[销售金额]]-表1[[#This Row],[退款金额]]</f>
        <v>3532.782714581158</v>
      </c>
      <c r="K450" s="1">
        <v>703</v>
      </c>
      <c r="L450" s="1">
        <v>562</v>
      </c>
    </row>
    <row r="451" spans="1:12" x14ac:dyDescent="0.3">
      <c r="A451" s="2">
        <v>45909</v>
      </c>
      <c r="B451" s="1" t="s">
        <v>250</v>
      </c>
      <c r="C451" s="1" t="s">
        <v>10</v>
      </c>
      <c r="D451" s="1" t="s">
        <v>88</v>
      </c>
      <c r="E451" s="1" t="s">
        <v>13</v>
      </c>
      <c r="F451" s="1" t="s">
        <v>14</v>
      </c>
      <c r="G451" s="4">
        <v>2</v>
      </c>
      <c r="H451" s="4">
        <v>4683</v>
      </c>
      <c r="I451" s="6">
        <v>1259.2172854188423</v>
      </c>
      <c r="J451" s="6">
        <f>表1[[#This Row],[销售金额]]-表1[[#This Row],[退款金额]]</f>
        <v>3423.782714581158</v>
      </c>
      <c r="K451" s="1">
        <v>703</v>
      </c>
      <c r="L451" s="1">
        <v>562</v>
      </c>
    </row>
    <row r="452" spans="1:12" x14ac:dyDescent="0.3">
      <c r="A452" s="2">
        <v>45909</v>
      </c>
      <c r="B452" s="1" t="s">
        <v>250</v>
      </c>
      <c r="C452" s="1" t="s">
        <v>10</v>
      </c>
      <c r="D452" s="1" t="s">
        <v>88</v>
      </c>
      <c r="E452" s="1" t="s">
        <v>13</v>
      </c>
      <c r="F452" s="1" t="s">
        <v>14</v>
      </c>
      <c r="G452" s="4">
        <v>2</v>
      </c>
      <c r="H452" s="4">
        <v>3788</v>
      </c>
      <c r="I452" s="6">
        <v>1259.2172854188423</v>
      </c>
      <c r="J452" s="6">
        <f>表1[[#This Row],[销售金额]]-表1[[#This Row],[退款金额]]</f>
        <v>2528.782714581158</v>
      </c>
      <c r="K452" s="1">
        <v>703</v>
      </c>
      <c r="L452" s="1">
        <v>562</v>
      </c>
    </row>
    <row r="453" spans="1:12" x14ac:dyDescent="0.3">
      <c r="A453" s="2">
        <v>45909</v>
      </c>
      <c r="B453" s="1" t="s">
        <v>250</v>
      </c>
      <c r="C453" s="1" t="s">
        <v>10</v>
      </c>
      <c r="D453" s="1" t="s">
        <v>88</v>
      </c>
      <c r="E453" s="1" t="s">
        <v>13</v>
      </c>
      <c r="F453" s="1" t="s">
        <v>14</v>
      </c>
      <c r="G453" s="4">
        <v>2</v>
      </c>
      <c r="H453" s="4">
        <v>5212</v>
      </c>
      <c r="I453" s="6">
        <v>1259.2172854188423</v>
      </c>
      <c r="J453" s="6">
        <f>表1[[#This Row],[销售金额]]-表1[[#This Row],[退款金额]]</f>
        <v>3952.782714581158</v>
      </c>
      <c r="K453" s="1">
        <v>703</v>
      </c>
      <c r="L453" s="1">
        <v>562</v>
      </c>
    </row>
    <row r="454" spans="1:12" x14ac:dyDescent="0.3">
      <c r="A454" s="2">
        <v>45909</v>
      </c>
      <c r="B454" s="1" t="s">
        <v>250</v>
      </c>
      <c r="C454" s="1" t="s">
        <v>10</v>
      </c>
      <c r="D454" s="1" t="s">
        <v>88</v>
      </c>
      <c r="E454" s="1" t="s">
        <v>13</v>
      </c>
      <c r="F454" s="1" t="s">
        <v>14</v>
      </c>
      <c r="G454" s="4">
        <v>2</v>
      </c>
      <c r="H454" s="4">
        <v>3007</v>
      </c>
      <c r="I454" s="6">
        <v>1259.2172854188423</v>
      </c>
      <c r="J454" s="6">
        <f>表1[[#This Row],[销售金额]]-表1[[#This Row],[退款金额]]</f>
        <v>1747.7827145811577</v>
      </c>
      <c r="K454" s="1">
        <v>703</v>
      </c>
      <c r="L454" s="1">
        <v>562</v>
      </c>
    </row>
    <row r="455" spans="1:12" x14ac:dyDescent="0.3">
      <c r="A455" s="2">
        <v>45909</v>
      </c>
      <c r="B455" s="1" t="s">
        <v>250</v>
      </c>
      <c r="C455" s="1" t="s">
        <v>10</v>
      </c>
      <c r="D455" s="1" t="s">
        <v>88</v>
      </c>
      <c r="E455" s="1" t="s">
        <v>13</v>
      </c>
      <c r="F455" s="1" t="s">
        <v>14</v>
      </c>
      <c r="G455" s="4">
        <v>2</v>
      </c>
      <c r="H455" s="4">
        <v>5234</v>
      </c>
      <c r="I455" s="6">
        <v>1259.2172854188423</v>
      </c>
      <c r="J455" s="6">
        <f>表1[[#This Row],[销售金额]]-表1[[#This Row],[退款金额]]</f>
        <v>3974.782714581158</v>
      </c>
      <c r="K455" s="1">
        <v>703</v>
      </c>
      <c r="L455" s="1">
        <v>562</v>
      </c>
    </row>
    <row r="456" spans="1:12" x14ac:dyDescent="0.3">
      <c r="A456" s="2">
        <v>45909</v>
      </c>
      <c r="B456" s="1" t="s">
        <v>250</v>
      </c>
      <c r="C456" s="1" t="s">
        <v>10</v>
      </c>
      <c r="D456" s="1" t="s">
        <v>88</v>
      </c>
      <c r="E456" s="1" t="s">
        <v>13</v>
      </c>
      <c r="F456" s="1" t="s">
        <v>14</v>
      </c>
      <c r="G456" s="4">
        <v>2</v>
      </c>
      <c r="H456" s="4">
        <v>6240</v>
      </c>
      <c r="I456" s="6">
        <v>1259.2172854188423</v>
      </c>
      <c r="J456" s="6">
        <f>表1[[#This Row],[销售金额]]-表1[[#This Row],[退款金额]]</f>
        <v>4980.782714581158</v>
      </c>
      <c r="K456" s="1">
        <v>703</v>
      </c>
      <c r="L456" s="1">
        <v>562</v>
      </c>
    </row>
    <row r="457" spans="1:12" x14ac:dyDescent="0.3">
      <c r="A457" s="2">
        <v>45909</v>
      </c>
      <c r="B457" s="1" t="s">
        <v>250</v>
      </c>
      <c r="C457" s="1" t="s">
        <v>10</v>
      </c>
      <c r="D457" s="1" t="s">
        <v>88</v>
      </c>
      <c r="E457" s="1" t="s">
        <v>13</v>
      </c>
      <c r="F457" s="1" t="s">
        <v>14</v>
      </c>
      <c r="G457" s="4">
        <v>2</v>
      </c>
      <c r="H457" s="4">
        <v>4236</v>
      </c>
      <c r="I457" s="6">
        <v>1259.2172854188423</v>
      </c>
      <c r="J457" s="6">
        <f>表1[[#This Row],[销售金额]]-表1[[#This Row],[退款金额]]</f>
        <v>2976.782714581158</v>
      </c>
      <c r="K457" s="1">
        <v>703</v>
      </c>
      <c r="L457" s="1">
        <v>562</v>
      </c>
    </row>
    <row r="458" spans="1:12" x14ac:dyDescent="0.3">
      <c r="A458" s="2">
        <v>45909</v>
      </c>
      <c r="B458" s="1" t="s">
        <v>250</v>
      </c>
      <c r="C458" s="1" t="s">
        <v>10</v>
      </c>
      <c r="D458" s="1" t="s">
        <v>88</v>
      </c>
      <c r="E458" s="1" t="s">
        <v>13</v>
      </c>
      <c r="F458" s="1" t="s">
        <v>14</v>
      </c>
      <c r="G458" s="4">
        <v>2</v>
      </c>
      <c r="H458" s="4">
        <v>1361</v>
      </c>
      <c r="I458" s="6">
        <v>1259.2172854188423</v>
      </c>
      <c r="J458" s="6">
        <f>表1[[#This Row],[销售金额]]-表1[[#This Row],[退款金额]]</f>
        <v>101.78271458115773</v>
      </c>
      <c r="K458" s="1">
        <v>703</v>
      </c>
      <c r="L458" s="1">
        <v>562</v>
      </c>
    </row>
    <row r="459" spans="1:12" x14ac:dyDescent="0.3">
      <c r="A459" s="2">
        <v>45909</v>
      </c>
      <c r="B459" s="1" t="s">
        <v>250</v>
      </c>
      <c r="C459" s="1" t="s">
        <v>10</v>
      </c>
      <c r="D459" s="1" t="s">
        <v>88</v>
      </c>
      <c r="E459" s="1" t="s">
        <v>13</v>
      </c>
      <c r="F459" s="1" t="s">
        <v>14</v>
      </c>
      <c r="G459" s="4">
        <v>2</v>
      </c>
      <c r="H459" s="4">
        <v>3577</v>
      </c>
      <c r="I459" s="6">
        <v>1259.2172854188423</v>
      </c>
      <c r="J459" s="6">
        <f>表1[[#This Row],[销售金额]]-表1[[#This Row],[退款金额]]</f>
        <v>2317.782714581158</v>
      </c>
      <c r="K459" s="1">
        <v>703</v>
      </c>
      <c r="L459" s="1">
        <v>562</v>
      </c>
    </row>
    <row r="460" spans="1:12" x14ac:dyDescent="0.3">
      <c r="A460" s="2">
        <v>45909</v>
      </c>
      <c r="B460" s="1" t="s">
        <v>250</v>
      </c>
      <c r="C460" s="1" t="s">
        <v>10</v>
      </c>
      <c r="D460" s="1" t="s">
        <v>88</v>
      </c>
      <c r="E460" s="1" t="s">
        <v>13</v>
      </c>
      <c r="F460" s="1" t="s">
        <v>14</v>
      </c>
      <c r="G460" s="4">
        <v>2</v>
      </c>
      <c r="H460" s="4">
        <v>6042</v>
      </c>
      <c r="I460" s="6">
        <v>1259.2172854188423</v>
      </c>
      <c r="J460" s="6">
        <f>表1[[#This Row],[销售金额]]-表1[[#This Row],[退款金额]]</f>
        <v>4782.782714581158</v>
      </c>
      <c r="K460" s="1">
        <v>703</v>
      </c>
      <c r="L460" s="1">
        <v>562</v>
      </c>
    </row>
    <row r="461" spans="1:12" x14ac:dyDescent="0.3">
      <c r="A461" s="2">
        <v>45909</v>
      </c>
      <c r="B461" s="1" t="s">
        <v>250</v>
      </c>
      <c r="C461" s="1" t="s">
        <v>10</v>
      </c>
      <c r="D461" s="1" t="s">
        <v>88</v>
      </c>
      <c r="E461" s="1" t="s">
        <v>13</v>
      </c>
      <c r="F461" s="1" t="s">
        <v>14</v>
      </c>
      <c r="G461" s="4">
        <v>2</v>
      </c>
      <c r="H461" s="4">
        <v>2748</v>
      </c>
      <c r="I461" s="6">
        <v>1259.2172854188423</v>
      </c>
      <c r="J461" s="6">
        <f>表1[[#This Row],[销售金额]]-表1[[#This Row],[退款金额]]</f>
        <v>1488.7827145811577</v>
      </c>
      <c r="K461" s="1">
        <v>703</v>
      </c>
      <c r="L461" s="1">
        <v>562</v>
      </c>
    </row>
    <row r="462" spans="1:12" x14ac:dyDescent="0.3">
      <c r="A462" s="2">
        <v>45909</v>
      </c>
      <c r="B462" s="1" t="s">
        <v>250</v>
      </c>
      <c r="C462" s="1" t="s">
        <v>10</v>
      </c>
      <c r="D462" s="1" t="s">
        <v>88</v>
      </c>
      <c r="E462" s="1" t="s">
        <v>13</v>
      </c>
      <c r="F462" s="1" t="s">
        <v>14</v>
      </c>
      <c r="G462" s="4">
        <v>2</v>
      </c>
      <c r="H462" s="4">
        <v>4756</v>
      </c>
      <c r="I462" s="6">
        <v>1259.2172854188423</v>
      </c>
      <c r="J462" s="6">
        <f>表1[[#This Row],[销售金额]]-表1[[#This Row],[退款金额]]</f>
        <v>3496.782714581158</v>
      </c>
      <c r="K462" s="1">
        <v>703</v>
      </c>
      <c r="L462" s="1">
        <v>562</v>
      </c>
    </row>
    <row r="463" spans="1:12" x14ac:dyDescent="0.3">
      <c r="A463" s="2">
        <v>45909</v>
      </c>
      <c r="B463" s="1" t="s">
        <v>250</v>
      </c>
      <c r="C463" s="1" t="s">
        <v>10</v>
      </c>
      <c r="D463" s="1" t="s">
        <v>88</v>
      </c>
      <c r="E463" s="1" t="s">
        <v>13</v>
      </c>
      <c r="F463" s="1" t="s">
        <v>14</v>
      </c>
      <c r="G463" s="4">
        <v>2</v>
      </c>
      <c r="H463" s="4">
        <v>3947</v>
      </c>
      <c r="I463" s="6">
        <v>1259.2172854188423</v>
      </c>
      <c r="J463" s="6">
        <f>表1[[#This Row],[销售金额]]-表1[[#This Row],[退款金额]]</f>
        <v>2687.782714581158</v>
      </c>
      <c r="K463" s="1">
        <v>703</v>
      </c>
      <c r="L463" s="1">
        <v>562</v>
      </c>
    </row>
    <row r="464" spans="1:12" x14ac:dyDescent="0.3">
      <c r="A464" s="2">
        <v>45909</v>
      </c>
      <c r="B464" s="1" t="s">
        <v>247</v>
      </c>
      <c r="C464" s="1" t="s">
        <v>10</v>
      </c>
      <c r="D464" s="1" t="s">
        <v>160</v>
      </c>
      <c r="E464" s="1" t="s">
        <v>34</v>
      </c>
      <c r="F464" s="1" t="s">
        <v>35</v>
      </c>
      <c r="G464" s="4">
        <v>5</v>
      </c>
      <c r="H464" s="4">
        <v>30469</v>
      </c>
      <c r="I464" s="6">
        <v>29946.8841775289</v>
      </c>
      <c r="J464" s="6">
        <f>表1[[#This Row],[销售金额]]-表1[[#This Row],[退款金额]]</f>
        <v>522.11582247109982</v>
      </c>
      <c r="K464" s="1">
        <v>353</v>
      </c>
      <c r="L464" s="1">
        <v>887</v>
      </c>
    </row>
    <row r="465" spans="1:12" x14ac:dyDescent="0.3">
      <c r="A465" s="2">
        <v>45909</v>
      </c>
      <c r="B465" s="1" t="s">
        <v>11</v>
      </c>
      <c r="C465" s="1" t="s">
        <v>10</v>
      </c>
      <c r="D465" s="1" t="s">
        <v>181</v>
      </c>
      <c r="E465" s="1" t="s">
        <v>13</v>
      </c>
      <c r="F465" s="1" t="s">
        <v>14</v>
      </c>
      <c r="G465" s="4">
        <v>5</v>
      </c>
      <c r="H465" s="4">
        <v>10787</v>
      </c>
      <c r="I465" s="6">
        <v>10726.123672421338</v>
      </c>
      <c r="J465" s="6">
        <f>表1[[#This Row],[销售金额]]-表1[[#This Row],[退款金额]]</f>
        <v>60.876327578662313</v>
      </c>
      <c r="K465" s="1">
        <v>780</v>
      </c>
      <c r="L465" s="1">
        <v>494</v>
      </c>
    </row>
    <row r="466" spans="1:12" x14ac:dyDescent="0.3">
      <c r="A466" s="2">
        <v>45909</v>
      </c>
      <c r="B466" s="1" t="s">
        <v>247</v>
      </c>
      <c r="C466" s="1" t="s">
        <v>10</v>
      </c>
      <c r="D466" s="1" t="s">
        <v>160</v>
      </c>
      <c r="E466" s="1" t="s">
        <v>34</v>
      </c>
      <c r="F466" s="1" t="s">
        <v>35</v>
      </c>
      <c r="G466" s="4">
        <v>5</v>
      </c>
      <c r="H466" s="4">
        <v>33104</v>
      </c>
      <c r="I466" s="6">
        <v>29946.8841775289</v>
      </c>
      <c r="J466" s="6">
        <f>表1[[#This Row],[销售金额]]-表1[[#This Row],[退款金额]]</f>
        <v>3157.1158224710998</v>
      </c>
      <c r="K466" s="1">
        <v>353</v>
      </c>
      <c r="L466" s="1">
        <v>887</v>
      </c>
    </row>
    <row r="467" spans="1:12" x14ac:dyDescent="0.3">
      <c r="A467" s="2">
        <v>45909</v>
      </c>
      <c r="B467" s="1" t="s">
        <v>11</v>
      </c>
      <c r="C467" s="1" t="s">
        <v>10</v>
      </c>
      <c r="D467" s="1" t="s">
        <v>181</v>
      </c>
      <c r="E467" s="1" t="s">
        <v>13</v>
      </c>
      <c r="F467" s="1" t="s">
        <v>14</v>
      </c>
      <c r="G467" s="4">
        <v>5</v>
      </c>
      <c r="H467" s="4">
        <v>10842</v>
      </c>
      <c r="I467" s="6">
        <v>10726.123672421338</v>
      </c>
      <c r="J467" s="6">
        <f>表1[[#This Row],[销售金额]]-表1[[#This Row],[退款金额]]</f>
        <v>115.87632757866231</v>
      </c>
      <c r="K467" s="1">
        <v>780</v>
      </c>
      <c r="L467" s="1">
        <v>494</v>
      </c>
    </row>
    <row r="468" spans="1:12" x14ac:dyDescent="0.3">
      <c r="A468" s="2">
        <v>45909</v>
      </c>
      <c r="B468" s="1" t="s">
        <v>247</v>
      </c>
      <c r="C468" s="1" t="s">
        <v>10</v>
      </c>
      <c r="D468" s="1" t="s">
        <v>160</v>
      </c>
      <c r="E468" s="1" t="s">
        <v>34</v>
      </c>
      <c r="F468" s="1" t="s">
        <v>35</v>
      </c>
      <c r="G468" s="4">
        <v>5</v>
      </c>
      <c r="H468" s="4">
        <v>33593</v>
      </c>
      <c r="I468" s="6">
        <v>29946.8841775289</v>
      </c>
      <c r="J468" s="6">
        <f>表1[[#This Row],[销售金额]]-表1[[#This Row],[退款金额]]</f>
        <v>3646.1158224710998</v>
      </c>
      <c r="K468" s="1">
        <v>353</v>
      </c>
      <c r="L468" s="1">
        <v>887</v>
      </c>
    </row>
    <row r="469" spans="1:12" x14ac:dyDescent="0.3">
      <c r="A469" s="2">
        <v>45909</v>
      </c>
      <c r="B469" s="1" t="s">
        <v>11</v>
      </c>
      <c r="C469" s="1" t="s">
        <v>10</v>
      </c>
      <c r="D469" s="1" t="s">
        <v>181</v>
      </c>
      <c r="E469" s="1" t="s">
        <v>13</v>
      </c>
      <c r="F469" s="1" t="s">
        <v>14</v>
      </c>
      <c r="G469" s="4">
        <v>5</v>
      </c>
      <c r="H469" s="4">
        <v>14135</v>
      </c>
      <c r="I469" s="6">
        <v>10726.123672421338</v>
      </c>
      <c r="J469" s="6">
        <f>表1[[#This Row],[销售金额]]-表1[[#This Row],[退款金额]]</f>
        <v>3408.8763275786623</v>
      </c>
      <c r="K469" s="1">
        <v>780</v>
      </c>
      <c r="L469" s="1">
        <v>494</v>
      </c>
    </row>
    <row r="470" spans="1:12" x14ac:dyDescent="0.3">
      <c r="A470" s="2">
        <v>45909</v>
      </c>
      <c r="B470" s="1" t="s">
        <v>247</v>
      </c>
      <c r="C470" s="1" t="s">
        <v>10</v>
      </c>
      <c r="D470" s="1" t="s">
        <v>160</v>
      </c>
      <c r="E470" s="1" t="s">
        <v>34</v>
      </c>
      <c r="F470" s="1" t="s">
        <v>35</v>
      </c>
      <c r="G470" s="4">
        <v>5</v>
      </c>
      <c r="H470" s="4">
        <v>32979</v>
      </c>
      <c r="I470" s="6">
        <v>29946.8841775289</v>
      </c>
      <c r="J470" s="6">
        <f>表1[[#This Row],[销售金额]]-表1[[#This Row],[退款金额]]</f>
        <v>3032.1158224710998</v>
      </c>
      <c r="K470" s="1">
        <v>353</v>
      </c>
      <c r="L470" s="1">
        <v>887</v>
      </c>
    </row>
    <row r="471" spans="1:12" x14ac:dyDescent="0.3">
      <c r="A471" s="2">
        <v>45909</v>
      </c>
      <c r="B471" s="1" t="s">
        <v>11</v>
      </c>
      <c r="C471" s="1" t="s">
        <v>10</v>
      </c>
      <c r="D471" s="1" t="s">
        <v>181</v>
      </c>
      <c r="E471" s="1" t="s">
        <v>13</v>
      </c>
      <c r="F471" s="1" t="s">
        <v>14</v>
      </c>
      <c r="G471" s="4">
        <v>5</v>
      </c>
      <c r="H471" s="4">
        <v>13859</v>
      </c>
      <c r="I471" s="6">
        <v>10726.123672421338</v>
      </c>
      <c r="J471" s="6">
        <f>表1[[#This Row],[销售金额]]-表1[[#This Row],[退款金额]]</f>
        <v>3132.8763275786623</v>
      </c>
      <c r="K471" s="1">
        <v>780</v>
      </c>
      <c r="L471" s="1">
        <v>494</v>
      </c>
    </row>
    <row r="472" spans="1:12" x14ac:dyDescent="0.3">
      <c r="A472" s="2">
        <v>45909</v>
      </c>
      <c r="B472" s="1" t="s">
        <v>247</v>
      </c>
      <c r="C472" s="1" t="s">
        <v>10</v>
      </c>
      <c r="D472" s="1" t="s">
        <v>160</v>
      </c>
      <c r="E472" s="1" t="s">
        <v>34</v>
      </c>
      <c r="F472" s="1" t="s">
        <v>35</v>
      </c>
      <c r="G472" s="4">
        <v>5</v>
      </c>
      <c r="H472" s="4">
        <v>33715</v>
      </c>
      <c r="I472" s="6">
        <v>29946.8841775289</v>
      </c>
      <c r="J472" s="6">
        <f>表1[[#This Row],[销售金额]]-表1[[#This Row],[退款金额]]</f>
        <v>3768.1158224710998</v>
      </c>
      <c r="K472" s="1">
        <v>353</v>
      </c>
      <c r="L472" s="1">
        <v>887</v>
      </c>
    </row>
    <row r="473" spans="1:12" x14ac:dyDescent="0.3">
      <c r="A473" s="2">
        <v>45909</v>
      </c>
      <c r="B473" s="1" t="s">
        <v>11</v>
      </c>
      <c r="C473" s="1" t="s">
        <v>10</v>
      </c>
      <c r="D473" s="1" t="s">
        <v>181</v>
      </c>
      <c r="E473" s="1" t="s">
        <v>13</v>
      </c>
      <c r="F473" s="1" t="s">
        <v>14</v>
      </c>
      <c r="G473" s="4">
        <v>5</v>
      </c>
      <c r="H473" s="4">
        <v>13840</v>
      </c>
      <c r="I473" s="6">
        <v>10726.123672421338</v>
      </c>
      <c r="J473" s="6">
        <f>表1[[#This Row],[销售金额]]-表1[[#This Row],[退款金额]]</f>
        <v>3113.8763275786623</v>
      </c>
      <c r="K473" s="1">
        <v>780</v>
      </c>
      <c r="L473" s="1">
        <v>494</v>
      </c>
    </row>
    <row r="474" spans="1:12" x14ac:dyDescent="0.3">
      <c r="A474" s="2">
        <v>45909</v>
      </c>
      <c r="B474" s="1" t="s">
        <v>247</v>
      </c>
      <c r="C474" s="1" t="s">
        <v>10</v>
      </c>
      <c r="D474" s="1" t="s">
        <v>160</v>
      </c>
      <c r="E474" s="1" t="s">
        <v>34</v>
      </c>
      <c r="F474" s="1" t="s">
        <v>35</v>
      </c>
      <c r="G474" s="4">
        <v>5</v>
      </c>
      <c r="H474" s="4">
        <v>32628</v>
      </c>
      <c r="I474" s="6">
        <v>29946.8841775289</v>
      </c>
      <c r="J474" s="6">
        <f>表1[[#This Row],[销售金额]]-表1[[#This Row],[退款金额]]</f>
        <v>2681.1158224710998</v>
      </c>
      <c r="K474" s="1">
        <v>353</v>
      </c>
      <c r="L474" s="1">
        <v>887</v>
      </c>
    </row>
    <row r="475" spans="1:12" x14ac:dyDescent="0.3">
      <c r="A475" s="2">
        <v>45909</v>
      </c>
      <c r="B475" s="1" t="s">
        <v>11</v>
      </c>
      <c r="C475" s="1" t="s">
        <v>10</v>
      </c>
      <c r="D475" s="1" t="s">
        <v>181</v>
      </c>
      <c r="E475" s="1" t="s">
        <v>13</v>
      </c>
      <c r="F475" s="1" t="s">
        <v>14</v>
      </c>
      <c r="G475" s="4">
        <v>5</v>
      </c>
      <c r="H475" s="4">
        <v>14834</v>
      </c>
      <c r="I475" s="6">
        <v>10726.123672421338</v>
      </c>
      <c r="J475" s="6">
        <f>表1[[#This Row],[销售金额]]-表1[[#This Row],[退款金额]]</f>
        <v>4107.8763275786623</v>
      </c>
      <c r="K475" s="1">
        <v>780</v>
      </c>
      <c r="L475" s="1">
        <v>494</v>
      </c>
    </row>
    <row r="476" spans="1:12" x14ac:dyDescent="0.3">
      <c r="A476" s="2">
        <v>45909</v>
      </c>
      <c r="B476" s="1" t="s">
        <v>247</v>
      </c>
      <c r="C476" s="1" t="s">
        <v>10</v>
      </c>
      <c r="D476" s="1" t="s">
        <v>160</v>
      </c>
      <c r="E476" s="1" t="s">
        <v>34</v>
      </c>
      <c r="F476" s="1" t="s">
        <v>35</v>
      </c>
      <c r="G476" s="4">
        <v>5</v>
      </c>
      <c r="H476" s="4">
        <v>34874</v>
      </c>
      <c r="I476" s="6">
        <v>29946.8841775289</v>
      </c>
      <c r="J476" s="6">
        <f>表1[[#This Row],[销售金额]]-表1[[#This Row],[退款金额]]</f>
        <v>4927.1158224710998</v>
      </c>
      <c r="K476" s="1">
        <v>353</v>
      </c>
      <c r="L476" s="1">
        <v>887</v>
      </c>
    </row>
    <row r="477" spans="1:12" x14ac:dyDescent="0.3">
      <c r="A477" s="2">
        <v>45909</v>
      </c>
      <c r="B477" s="1" t="s">
        <v>11</v>
      </c>
      <c r="C477" s="1" t="s">
        <v>10</v>
      </c>
      <c r="D477" s="1" t="s">
        <v>181</v>
      </c>
      <c r="E477" s="1" t="s">
        <v>13</v>
      </c>
      <c r="F477" s="1" t="s">
        <v>14</v>
      </c>
      <c r="G477" s="4">
        <v>5</v>
      </c>
      <c r="H477" s="4">
        <v>15574</v>
      </c>
      <c r="I477" s="6">
        <v>10726.123672421338</v>
      </c>
      <c r="J477" s="6">
        <f>表1[[#This Row],[销售金额]]-表1[[#This Row],[退款金额]]</f>
        <v>4847.8763275786623</v>
      </c>
      <c r="K477" s="1">
        <v>780</v>
      </c>
      <c r="L477" s="1">
        <v>494</v>
      </c>
    </row>
    <row r="478" spans="1:12" x14ac:dyDescent="0.3">
      <c r="A478" s="2">
        <v>45909</v>
      </c>
      <c r="B478" s="1" t="s">
        <v>247</v>
      </c>
      <c r="C478" s="1" t="s">
        <v>10</v>
      </c>
      <c r="D478" s="1" t="s">
        <v>160</v>
      </c>
      <c r="E478" s="1" t="s">
        <v>34</v>
      </c>
      <c r="F478" s="1" t="s">
        <v>35</v>
      </c>
      <c r="G478" s="4">
        <v>5</v>
      </c>
      <c r="H478" s="4">
        <v>32913</v>
      </c>
      <c r="I478" s="6">
        <v>29946.8841775289</v>
      </c>
      <c r="J478" s="6">
        <f>表1[[#This Row],[销售金额]]-表1[[#This Row],[退款金额]]</f>
        <v>2966.1158224710998</v>
      </c>
      <c r="K478" s="1">
        <v>353</v>
      </c>
      <c r="L478" s="1">
        <v>887</v>
      </c>
    </row>
    <row r="479" spans="1:12" x14ac:dyDescent="0.3">
      <c r="A479" s="2">
        <v>45909</v>
      </c>
      <c r="B479" s="1" t="s">
        <v>11</v>
      </c>
      <c r="C479" s="1" t="s">
        <v>10</v>
      </c>
      <c r="D479" s="1" t="s">
        <v>181</v>
      </c>
      <c r="E479" s="1" t="s">
        <v>13</v>
      </c>
      <c r="F479" s="1" t="s">
        <v>14</v>
      </c>
      <c r="G479" s="4">
        <v>5</v>
      </c>
      <c r="H479" s="4">
        <v>13556</v>
      </c>
      <c r="I479" s="6">
        <v>10726.123672421338</v>
      </c>
      <c r="J479" s="6">
        <f>表1[[#This Row],[销售金额]]-表1[[#This Row],[退款金额]]</f>
        <v>2829.8763275786623</v>
      </c>
      <c r="K479" s="1">
        <v>780</v>
      </c>
      <c r="L479" s="1">
        <v>494</v>
      </c>
    </row>
    <row r="480" spans="1:12" x14ac:dyDescent="0.3">
      <c r="A480" s="2">
        <v>45909</v>
      </c>
      <c r="B480" s="1" t="s">
        <v>247</v>
      </c>
      <c r="C480" s="1" t="s">
        <v>10</v>
      </c>
      <c r="D480" s="1" t="s">
        <v>160</v>
      </c>
      <c r="E480" s="1" t="s">
        <v>34</v>
      </c>
      <c r="F480" s="1" t="s">
        <v>35</v>
      </c>
      <c r="G480" s="4">
        <v>5</v>
      </c>
      <c r="H480" s="4">
        <v>30624</v>
      </c>
      <c r="I480" s="6">
        <v>29946.8841775289</v>
      </c>
      <c r="J480" s="6">
        <f>表1[[#This Row],[销售金额]]-表1[[#This Row],[退款金额]]</f>
        <v>677.11582247109982</v>
      </c>
      <c r="K480" s="1">
        <v>353</v>
      </c>
      <c r="L480" s="1">
        <v>887</v>
      </c>
    </row>
    <row r="481" spans="1:12" x14ac:dyDescent="0.3">
      <c r="A481" s="2">
        <v>45909</v>
      </c>
      <c r="B481" s="1" t="s">
        <v>11</v>
      </c>
      <c r="C481" s="1" t="s">
        <v>10</v>
      </c>
      <c r="D481" s="1" t="s">
        <v>181</v>
      </c>
      <c r="E481" s="1" t="s">
        <v>13</v>
      </c>
      <c r="F481" s="1" t="s">
        <v>14</v>
      </c>
      <c r="G481" s="4">
        <v>5</v>
      </c>
      <c r="H481" s="4">
        <v>11603</v>
      </c>
      <c r="I481" s="6">
        <v>10726.123672421338</v>
      </c>
      <c r="J481" s="6">
        <f>表1[[#This Row],[销售金额]]-表1[[#This Row],[退款金额]]</f>
        <v>876.87632757866231</v>
      </c>
      <c r="K481" s="1">
        <v>780</v>
      </c>
      <c r="L481" s="1">
        <v>494</v>
      </c>
    </row>
    <row r="482" spans="1:12" x14ac:dyDescent="0.3">
      <c r="A482" s="2">
        <v>45910</v>
      </c>
      <c r="B482" s="1" t="s">
        <v>15</v>
      </c>
      <c r="C482" s="1" t="s">
        <v>10</v>
      </c>
      <c r="D482" s="1" t="s">
        <v>132</v>
      </c>
      <c r="E482" s="1" t="s">
        <v>8</v>
      </c>
      <c r="F482" s="1" t="s">
        <v>9</v>
      </c>
      <c r="G482" s="4">
        <v>8</v>
      </c>
      <c r="H482" s="4">
        <v>2826</v>
      </c>
      <c r="I482" s="6">
        <v>1767.1575499447749</v>
      </c>
      <c r="J482" s="6">
        <f>表1[[#This Row],[销售金额]]-表1[[#This Row],[退款金额]]</f>
        <v>1058.8424500552251</v>
      </c>
      <c r="K482" s="1">
        <v>640</v>
      </c>
      <c r="L482" s="1">
        <v>2</v>
      </c>
    </row>
    <row r="483" spans="1:12" x14ac:dyDescent="0.3">
      <c r="A483" s="2">
        <v>45910</v>
      </c>
      <c r="B483" s="1" t="s">
        <v>15</v>
      </c>
      <c r="C483" s="1" t="s">
        <v>10</v>
      </c>
      <c r="D483" s="1" t="s">
        <v>132</v>
      </c>
      <c r="E483" s="1" t="s">
        <v>8</v>
      </c>
      <c r="F483" s="1" t="s">
        <v>9</v>
      </c>
      <c r="G483" s="4">
        <v>8</v>
      </c>
      <c r="H483" s="4">
        <v>5269</v>
      </c>
      <c r="I483" s="6">
        <v>1767.1575499447749</v>
      </c>
      <c r="J483" s="6">
        <f>表1[[#This Row],[销售金额]]-表1[[#This Row],[退款金额]]</f>
        <v>3501.8424500552251</v>
      </c>
      <c r="K483" s="1">
        <v>640</v>
      </c>
      <c r="L483" s="1">
        <v>2</v>
      </c>
    </row>
    <row r="484" spans="1:12" x14ac:dyDescent="0.3">
      <c r="A484" s="2">
        <v>45910</v>
      </c>
      <c r="B484" s="1" t="s">
        <v>15</v>
      </c>
      <c r="C484" s="1" t="s">
        <v>10</v>
      </c>
      <c r="D484" s="1" t="s">
        <v>132</v>
      </c>
      <c r="E484" s="1" t="s">
        <v>8</v>
      </c>
      <c r="F484" s="1" t="s">
        <v>9</v>
      </c>
      <c r="G484" s="4">
        <v>8</v>
      </c>
      <c r="H484" s="4">
        <v>4290</v>
      </c>
      <c r="I484" s="6">
        <v>1767.1575499447749</v>
      </c>
      <c r="J484" s="6">
        <f>表1[[#This Row],[销售金额]]-表1[[#This Row],[退款金额]]</f>
        <v>2522.8424500552251</v>
      </c>
      <c r="K484" s="1">
        <v>640</v>
      </c>
      <c r="L484" s="1">
        <v>2</v>
      </c>
    </row>
    <row r="485" spans="1:12" x14ac:dyDescent="0.3">
      <c r="A485" s="2">
        <v>45910</v>
      </c>
      <c r="B485" s="1" t="s">
        <v>15</v>
      </c>
      <c r="C485" s="1" t="s">
        <v>10</v>
      </c>
      <c r="D485" s="1" t="s">
        <v>132</v>
      </c>
      <c r="E485" s="1" t="s">
        <v>8</v>
      </c>
      <c r="F485" s="1" t="s">
        <v>9</v>
      </c>
      <c r="G485" s="4">
        <v>8</v>
      </c>
      <c r="H485" s="4">
        <v>4417</v>
      </c>
      <c r="I485" s="6">
        <v>1767.1575499447749</v>
      </c>
      <c r="J485" s="6">
        <f>表1[[#This Row],[销售金额]]-表1[[#This Row],[退款金额]]</f>
        <v>2649.8424500552251</v>
      </c>
      <c r="K485" s="1">
        <v>640</v>
      </c>
      <c r="L485" s="1">
        <v>2</v>
      </c>
    </row>
    <row r="486" spans="1:12" x14ac:dyDescent="0.3">
      <c r="A486" s="2">
        <v>45910</v>
      </c>
      <c r="B486" s="1" t="s">
        <v>15</v>
      </c>
      <c r="C486" s="1" t="s">
        <v>10</v>
      </c>
      <c r="D486" s="1" t="s">
        <v>132</v>
      </c>
      <c r="E486" s="1" t="s">
        <v>8</v>
      </c>
      <c r="F486" s="1" t="s">
        <v>9</v>
      </c>
      <c r="G486" s="4">
        <v>8</v>
      </c>
      <c r="H486" s="4">
        <v>3223</v>
      </c>
      <c r="I486" s="6">
        <v>1767.1575499447749</v>
      </c>
      <c r="J486" s="6">
        <f>表1[[#This Row],[销售金额]]-表1[[#This Row],[退款金额]]</f>
        <v>1455.8424500552251</v>
      </c>
      <c r="K486" s="1">
        <v>640</v>
      </c>
      <c r="L486" s="1">
        <v>2</v>
      </c>
    </row>
    <row r="487" spans="1:12" x14ac:dyDescent="0.3">
      <c r="A487" s="2">
        <v>45910</v>
      </c>
      <c r="B487" s="1" t="s">
        <v>15</v>
      </c>
      <c r="C487" s="1" t="s">
        <v>10</v>
      </c>
      <c r="D487" s="1" t="s">
        <v>132</v>
      </c>
      <c r="E487" s="1" t="s">
        <v>8</v>
      </c>
      <c r="F487" s="1" t="s">
        <v>9</v>
      </c>
      <c r="G487" s="4">
        <v>8</v>
      </c>
      <c r="H487" s="4">
        <v>6431</v>
      </c>
      <c r="I487" s="6">
        <v>1767.1575499447749</v>
      </c>
      <c r="J487" s="6">
        <f>表1[[#This Row],[销售金额]]-表1[[#This Row],[退款金额]]</f>
        <v>4663.8424500552246</v>
      </c>
      <c r="K487" s="1">
        <v>640</v>
      </c>
      <c r="L487" s="1">
        <v>2</v>
      </c>
    </row>
    <row r="488" spans="1:12" x14ac:dyDescent="0.3">
      <c r="A488" s="2">
        <v>45910</v>
      </c>
      <c r="B488" s="1" t="s">
        <v>15</v>
      </c>
      <c r="C488" s="1" t="s">
        <v>10</v>
      </c>
      <c r="D488" s="1" t="s">
        <v>132</v>
      </c>
      <c r="E488" s="1" t="s">
        <v>8</v>
      </c>
      <c r="F488" s="1" t="s">
        <v>9</v>
      </c>
      <c r="G488" s="4">
        <v>8</v>
      </c>
      <c r="H488" s="4">
        <v>6737</v>
      </c>
      <c r="I488" s="6">
        <v>1767.1575499447749</v>
      </c>
      <c r="J488" s="6">
        <f>表1[[#This Row],[销售金额]]-表1[[#This Row],[退款金额]]</f>
        <v>4969.8424500552246</v>
      </c>
      <c r="K488" s="1">
        <v>640</v>
      </c>
      <c r="L488" s="1">
        <v>2</v>
      </c>
    </row>
    <row r="489" spans="1:12" x14ac:dyDescent="0.3">
      <c r="A489" s="2">
        <v>45910</v>
      </c>
      <c r="B489" s="1" t="s">
        <v>15</v>
      </c>
      <c r="C489" s="1" t="s">
        <v>10</v>
      </c>
      <c r="D489" s="1" t="s">
        <v>132</v>
      </c>
      <c r="E489" s="1" t="s">
        <v>8</v>
      </c>
      <c r="F489" s="1" t="s">
        <v>9</v>
      </c>
      <c r="G489" s="4">
        <v>8</v>
      </c>
      <c r="H489" s="4">
        <v>4607</v>
      </c>
      <c r="I489" s="6">
        <v>1767.1575499447749</v>
      </c>
      <c r="J489" s="6">
        <f>表1[[#This Row],[销售金额]]-表1[[#This Row],[退款金额]]</f>
        <v>2839.8424500552251</v>
      </c>
      <c r="K489" s="1">
        <v>640</v>
      </c>
      <c r="L489" s="1">
        <v>2</v>
      </c>
    </row>
    <row r="490" spans="1:12" x14ac:dyDescent="0.3">
      <c r="A490" s="2">
        <v>45910</v>
      </c>
      <c r="B490" s="1" t="s">
        <v>15</v>
      </c>
      <c r="C490" s="1" t="s">
        <v>10</v>
      </c>
      <c r="D490" s="1" t="s">
        <v>132</v>
      </c>
      <c r="E490" s="1" t="s">
        <v>8</v>
      </c>
      <c r="F490" s="1" t="s">
        <v>9</v>
      </c>
      <c r="G490" s="4">
        <v>8</v>
      </c>
      <c r="H490" s="4">
        <v>3107</v>
      </c>
      <c r="I490" s="6">
        <v>1767.1575499447749</v>
      </c>
      <c r="J490" s="6">
        <f>表1[[#This Row],[销售金额]]-表1[[#This Row],[退款金额]]</f>
        <v>1339.8424500552251</v>
      </c>
      <c r="K490" s="1">
        <v>640</v>
      </c>
      <c r="L490" s="1">
        <v>2</v>
      </c>
    </row>
    <row r="491" spans="1:12" x14ac:dyDescent="0.3">
      <c r="A491" s="2">
        <v>45910</v>
      </c>
      <c r="B491" s="1" t="s">
        <v>11</v>
      </c>
      <c r="C491" s="1" t="s">
        <v>19</v>
      </c>
      <c r="D491" s="1" t="s">
        <v>123</v>
      </c>
      <c r="E491" s="1" t="s">
        <v>21</v>
      </c>
      <c r="F491" s="1" t="s">
        <v>22</v>
      </c>
      <c r="G491" s="4">
        <v>10</v>
      </c>
      <c r="H491" s="4">
        <v>6093</v>
      </c>
      <c r="I491" s="6">
        <v>3377.7835819630018</v>
      </c>
      <c r="J491" s="6">
        <f>表1[[#This Row],[销售金额]]-表1[[#This Row],[退款金额]]</f>
        <v>2715.2164180369982</v>
      </c>
      <c r="K491" s="1">
        <v>644</v>
      </c>
      <c r="L491" s="1">
        <v>910</v>
      </c>
    </row>
    <row r="492" spans="1:12" x14ac:dyDescent="0.3">
      <c r="A492" s="2">
        <v>45910</v>
      </c>
      <c r="B492" s="1" t="s">
        <v>250</v>
      </c>
      <c r="C492" s="1" t="s">
        <v>32</v>
      </c>
      <c r="D492" s="1" t="s">
        <v>144</v>
      </c>
      <c r="E492" s="1" t="s">
        <v>38</v>
      </c>
      <c r="F492" s="1" t="s">
        <v>39</v>
      </c>
      <c r="G492" s="4">
        <v>10</v>
      </c>
      <c r="H492" s="4">
        <v>2948</v>
      </c>
      <c r="I492" s="6">
        <v>1110.1261328828</v>
      </c>
      <c r="J492" s="6">
        <f>表1[[#This Row],[销售金额]]-表1[[#This Row],[退款金额]]</f>
        <v>1837.8738671172</v>
      </c>
      <c r="K492" s="1">
        <v>597</v>
      </c>
      <c r="L492" s="1">
        <v>725</v>
      </c>
    </row>
    <row r="493" spans="1:12" x14ac:dyDescent="0.3">
      <c r="A493" s="2">
        <v>45910</v>
      </c>
      <c r="B493" s="1" t="s">
        <v>11</v>
      </c>
      <c r="C493" s="1" t="s">
        <v>19</v>
      </c>
      <c r="D493" s="1" t="s">
        <v>123</v>
      </c>
      <c r="E493" s="1" t="s">
        <v>21</v>
      </c>
      <c r="F493" s="1" t="s">
        <v>22</v>
      </c>
      <c r="G493" s="4">
        <v>10</v>
      </c>
      <c r="H493" s="4">
        <v>4305</v>
      </c>
      <c r="I493" s="6">
        <v>3377.7835819630018</v>
      </c>
      <c r="J493" s="6">
        <f>表1[[#This Row],[销售金额]]-表1[[#This Row],[退款金额]]</f>
        <v>927.21641803699822</v>
      </c>
      <c r="K493" s="1">
        <v>644</v>
      </c>
      <c r="L493" s="1">
        <v>910</v>
      </c>
    </row>
    <row r="494" spans="1:12" x14ac:dyDescent="0.3">
      <c r="A494" s="2">
        <v>45910</v>
      </c>
      <c r="B494" s="1" t="s">
        <v>250</v>
      </c>
      <c r="C494" s="1" t="s">
        <v>32</v>
      </c>
      <c r="D494" s="1" t="s">
        <v>144</v>
      </c>
      <c r="E494" s="1" t="s">
        <v>38</v>
      </c>
      <c r="F494" s="1" t="s">
        <v>39</v>
      </c>
      <c r="G494" s="4">
        <v>10</v>
      </c>
      <c r="H494" s="4">
        <v>3598</v>
      </c>
      <c r="I494" s="6">
        <v>1110.1261328828</v>
      </c>
      <c r="J494" s="6">
        <f>表1[[#This Row],[销售金额]]-表1[[#This Row],[退款金额]]</f>
        <v>2487.8738671172</v>
      </c>
      <c r="K494" s="1">
        <v>597</v>
      </c>
      <c r="L494" s="1">
        <v>725</v>
      </c>
    </row>
    <row r="495" spans="1:12" x14ac:dyDescent="0.3">
      <c r="A495" s="2">
        <v>45910</v>
      </c>
      <c r="B495" s="1" t="s">
        <v>11</v>
      </c>
      <c r="C495" s="1" t="s">
        <v>19</v>
      </c>
      <c r="D495" s="1" t="s">
        <v>123</v>
      </c>
      <c r="E495" s="1" t="s">
        <v>21</v>
      </c>
      <c r="F495" s="1" t="s">
        <v>22</v>
      </c>
      <c r="G495" s="4">
        <v>10</v>
      </c>
      <c r="H495" s="4">
        <v>3562</v>
      </c>
      <c r="I495" s="6">
        <v>3377.7835819630018</v>
      </c>
      <c r="J495" s="6">
        <f>表1[[#This Row],[销售金额]]-表1[[#This Row],[退款金额]]</f>
        <v>184.21641803699822</v>
      </c>
      <c r="K495" s="1">
        <v>644</v>
      </c>
      <c r="L495" s="1">
        <v>910</v>
      </c>
    </row>
    <row r="496" spans="1:12" x14ac:dyDescent="0.3">
      <c r="A496" s="2">
        <v>45910</v>
      </c>
      <c r="B496" s="1" t="s">
        <v>250</v>
      </c>
      <c r="C496" s="1" t="s">
        <v>32</v>
      </c>
      <c r="D496" s="1" t="s">
        <v>144</v>
      </c>
      <c r="E496" s="1" t="s">
        <v>38</v>
      </c>
      <c r="F496" s="1" t="s">
        <v>39</v>
      </c>
      <c r="G496" s="4">
        <v>10</v>
      </c>
      <c r="H496" s="4">
        <v>3754</v>
      </c>
      <c r="I496" s="6">
        <v>1110.1261328828</v>
      </c>
      <c r="J496" s="6">
        <f>表1[[#This Row],[销售金额]]-表1[[#This Row],[退款金额]]</f>
        <v>2643.8738671172</v>
      </c>
      <c r="K496" s="1">
        <v>597</v>
      </c>
      <c r="L496" s="1">
        <v>725</v>
      </c>
    </row>
    <row r="497" spans="1:12" x14ac:dyDescent="0.3">
      <c r="A497" s="2">
        <v>45910</v>
      </c>
      <c r="B497" s="1" t="s">
        <v>11</v>
      </c>
      <c r="C497" s="1" t="s">
        <v>19</v>
      </c>
      <c r="D497" s="1" t="s">
        <v>123</v>
      </c>
      <c r="E497" s="1" t="s">
        <v>21</v>
      </c>
      <c r="F497" s="1" t="s">
        <v>22</v>
      </c>
      <c r="G497" s="4">
        <v>10</v>
      </c>
      <c r="H497" s="4">
        <v>4453</v>
      </c>
      <c r="I497" s="6">
        <v>3377.7835819630018</v>
      </c>
      <c r="J497" s="6">
        <f>表1[[#This Row],[销售金额]]-表1[[#This Row],[退款金额]]</f>
        <v>1075.2164180369982</v>
      </c>
      <c r="K497" s="1">
        <v>644</v>
      </c>
      <c r="L497" s="1">
        <v>910</v>
      </c>
    </row>
    <row r="498" spans="1:12" x14ac:dyDescent="0.3">
      <c r="A498" s="2">
        <v>45910</v>
      </c>
      <c r="B498" s="1" t="s">
        <v>250</v>
      </c>
      <c r="C498" s="1" t="s">
        <v>32</v>
      </c>
      <c r="D498" s="1" t="s">
        <v>144</v>
      </c>
      <c r="E498" s="1" t="s">
        <v>38</v>
      </c>
      <c r="F498" s="1" t="s">
        <v>39</v>
      </c>
      <c r="G498" s="4">
        <v>10</v>
      </c>
      <c r="H498" s="4">
        <v>5990</v>
      </c>
      <c r="I498" s="6">
        <v>1110.1261328828</v>
      </c>
      <c r="J498" s="6">
        <f>表1[[#This Row],[销售金额]]-表1[[#This Row],[退款金额]]</f>
        <v>4879.8738671171996</v>
      </c>
      <c r="K498" s="1">
        <v>597</v>
      </c>
      <c r="L498" s="1">
        <v>725</v>
      </c>
    </row>
    <row r="499" spans="1:12" x14ac:dyDescent="0.3">
      <c r="A499" s="2">
        <v>45910</v>
      </c>
      <c r="B499" s="1" t="s">
        <v>11</v>
      </c>
      <c r="C499" s="1" t="s">
        <v>19</v>
      </c>
      <c r="D499" s="1" t="s">
        <v>123</v>
      </c>
      <c r="E499" s="1" t="s">
        <v>21</v>
      </c>
      <c r="F499" s="1" t="s">
        <v>22</v>
      </c>
      <c r="G499" s="4">
        <v>10</v>
      </c>
      <c r="H499" s="4">
        <v>6336</v>
      </c>
      <c r="I499" s="6">
        <v>3377.7835819630018</v>
      </c>
      <c r="J499" s="6">
        <f>表1[[#This Row],[销售金额]]-表1[[#This Row],[退款金额]]</f>
        <v>2958.2164180369982</v>
      </c>
      <c r="K499" s="1">
        <v>644</v>
      </c>
      <c r="L499" s="1">
        <v>910</v>
      </c>
    </row>
    <row r="500" spans="1:12" x14ac:dyDescent="0.3">
      <c r="A500" s="2">
        <v>45910</v>
      </c>
      <c r="B500" s="1" t="s">
        <v>250</v>
      </c>
      <c r="C500" s="1" t="s">
        <v>32</v>
      </c>
      <c r="D500" s="1" t="s">
        <v>144</v>
      </c>
      <c r="E500" s="1" t="s">
        <v>38</v>
      </c>
      <c r="F500" s="1" t="s">
        <v>39</v>
      </c>
      <c r="G500" s="4">
        <v>10</v>
      </c>
      <c r="H500" s="4">
        <v>4587</v>
      </c>
      <c r="I500" s="6">
        <v>1110.1261328828</v>
      </c>
      <c r="J500" s="6">
        <f>表1[[#This Row],[销售金额]]-表1[[#This Row],[退款金额]]</f>
        <v>3476.8738671172</v>
      </c>
      <c r="K500" s="1">
        <v>597</v>
      </c>
      <c r="L500" s="1">
        <v>725</v>
      </c>
    </row>
    <row r="501" spans="1:12" x14ac:dyDescent="0.3">
      <c r="A501" s="2">
        <v>45910</v>
      </c>
      <c r="B501" s="1" t="s">
        <v>11</v>
      </c>
      <c r="C501" s="1" t="s">
        <v>19</v>
      </c>
      <c r="D501" s="1" t="s">
        <v>123</v>
      </c>
      <c r="E501" s="1" t="s">
        <v>21</v>
      </c>
      <c r="F501" s="1" t="s">
        <v>22</v>
      </c>
      <c r="G501" s="4">
        <v>10</v>
      </c>
      <c r="H501" s="4">
        <v>4967</v>
      </c>
      <c r="I501" s="6">
        <v>3377.7835819630018</v>
      </c>
      <c r="J501" s="6">
        <f>表1[[#This Row],[销售金额]]-表1[[#This Row],[退款金额]]</f>
        <v>1589.2164180369982</v>
      </c>
      <c r="K501" s="1">
        <v>644</v>
      </c>
      <c r="L501" s="1">
        <v>910</v>
      </c>
    </row>
    <row r="502" spans="1:12" x14ac:dyDescent="0.3">
      <c r="A502" s="2">
        <v>45910</v>
      </c>
      <c r="B502" s="1" t="s">
        <v>250</v>
      </c>
      <c r="C502" s="1" t="s">
        <v>32</v>
      </c>
      <c r="D502" s="1" t="s">
        <v>144</v>
      </c>
      <c r="E502" s="1" t="s">
        <v>38</v>
      </c>
      <c r="F502" s="1" t="s">
        <v>39</v>
      </c>
      <c r="G502" s="4">
        <v>10</v>
      </c>
      <c r="H502" s="4">
        <v>2411</v>
      </c>
      <c r="I502" s="6">
        <v>1110.1261328828</v>
      </c>
      <c r="J502" s="6">
        <f>表1[[#This Row],[销售金额]]-表1[[#This Row],[退款金额]]</f>
        <v>1300.8738671172</v>
      </c>
      <c r="K502" s="1">
        <v>597</v>
      </c>
      <c r="L502" s="1">
        <v>725</v>
      </c>
    </row>
    <row r="503" spans="1:12" x14ac:dyDescent="0.3">
      <c r="A503" s="2">
        <v>45910</v>
      </c>
      <c r="B503" s="1" t="s">
        <v>11</v>
      </c>
      <c r="C503" s="1" t="s">
        <v>19</v>
      </c>
      <c r="D503" s="1" t="s">
        <v>123</v>
      </c>
      <c r="E503" s="1" t="s">
        <v>21</v>
      </c>
      <c r="F503" s="1" t="s">
        <v>22</v>
      </c>
      <c r="G503" s="4">
        <v>10</v>
      </c>
      <c r="H503" s="4">
        <v>3712</v>
      </c>
      <c r="I503" s="6">
        <v>3377.7835819630018</v>
      </c>
      <c r="J503" s="6">
        <f>表1[[#This Row],[销售金额]]-表1[[#This Row],[退款金额]]</f>
        <v>334.21641803699822</v>
      </c>
      <c r="K503" s="1">
        <v>644</v>
      </c>
      <c r="L503" s="1">
        <v>910</v>
      </c>
    </row>
    <row r="504" spans="1:12" x14ac:dyDescent="0.3">
      <c r="A504" s="2">
        <v>45910</v>
      </c>
      <c r="B504" s="1" t="s">
        <v>250</v>
      </c>
      <c r="C504" s="1" t="s">
        <v>32</v>
      </c>
      <c r="D504" s="1" t="s">
        <v>144</v>
      </c>
      <c r="E504" s="1" t="s">
        <v>38</v>
      </c>
      <c r="F504" s="1" t="s">
        <v>39</v>
      </c>
      <c r="G504" s="4">
        <v>10</v>
      </c>
      <c r="H504" s="4">
        <v>2013</v>
      </c>
      <c r="I504" s="6">
        <v>1110.1261328828</v>
      </c>
      <c r="J504" s="6">
        <f>表1[[#This Row],[销售金额]]-表1[[#This Row],[退款金额]]</f>
        <v>902.87386711720001</v>
      </c>
      <c r="K504" s="1">
        <v>597</v>
      </c>
      <c r="L504" s="1">
        <v>725</v>
      </c>
    </row>
    <row r="505" spans="1:12" x14ac:dyDescent="0.3">
      <c r="A505" s="2">
        <v>45910</v>
      </c>
      <c r="B505" s="1" t="s">
        <v>11</v>
      </c>
      <c r="C505" s="1" t="s">
        <v>19</v>
      </c>
      <c r="D505" s="1" t="s">
        <v>123</v>
      </c>
      <c r="E505" s="1" t="s">
        <v>21</v>
      </c>
      <c r="F505" s="1" t="s">
        <v>22</v>
      </c>
      <c r="G505" s="4">
        <v>10</v>
      </c>
      <c r="H505" s="4">
        <v>7360</v>
      </c>
      <c r="I505" s="6">
        <v>3377.7835819630018</v>
      </c>
      <c r="J505" s="6">
        <f>表1[[#This Row],[销售金额]]-表1[[#This Row],[退款金额]]</f>
        <v>3982.2164180369982</v>
      </c>
      <c r="K505" s="1">
        <v>644</v>
      </c>
      <c r="L505" s="1">
        <v>910</v>
      </c>
    </row>
    <row r="506" spans="1:12" x14ac:dyDescent="0.3">
      <c r="A506" s="2">
        <v>45910</v>
      </c>
      <c r="B506" s="1" t="s">
        <v>250</v>
      </c>
      <c r="C506" s="1" t="s">
        <v>32</v>
      </c>
      <c r="D506" s="1" t="s">
        <v>144</v>
      </c>
      <c r="E506" s="1" t="s">
        <v>38</v>
      </c>
      <c r="F506" s="1" t="s">
        <v>39</v>
      </c>
      <c r="G506" s="4">
        <v>10</v>
      </c>
      <c r="H506" s="4">
        <v>2162</v>
      </c>
      <c r="I506" s="6">
        <v>1110.1261328828</v>
      </c>
      <c r="J506" s="6">
        <f>表1[[#This Row],[销售金额]]-表1[[#This Row],[退款金额]]</f>
        <v>1051.8738671172</v>
      </c>
      <c r="K506" s="1">
        <v>597</v>
      </c>
      <c r="L506" s="1">
        <v>725</v>
      </c>
    </row>
    <row r="507" spans="1:12" x14ac:dyDescent="0.3">
      <c r="A507" s="2">
        <v>45910</v>
      </c>
      <c r="B507" s="1" t="s">
        <v>11</v>
      </c>
      <c r="C507" s="1" t="s">
        <v>19</v>
      </c>
      <c r="D507" s="1" t="s">
        <v>123</v>
      </c>
      <c r="E507" s="1" t="s">
        <v>21</v>
      </c>
      <c r="F507" s="1" t="s">
        <v>22</v>
      </c>
      <c r="G507" s="4">
        <v>10</v>
      </c>
      <c r="H507" s="4">
        <v>4807</v>
      </c>
      <c r="I507" s="6">
        <v>3377.7835819630018</v>
      </c>
      <c r="J507" s="6">
        <f>表1[[#This Row],[销售金额]]-表1[[#This Row],[退款金额]]</f>
        <v>1429.2164180369982</v>
      </c>
      <c r="K507" s="1">
        <v>644</v>
      </c>
      <c r="L507" s="1">
        <v>910</v>
      </c>
    </row>
    <row r="508" spans="1:12" x14ac:dyDescent="0.3">
      <c r="A508" s="2">
        <v>45910</v>
      </c>
      <c r="B508" s="1" t="s">
        <v>250</v>
      </c>
      <c r="C508" s="1" t="s">
        <v>32</v>
      </c>
      <c r="D508" s="1" t="s">
        <v>144</v>
      </c>
      <c r="E508" s="1" t="s">
        <v>38</v>
      </c>
      <c r="F508" s="1" t="s">
        <v>39</v>
      </c>
      <c r="G508" s="4">
        <v>10</v>
      </c>
      <c r="H508" s="4">
        <v>2140</v>
      </c>
      <c r="I508" s="6">
        <v>1110.1261328828</v>
      </c>
      <c r="J508" s="6">
        <f>表1[[#This Row],[销售金额]]-表1[[#This Row],[退款金额]]</f>
        <v>1029.8738671172</v>
      </c>
      <c r="K508" s="1">
        <v>597</v>
      </c>
      <c r="L508" s="1">
        <v>725</v>
      </c>
    </row>
    <row r="509" spans="1:12" x14ac:dyDescent="0.3">
      <c r="A509" s="2">
        <v>45910</v>
      </c>
      <c r="B509" s="1" t="s">
        <v>250</v>
      </c>
      <c r="C509" s="1" t="s">
        <v>19</v>
      </c>
      <c r="D509" s="1" t="s">
        <v>130</v>
      </c>
      <c r="E509" s="1" t="s">
        <v>27</v>
      </c>
      <c r="F509" s="1" t="s">
        <v>28</v>
      </c>
      <c r="G509" s="4">
        <v>19</v>
      </c>
      <c r="H509" s="4">
        <v>4776</v>
      </c>
      <c r="I509" s="6">
        <v>4673.3898570928295</v>
      </c>
      <c r="J509" s="6">
        <f>表1[[#This Row],[销售金额]]-表1[[#This Row],[退款金额]]</f>
        <v>102.61014290717048</v>
      </c>
      <c r="K509" s="1">
        <v>557</v>
      </c>
      <c r="L509" s="1">
        <v>953</v>
      </c>
    </row>
    <row r="510" spans="1:12" x14ac:dyDescent="0.3">
      <c r="A510" s="2">
        <v>45910</v>
      </c>
      <c r="B510" s="1" t="s">
        <v>250</v>
      </c>
      <c r="C510" s="1" t="s">
        <v>19</v>
      </c>
      <c r="D510" s="1" t="s">
        <v>130</v>
      </c>
      <c r="E510" s="1" t="s">
        <v>27</v>
      </c>
      <c r="F510" s="1" t="s">
        <v>28</v>
      </c>
      <c r="G510" s="4">
        <v>19</v>
      </c>
      <c r="H510" s="4">
        <v>4748</v>
      </c>
      <c r="I510" s="6">
        <v>4673.3898570928295</v>
      </c>
      <c r="J510" s="6">
        <f>表1[[#This Row],[销售金额]]-表1[[#This Row],[退款金额]]</f>
        <v>74.610142907170484</v>
      </c>
      <c r="K510" s="1">
        <v>557</v>
      </c>
      <c r="L510" s="1">
        <v>953</v>
      </c>
    </row>
    <row r="511" spans="1:12" x14ac:dyDescent="0.3">
      <c r="A511" s="2">
        <v>45910</v>
      </c>
      <c r="B511" s="1" t="s">
        <v>250</v>
      </c>
      <c r="C511" s="1" t="s">
        <v>19</v>
      </c>
      <c r="D511" s="1" t="s">
        <v>130</v>
      </c>
      <c r="E511" s="1" t="s">
        <v>27</v>
      </c>
      <c r="F511" s="1" t="s">
        <v>28</v>
      </c>
      <c r="G511" s="4">
        <v>19</v>
      </c>
      <c r="H511" s="4">
        <v>8486</v>
      </c>
      <c r="I511" s="6">
        <v>4673.3898570928295</v>
      </c>
      <c r="J511" s="6">
        <f>表1[[#This Row],[销售金额]]-表1[[#This Row],[退款金额]]</f>
        <v>3812.6101429071705</v>
      </c>
      <c r="K511" s="1">
        <v>557</v>
      </c>
      <c r="L511" s="1">
        <v>953</v>
      </c>
    </row>
    <row r="512" spans="1:12" x14ac:dyDescent="0.3">
      <c r="A512" s="2">
        <v>45910</v>
      </c>
      <c r="B512" s="1" t="s">
        <v>250</v>
      </c>
      <c r="C512" s="1" t="s">
        <v>19</v>
      </c>
      <c r="D512" s="1" t="s">
        <v>130</v>
      </c>
      <c r="E512" s="1" t="s">
        <v>27</v>
      </c>
      <c r="F512" s="1" t="s">
        <v>28</v>
      </c>
      <c r="G512" s="4">
        <v>19</v>
      </c>
      <c r="H512" s="4">
        <v>9159</v>
      </c>
      <c r="I512" s="6">
        <v>4673.3898570928295</v>
      </c>
      <c r="J512" s="6">
        <f>表1[[#This Row],[销售金额]]-表1[[#This Row],[退款金额]]</f>
        <v>4485.6101429071705</v>
      </c>
      <c r="K512" s="1">
        <v>557</v>
      </c>
      <c r="L512" s="1">
        <v>953</v>
      </c>
    </row>
    <row r="513" spans="1:12" x14ac:dyDescent="0.3">
      <c r="A513" s="2">
        <v>45910</v>
      </c>
      <c r="B513" s="1" t="s">
        <v>250</v>
      </c>
      <c r="C513" s="1" t="s">
        <v>19</v>
      </c>
      <c r="D513" s="1" t="s">
        <v>130</v>
      </c>
      <c r="E513" s="1" t="s">
        <v>27</v>
      </c>
      <c r="F513" s="1" t="s">
        <v>28</v>
      </c>
      <c r="G513" s="4">
        <v>19</v>
      </c>
      <c r="H513" s="4">
        <v>5256</v>
      </c>
      <c r="I513" s="6">
        <v>4673.3898570928295</v>
      </c>
      <c r="J513" s="6">
        <f>表1[[#This Row],[销售金额]]-表1[[#This Row],[退款金额]]</f>
        <v>582.61014290717048</v>
      </c>
      <c r="K513" s="1">
        <v>557</v>
      </c>
      <c r="L513" s="1">
        <v>953</v>
      </c>
    </row>
    <row r="514" spans="1:12" x14ac:dyDescent="0.3">
      <c r="A514" s="2">
        <v>45910</v>
      </c>
      <c r="B514" s="1" t="s">
        <v>250</v>
      </c>
      <c r="C514" s="1" t="s">
        <v>19</v>
      </c>
      <c r="D514" s="1" t="s">
        <v>130</v>
      </c>
      <c r="E514" s="1" t="s">
        <v>27</v>
      </c>
      <c r="F514" s="1" t="s">
        <v>28</v>
      </c>
      <c r="G514" s="4">
        <v>19</v>
      </c>
      <c r="H514" s="4">
        <v>7673</v>
      </c>
      <c r="I514" s="6">
        <v>4673.3898570928295</v>
      </c>
      <c r="J514" s="6">
        <f>表1[[#This Row],[销售金额]]-表1[[#This Row],[退款金额]]</f>
        <v>2999.6101429071705</v>
      </c>
      <c r="K514" s="1">
        <v>557</v>
      </c>
      <c r="L514" s="1">
        <v>953</v>
      </c>
    </row>
    <row r="515" spans="1:12" x14ac:dyDescent="0.3">
      <c r="A515" s="2">
        <v>45910</v>
      </c>
      <c r="B515" s="1" t="s">
        <v>250</v>
      </c>
      <c r="C515" s="1" t="s">
        <v>19</v>
      </c>
      <c r="D515" s="1" t="s">
        <v>130</v>
      </c>
      <c r="E515" s="1" t="s">
        <v>27</v>
      </c>
      <c r="F515" s="1" t="s">
        <v>28</v>
      </c>
      <c r="G515" s="4">
        <v>19</v>
      </c>
      <c r="H515" s="4">
        <v>6592</v>
      </c>
      <c r="I515" s="6">
        <v>4673.3898570928295</v>
      </c>
      <c r="J515" s="6">
        <f>表1[[#This Row],[销售金额]]-表1[[#This Row],[退款金额]]</f>
        <v>1918.6101429071705</v>
      </c>
      <c r="K515" s="1">
        <v>557</v>
      </c>
      <c r="L515" s="1">
        <v>953</v>
      </c>
    </row>
    <row r="516" spans="1:12" x14ac:dyDescent="0.3">
      <c r="A516" s="2">
        <v>45910</v>
      </c>
      <c r="B516" s="1" t="s">
        <v>250</v>
      </c>
      <c r="C516" s="1" t="s">
        <v>19</v>
      </c>
      <c r="D516" s="1" t="s">
        <v>130</v>
      </c>
      <c r="E516" s="1" t="s">
        <v>27</v>
      </c>
      <c r="F516" s="1" t="s">
        <v>28</v>
      </c>
      <c r="G516" s="4">
        <v>19</v>
      </c>
      <c r="H516" s="4">
        <v>7945</v>
      </c>
      <c r="I516" s="6">
        <v>4673.3898570928295</v>
      </c>
      <c r="J516" s="6">
        <f>表1[[#This Row],[销售金额]]-表1[[#This Row],[退款金额]]</f>
        <v>3271.6101429071705</v>
      </c>
      <c r="K516" s="1">
        <v>557</v>
      </c>
      <c r="L516" s="1">
        <v>953</v>
      </c>
    </row>
    <row r="517" spans="1:12" x14ac:dyDescent="0.3">
      <c r="A517" s="2">
        <v>45910</v>
      </c>
      <c r="B517" s="1" t="s">
        <v>250</v>
      </c>
      <c r="C517" s="1" t="s">
        <v>19</v>
      </c>
      <c r="D517" s="1" t="s">
        <v>130</v>
      </c>
      <c r="E517" s="1" t="s">
        <v>27</v>
      </c>
      <c r="F517" s="1" t="s">
        <v>28</v>
      </c>
      <c r="G517" s="4">
        <v>19</v>
      </c>
      <c r="H517" s="4">
        <v>6081</v>
      </c>
      <c r="I517" s="6">
        <v>4673.3898570928295</v>
      </c>
      <c r="J517" s="6">
        <f>表1[[#This Row],[销售金额]]-表1[[#This Row],[退款金额]]</f>
        <v>1407.6101429071705</v>
      </c>
      <c r="K517" s="1">
        <v>557</v>
      </c>
      <c r="L517" s="1">
        <v>953</v>
      </c>
    </row>
    <row r="518" spans="1:12" x14ac:dyDescent="0.3">
      <c r="A518" s="2">
        <v>45911</v>
      </c>
      <c r="B518" s="1" t="s">
        <v>11</v>
      </c>
      <c r="C518" s="1" t="s">
        <v>32</v>
      </c>
      <c r="D518" s="1" t="s">
        <v>232</v>
      </c>
      <c r="E518" s="1" t="s">
        <v>60</v>
      </c>
      <c r="F518" s="1" t="s">
        <v>61</v>
      </c>
      <c r="G518" s="4">
        <v>4</v>
      </c>
      <c r="H518" s="4">
        <v>12633</v>
      </c>
      <c r="I518" s="6">
        <v>8600.1716735691807</v>
      </c>
      <c r="J518" s="6">
        <f>表1[[#This Row],[销售金额]]-表1[[#This Row],[退款金额]]</f>
        <v>4032.8283264308193</v>
      </c>
      <c r="K518" s="1">
        <v>620</v>
      </c>
      <c r="L518" s="1">
        <v>729</v>
      </c>
    </row>
    <row r="519" spans="1:12" x14ac:dyDescent="0.3">
      <c r="A519" s="2">
        <v>45911</v>
      </c>
      <c r="B519" s="1" t="s">
        <v>11</v>
      </c>
      <c r="C519" s="1" t="s">
        <v>32</v>
      </c>
      <c r="D519" s="1" t="s">
        <v>232</v>
      </c>
      <c r="E519" s="1" t="s">
        <v>60</v>
      </c>
      <c r="F519" s="1" t="s">
        <v>61</v>
      </c>
      <c r="G519" s="4">
        <v>4</v>
      </c>
      <c r="H519" s="4">
        <v>10001</v>
      </c>
      <c r="I519" s="6">
        <v>8600.1716735691807</v>
      </c>
      <c r="J519" s="6">
        <f>表1[[#This Row],[销售金额]]-表1[[#This Row],[退款金额]]</f>
        <v>1400.8283264308193</v>
      </c>
      <c r="K519" s="1">
        <v>620</v>
      </c>
      <c r="L519" s="1">
        <v>729</v>
      </c>
    </row>
    <row r="520" spans="1:12" x14ac:dyDescent="0.3">
      <c r="A520" s="2">
        <v>45911</v>
      </c>
      <c r="B520" s="1" t="s">
        <v>11</v>
      </c>
      <c r="C520" s="1" t="s">
        <v>32</v>
      </c>
      <c r="D520" s="1" t="s">
        <v>232</v>
      </c>
      <c r="E520" s="1" t="s">
        <v>60</v>
      </c>
      <c r="F520" s="1" t="s">
        <v>61</v>
      </c>
      <c r="G520" s="4">
        <v>4</v>
      </c>
      <c r="H520" s="4">
        <v>12145</v>
      </c>
      <c r="I520" s="6">
        <v>8600.1716735691807</v>
      </c>
      <c r="J520" s="6">
        <f>表1[[#This Row],[销售金额]]-表1[[#This Row],[退款金额]]</f>
        <v>3544.8283264308193</v>
      </c>
      <c r="K520" s="1">
        <v>620</v>
      </c>
      <c r="L520" s="1">
        <v>729</v>
      </c>
    </row>
    <row r="521" spans="1:12" x14ac:dyDescent="0.3">
      <c r="A521" s="2">
        <v>45911</v>
      </c>
      <c r="B521" s="1" t="s">
        <v>11</v>
      </c>
      <c r="C521" s="1" t="s">
        <v>32</v>
      </c>
      <c r="D521" s="1" t="s">
        <v>232</v>
      </c>
      <c r="E521" s="1" t="s">
        <v>60</v>
      </c>
      <c r="F521" s="1" t="s">
        <v>61</v>
      </c>
      <c r="G521" s="4">
        <v>4</v>
      </c>
      <c r="H521" s="4">
        <v>10426</v>
      </c>
      <c r="I521" s="6">
        <v>8600.1716735691807</v>
      </c>
      <c r="J521" s="6">
        <f>表1[[#This Row],[销售金额]]-表1[[#This Row],[退款金额]]</f>
        <v>1825.8283264308193</v>
      </c>
      <c r="K521" s="1">
        <v>620</v>
      </c>
      <c r="L521" s="1">
        <v>729</v>
      </c>
    </row>
    <row r="522" spans="1:12" x14ac:dyDescent="0.3">
      <c r="A522" s="2">
        <v>45911</v>
      </c>
      <c r="B522" s="1" t="s">
        <v>11</v>
      </c>
      <c r="C522" s="1" t="s">
        <v>32</v>
      </c>
      <c r="D522" s="1" t="s">
        <v>232</v>
      </c>
      <c r="E522" s="1" t="s">
        <v>60</v>
      </c>
      <c r="F522" s="1" t="s">
        <v>61</v>
      </c>
      <c r="G522" s="4">
        <v>4</v>
      </c>
      <c r="H522" s="4">
        <v>11046</v>
      </c>
      <c r="I522" s="6">
        <v>8600.1716735691807</v>
      </c>
      <c r="J522" s="6">
        <f>表1[[#This Row],[销售金额]]-表1[[#This Row],[退款金额]]</f>
        <v>2445.8283264308193</v>
      </c>
      <c r="K522" s="1">
        <v>620</v>
      </c>
      <c r="L522" s="1">
        <v>729</v>
      </c>
    </row>
    <row r="523" spans="1:12" x14ac:dyDescent="0.3">
      <c r="A523" s="2">
        <v>45911</v>
      </c>
      <c r="B523" s="1" t="s">
        <v>11</v>
      </c>
      <c r="C523" s="1" t="s">
        <v>32</v>
      </c>
      <c r="D523" s="1" t="s">
        <v>232</v>
      </c>
      <c r="E523" s="1" t="s">
        <v>60</v>
      </c>
      <c r="F523" s="1" t="s">
        <v>61</v>
      </c>
      <c r="G523" s="4">
        <v>4</v>
      </c>
      <c r="H523" s="4">
        <v>9692</v>
      </c>
      <c r="I523" s="6">
        <v>8600.1716735691807</v>
      </c>
      <c r="J523" s="6">
        <f>表1[[#This Row],[销售金额]]-表1[[#This Row],[退款金额]]</f>
        <v>1091.8283264308193</v>
      </c>
      <c r="K523" s="1">
        <v>620</v>
      </c>
      <c r="L523" s="1">
        <v>729</v>
      </c>
    </row>
    <row r="524" spans="1:12" x14ac:dyDescent="0.3">
      <c r="A524" s="2">
        <v>45911</v>
      </c>
      <c r="B524" s="1" t="s">
        <v>11</v>
      </c>
      <c r="C524" s="1" t="s">
        <v>32</v>
      </c>
      <c r="D524" s="1" t="s">
        <v>232</v>
      </c>
      <c r="E524" s="1" t="s">
        <v>60</v>
      </c>
      <c r="F524" s="1" t="s">
        <v>61</v>
      </c>
      <c r="G524" s="4">
        <v>4</v>
      </c>
      <c r="H524" s="4">
        <v>12489</v>
      </c>
      <c r="I524" s="6">
        <v>8600.1716735691807</v>
      </c>
      <c r="J524" s="6">
        <f>表1[[#This Row],[销售金额]]-表1[[#This Row],[退款金额]]</f>
        <v>3888.8283264308193</v>
      </c>
      <c r="K524" s="1">
        <v>620</v>
      </c>
      <c r="L524" s="1">
        <v>729</v>
      </c>
    </row>
    <row r="525" spans="1:12" x14ac:dyDescent="0.3">
      <c r="A525" s="2">
        <v>45911</v>
      </c>
      <c r="B525" s="1" t="s">
        <v>11</v>
      </c>
      <c r="C525" s="1" t="s">
        <v>32</v>
      </c>
      <c r="D525" s="1" t="s">
        <v>232</v>
      </c>
      <c r="E525" s="1" t="s">
        <v>60</v>
      </c>
      <c r="F525" s="1" t="s">
        <v>61</v>
      </c>
      <c r="G525" s="4">
        <v>4</v>
      </c>
      <c r="H525" s="4">
        <v>11122</v>
      </c>
      <c r="I525" s="6">
        <v>8600.1716735691807</v>
      </c>
      <c r="J525" s="6">
        <f>表1[[#This Row],[销售金额]]-表1[[#This Row],[退款金额]]</f>
        <v>2521.8283264308193</v>
      </c>
      <c r="K525" s="1">
        <v>620</v>
      </c>
      <c r="L525" s="1">
        <v>729</v>
      </c>
    </row>
    <row r="526" spans="1:12" x14ac:dyDescent="0.3">
      <c r="A526" s="2">
        <v>45911</v>
      </c>
      <c r="B526" s="1" t="s">
        <v>25</v>
      </c>
      <c r="C526" s="1" t="s">
        <v>19</v>
      </c>
      <c r="D526" s="1" t="s">
        <v>174</v>
      </c>
      <c r="E526" s="1" t="s">
        <v>17</v>
      </c>
      <c r="F526" s="1" t="s">
        <v>18</v>
      </c>
      <c r="G526" s="4">
        <v>6</v>
      </c>
      <c r="H526" s="4">
        <v>3987</v>
      </c>
      <c r="I526" s="6">
        <v>1427.9708091764692</v>
      </c>
      <c r="J526" s="6">
        <f>表1[[#This Row],[销售金额]]-表1[[#This Row],[退款金额]]</f>
        <v>2559.0291908235308</v>
      </c>
      <c r="K526" s="1">
        <v>708</v>
      </c>
      <c r="L526" s="1">
        <v>823</v>
      </c>
    </row>
    <row r="527" spans="1:12" x14ac:dyDescent="0.3">
      <c r="A527" s="2">
        <v>45911</v>
      </c>
      <c r="B527" s="1" t="s">
        <v>25</v>
      </c>
      <c r="C527" s="1" t="s">
        <v>19</v>
      </c>
      <c r="D527" s="1" t="s">
        <v>174</v>
      </c>
      <c r="E527" s="1" t="s">
        <v>17</v>
      </c>
      <c r="F527" s="1" t="s">
        <v>18</v>
      </c>
      <c r="G527" s="4">
        <v>6</v>
      </c>
      <c r="H527" s="4">
        <v>5984</v>
      </c>
      <c r="I527" s="6">
        <v>1427.9708091764692</v>
      </c>
      <c r="J527" s="6">
        <f>表1[[#This Row],[销售金额]]-表1[[#This Row],[退款金额]]</f>
        <v>4556.0291908235304</v>
      </c>
      <c r="K527" s="1">
        <v>708</v>
      </c>
      <c r="L527" s="1">
        <v>823</v>
      </c>
    </row>
    <row r="528" spans="1:12" x14ac:dyDescent="0.3">
      <c r="A528" s="2">
        <v>45911</v>
      </c>
      <c r="B528" s="1" t="s">
        <v>25</v>
      </c>
      <c r="C528" s="1" t="s">
        <v>19</v>
      </c>
      <c r="D528" s="1" t="s">
        <v>174</v>
      </c>
      <c r="E528" s="1" t="s">
        <v>17</v>
      </c>
      <c r="F528" s="1" t="s">
        <v>18</v>
      </c>
      <c r="G528" s="4">
        <v>6</v>
      </c>
      <c r="H528" s="4">
        <v>2286</v>
      </c>
      <c r="I528" s="6">
        <v>1427.9708091764692</v>
      </c>
      <c r="J528" s="6">
        <f>表1[[#This Row],[销售金额]]-表1[[#This Row],[退款金额]]</f>
        <v>858.02919082353083</v>
      </c>
      <c r="K528" s="1">
        <v>708</v>
      </c>
      <c r="L528" s="1">
        <v>823</v>
      </c>
    </row>
    <row r="529" spans="1:12" x14ac:dyDescent="0.3">
      <c r="A529" s="2">
        <v>45911</v>
      </c>
      <c r="B529" s="1" t="s">
        <v>25</v>
      </c>
      <c r="C529" s="1" t="s">
        <v>19</v>
      </c>
      <c r="D529" s="1" t="s">
        <v>174</v>
      </c>
      <c r="E529" s="1" t="s">
        <v>17</v>
      </c>
      <c r="F529" s="1" t="s">
        <v>18</v>
      </c>
      <c r="G529" s="4">
        <v>6</v>
      </c>
      <c r="H529" s="4">
        <v>4805</v>
      </c>
      <c r="I529" s="6">
        <v>1427.9708091764692</v>
      </c>
      <c r="J529" s="6">
        <f>表1[[#This Row],[销售金额]]-表1[[#This Row],[退款金额]]</f>
        <v>3377.0291908235308</v>
      </c>
      <c r="K529" s="1">
        <v>708</v>
      </c>
      <c r="L529" s="1">
        <v>823</v>
      </c>
    </row>
    <row r="530" spans="1:12" x14ac:dyDescent="0.3">
      <c r="A530" s="2">
        <v>45911</v>
      </c>
      <c r="B530" s="1" t="s">
        <v>25</v>
      </c>
      <c r="C530" s="1" t="s">
        <v>19</v>
      </c>
      <c r="D530" s="1" t="s">
        <v>174</v>
      </c>
      <c r="E530" s="1" t="s">
        <v>17</v>
      </c>
      <c r="F530" s="1" t="s">
        <v>18</v>
      </c>
      <c r="G530" s="4">
        <v>6</v>
      </c>
      <c r="H530" s="4">
        <v>4554</v>
      </c>
      <c r="I530" s="6">
        <v>1427.9708091764692</v>
      </c>
      <c r="J530" s="6">
        <f>表1[[#This Row],[销售金额]]-表1[[#This Row],[退款金额]]</f>
        <v>3126.0291908235308</v>
      </c>
      <c r="K530" s="1">
        <v>708</v>
      </c>
      <c r="L530" s="1">
        <v>823</v>
      </c>
    </row>
    <row r="531" spans="1:12" x14ac:dyDescent="0.3">
      <c r="A531" s="2">
        <v>45911</v>
      </c>
      <c r="B531" s="1" t="s">
        <v>25</v>
      </c>
      <c r="C531" s="1" t="s">
        <v>19</v>
      </c>
      <c r="D531" s="1" t="s">
        <v>174</v>
      </c>
      <c r="E531" s="1" t="s">
        <v>17</v>
      </c>
      <c r="F531" s="1" t="s">
        <v>18</v>
      </c>
      <c r="G531" s="4">
        <v>6</v>
      </c>
      <c r="H531" s="4">
        <v>2643</v>
      </c>
      <c r="I531" s="6">
        <v>1427.9708091764692</v>
      </c>
      <c r="J531" s="6">
        <f>表1[[#This Row],[销售金额]]-表1[[#This Row],[退款金额]]</f>
        <v>1215.0291908235308</v>
      </c>
      <c r="K531" s="1">
        <v>708</v>
      </c>
      <c r="L531" s="1">
        <v>823</v>
      </c>
    </row>
    <row r="532" spans="1:12" x14ac:dyDescent="0.3">
      <c r="A532" s="2">
        <v>45911</v>
      </c>
      <c r="B532" s="1" t="s">
        <v>25</v>
      </c>
      <c r="C532" s="1" t="s">
        <v>19</v>
      </c>
      <c r="D532" s="1" t="s">
        <v>174</v>
      </c>
      <c r="E532" s="1" t="s">
        <v>17</v>
      </c>
      <c r="F532" s="1" t="s">
        <v>18</v>
      </c>
      <c r="G532" s="4">
        <v>6</v>
      </c>
      <c r="H532" s="4">
        <v>1636</v>
      </c>
      <c r="I532" s="6">
        <v>1427.9708091764692</v>
      </c>
      <c r="J532" s="6">
        <f>表1[[#This Row],[销售金额]]-表1[[#This Row],[退款金额]]</f>
        <v>208.02919082353083</v>
      </c>
      <c r="K532" s="1">
        <v>708</v>
      </c>
      <c r="L532" s="1">
        <v>823</v>
      </c>
    </row>
    <row r="533" spans="1:12" x14ac:dyDescent="0.3">
      <c r="A533" s="2">
        <v>45911</v>
      </c>
      <c r="B533" s="1" t="s">
        <v>25</v>
      </c>
      <c r="C533" s="1" t="s">
        <v>19</v>
      </c>
      <c r="D533" s="1" t="s">
        <v>174</v>
      </c>
      <c r="E533" s="1" t="s">
        <v>17</v>
      </c>
      <c r="F533" s="1" t="s">
        <v>18</v>
      </c>
      <c r="G533" s="4">
        <v>6</v>
      </c>
      <c r="H533" s="4">
        <v>5903</v>
      </c>
      <c r="I533" s="6">
        <v>1427.9708091764692</v>
      </c>
      <c r="J533" s="6">
        <f>表1[[#This Row],[销售金额]]-表1[[#This Row],[退款金额]]</f>
        <v>4475.0291908235304</v>
      </c>
      <c r="K533" s="1">
        <v>708</v>
      </c>
      <c r="L533" s="1">
        <v>823</v>
      </c>
    </row>
    <row r="534" spans="1:12" x14ac:dyDescent="0.3">
      <c r="A534" s="2">
        <v>45911</v>
      </c>
      <c r="B534" s="1" t="s">
        <v>25</v>
      </c>
      <c r="C534" s="1" t="s">
        <v>19</v>
      </c>
      <c r="D534" s="1" t="s">
        <v>174</v>
      </c>
      <c r="E534" s="1" t="s">
        <v>17</v>
      </c>
      <c r="F534" s="1" t="s">
        <v>18</v>
      </c>
      <c r="G534" s="4">
        <v>6</v>
      </c>
      <c r="H534" s="4">
        <v>5786</v>
      </c>
      <c r="I534" s="6">
        <v>1427.9708091764692</v>
      </c>
      <c r="J534" s="6">
        <f>表1[[#This Row],[销售金额]]-表1[[#This Row],[退款金额]]</f>
        <v>4358.0291908235304</v>
      </c>
      <c r="K534" s="1">
        <v>708</v>
      </c>
      <c r="L534" s="1">
        <v>823</v>
      </c>
    </row>
    <row r="535" spans="1:12" x14ac:dyDescent="0.3">
      <c r="A535" s="2">
        <v>45911</v>
      </c>
      <c r="B535" s="1" t="s">
        <v>25</v>
      </c>
      <c r="C535" s="1" t="s">
        <v>32</v>
      </c>
      <c r="D535" s="1" t="s">
        <v>73</v>
      </c>
      <c r="E535" s="1" t="s">
        <v>60</v>
      </c>
      <c r="F535" s="1" t="s">
        <v>61</v>
      </c>
      <c r="G535" s="4">
        <v>7</v>
      </c>
      <c r="H535" s="4">
        <v>21577</v>
      </c>
      <c r="I535" s="6">
        <v>19018.965890553889</v>
      </c>
      <c r="J535" s="6">
        <f>表1[[#This Row],[销售金额]]-表1[[#This Row],[退款金额]]</f>
        <v>2558.034109446111</v>
      </c>
      <c r="K535" s="1">
        <v>712</v>
      </c>
      <c r="L535" s="1">
        <v>4</v>
      </c>
    </row>
    <row r="536" spans="1:12" x14ac:dyDescent="0.3">
      <c r="A536" s="2">
        <v>45911</v>
      </c>
      <c r="B536" s="1" t="s">
        <v>25</v>
      </c>
      <c r="C536" s="1" t="s">
        <v>32</v>
      </c>
      <c r="D536" s="1" t="s">
        <v>73</v>
      </c>
      <c r="E536" s="1" t="s">
        <v>60</v>
      </c>
      <c r="F536" s="1" t="s">
        <v>61</v>
      </c>
      <c r="G536" s="4">
        <v>7</v>
      </c>
      <c r="H536" s="4">
        <v>19469</v>
      </c>
      <c r="I536" s="6">
        <v>19018.965890553889</v>
      </c>
      <c r="J536" s="6">
        <f>表1[[#This Row],[销售金额]]-表1[[#This Row],[退款金额]]</f>
        <v>450.03410944611096</v>
      </c>
      <c r="K536" s="1">
        <v>712</v>
      </c>
      <c r="L536" s="1">
        <v>4</v>
      </c>
    </row>
    <row r="537" spans="1:12" x14ac:dyDescent="0.3">
      <c r="A537" s="2">
        <v>45911</v>
      </c>
      <c r="B537" s="1" t="s">
        <v>25</v>
      </c>
      <c r="C537" s="1" t="s">
        <v>32</v>
      </c>
      <c r="D537" s="1" t="s">
        <v>73</v>
      </c>
      <c r="E537" s="1" t="s">
        <v>60</v>
      </c>
      <c r="F537" s="1" t="s">
        <v>61</v>
      </c>
      <c r="G537" s="4">
        <v>7</v>
      </c>
      <c r="H537" s="4">
        <v>20082</v>
      </c>
      <c r="I537" s="6">
        <v>19018.965890553889</v>
      </c>
      <c r="J537" s="6">
        <f>表1[[#This Row],[销售金额]]-表1[[#This Row],[退款金额]]</f>
        <v>1063.034109446111</v>
      </c>
      <c r="K537" s="1">
        <v>712</v>
      </c>
      <c r="L537" s="1">
        <v>4</v>
      </c>
    </row>
    <row r="538" spans="1:12" x14ac:dyDescent="0.3">
      <c r="A538" s="2">
        <v>45911</v>
      </c>
      <c r="B538" s="1" t="s">
        <v>25</v>
      </c>
      <c r="C538" s="1" t="s">
        <v>32</v>
      </c>
      <c r="D538" s="1" t="s">
        <v>73</v>
      </c>
      <c r="E538" s="1" t="s">
        <v>60</v>
      </c>
      <c r="F538" s="1" t="s">
        <v>61</v>
      </c>
      <c r="G538" s="4">
        <v>7</v>
      </c>
      <c r="H538" s="4">
        <v>20933</v>
      </c>
      <c r="I538" s="6">
        <v>19018.965890553889</v>
      </c>
      <c r="J538" s="6">
        <f>表1[[#This Row],[销售金额]]-表1[[#This Row],[退款金额]]</f>
        <v>1914.034109446111</v>
      </c>
      <c r="K538" s="1">
        <v>712</v>
      </c>
      <c r="L538" s="1">
        <v>4</v>
      </c>
    </row>
    <row r="539" spans="1:12" x14ac:dyDescent="0.3">
      <c r="A539" s="2">
        <v>45911</v>
      </c>
      <c r="B539" s="1" t="s">
        <v>25</v>
      </c>
      <c r="C539" s="1" t="s">
        <v>32</v>
      </c>
      <c r="D539" s="1" t="s">
        <v>73</v>
      </c>
      <c r="E539" s="1" t="s">
        <v>60</v>
      </c>
      <c r="F539" s="1" t="s">
        <v>61</v>
      </c>
      <c r="G539" s="4">
        <v>7</v>
      </c>
      <c r="H539" s="4">
        <v>22798</v>
      </c>
      <c r="I539" s="6">
        <v>19018.965890553889</v>
      </c>
      <c r="J539" s="6">
        <f>表1[[#This Row],[销售金额]]-表1[[#This Row],[退款金额]]</f>
        <v>3779.034109446111</v>
      </c>
      <c r="K539" s="1">
        <v>712</v>
      </c>
      <c r="L539" s="1">
        <v>4</v>
      </c>
    </row>
    <row r="540" spans="1:12" x14ac:dyDescent="0.3">
      <c r="A540" s="2">
        <v>45911</v>
      </c>
      <c r="B540" s="1" t="s">
        <v>25</v>
      </c>
      <c r="C540" s="1" t="s">
        <v>32</v>
      </c>
      <c r="D540" s="1" t="s">
        <v>73</v>
      </c>
      <c r="E540" s="1" t="s">
        <v>60</v>
      </c>
      <c r="F540" s="1" t="s">
        <v>61</v>
      </c>
      <c r="G540" s="4">
        <v>7</v>
      </c>
      <c r="H540" s="4">
        <v>21009</v>
      </c>
      <c r="I540" s="6">
        <v>19018.965890553889</v>
      </c>
      <c r="J540" s="6">
        <f>表1[[#This Row],[销售金额]]-表1[[#This Row],[退款金额]]</f>
        <v>1990.034109446111</v>
      </c>
      <c r="K540" s="1">
        <v>712</v>
      </c>
      <c r="L540" s="1">
        <v>4</v>
      </c>
    </row>
    <row r="541" spans="1:12" x14ac:dyDescent="0.3">
      <c r="A541" s="2">
        <v>45911</v>
      </c>
      <c r="B541" s="1" t="s">
        <v>25</v>
      </c>
      <c r="C541" s="1" t="s">
        <v>32</v>
      </c>
      <c r="D541" s="1" t="s">
        <v>73</v>
      </c>
      <c r="E541" s="1" t="s">
        <v>60</v>
      </c>
      <c r="F541" s="1" t="s">
        <v>61</v>
      </c>
      <c r="G541" s="4">
        <v>7</v>
      </c>
      <c r="H541" s="4">
        <v>22121</v>
      </c>
      <c r="I541" s="6">
        <v>19018.965890553889</v>
      </c>
      <c r="J541" s="6">
        <f>表1[[#This Row],[销售金额]]-表1[[#This Row],[退款金额]]</f>
        <v>3102.034109446111</v>
      </c>
      <c r="K541" s="1">
        <v>712</v>
      </c>
      <c r="L541" s="1">
        <v>4</v>
      </c>
    </row>
    <row r="542" spans="1:12" x14ac:dyDescent="0.3">
      <c r="A542" s="2">
        <v>45911</v>
      </c>
      <c r="B542" s="1" t="s">
        <v>25</v>
      </c>
      <c r="C542" s="1" t="s">
        <v>32</v>
      </c>
      <c r="D542" s="1" t="s">
        <v>73</v>
      </c>
      <c r="E542" s="1" t="s">
        <v>60</v>
      </c>
      <c r="F542" s="1" t="s">
        <v>61</v>
      </c>
      <c r="G542" s="4">
        <v>7</v>
      </c>
      <c r="H542" s="4">
        <v>22988</v>
      </c>
      <c r="I542" s="6">
        <v>19018.965890553889</v>
      </c>
      <c r="J542" s="6">
        <f>表1[[#This Row],[销售金额]]-表1[[#This Row],[退款金额]]</f>
        <v>3969.034109446111</v>
      </c>
      <c r="K542" s="1">
        <v>712</v>
      </c>
      <c r="L542" s="1">
        <v>4</v>
      </c>
    </row>
    <row r="543" spans="1:12" x14ac:dyDescent="0.3">
      <c r="A543" s="2">
        <v>45911</v>
      </c>
      <c r="B543" s="1" t="s">
        <v>25</v>
      </c>
      <c r="C543" s="1" t="s">
        <v>32</v>
      </c>
      <c r="D543" s="1" t="s">
        <v>73</v>
      </c>
      <c r="E543" s="1" t="s">
        <v>60</v>
      </c>
      <c r="F543" s="1" t="s">
        <v>61</v>
      </c>
      <c r="G543" s="4">
        <v>7</v>
      </c>
      <c r="H543" s="4">
        <v>22724</v>
      </c>
      <c r="I543" s="6">
        <v>19018.965890553889</v>
      </c>
      <c r="J543" s="6">
        <f>表1[[#This Row],[销售金额]]-表1[[#This Row],[退款金额]]</f>
        <v>3705.034109446111</v>
      </c>
      <c r="K543" s="1">
        <v>712</v>
      </c>
      <c r="L543" s="1">
        <v>4</v>
      </c>
    </row>
    <row r="544" spans="1:12" x14ac:dyDescent="0.3">
      <c r="A544" s="2">
        <v>45911</v>
      </c>
      <c r="B544" s="1" t="s">
        <v>15</v>
      </c>
      <c r="C544" s="1" t="s">
        <v>19</v>
      </c>
      <c r="D544" s="1" t="s">
        <v>184</v>
      </c>
      <c r="E544" s="1" t="s">
        <v>75</v>
      </c>
      <c r="F544" s="1" t="s">
        <v>76</v>
      </c>
      <c r="G544" s="4">
        <v>9</v>
      </c>
      <c r="H544" s="4">
        <v>3558</v>
      </c>
      <c r="I544" s="6">
        <v>2074.2059027026767</v>
      </c>
      <c r="J544" s="6">
        <f>表1[[#This Row],[销售金额]]-表1[[#This Row],[退款金额]]</f>
        <v>1483.7940972973233</v>
      </c>
      <c r="K544" s="1">
        <v>942</v>
      </c>
      <c r="L544" s="1">
        <v>842</v>
      </c>
    </row>
    <row r="545" spans="1:12" x14ac:dyDescent="0.3">
      <c r="A545" s="2">
        <v>45911</v>
      </c>
      <c r="B545" s="1" t="s">
        <v>15</v>
      </c>
      <c r="C545" s="1" t="s">
        <v>19</v>
      </c>
      <c r="D545" s="1" t="s">
        <v>184</v>
      </c>
      <c r="E545" s="1" t="s">
        <v>75</v>
      </c>
      <c r="F545" s="1" t="s">
        <v>76</v>
      </c>
      <c r="G545" s="4">
        <v>9</v>
      </c>
      <c r="H545" s="4">
        <v>3834</v>
      </c>
      <c r="I545" s="6">
        <v>2074.2059027026767</v>
      </c>
      <c r="J545" s="6">
        <f>表1[[#This Row],[销售金额]]-表1[[#This Row],[退款金额]]</f>
        <v>1759.7940972973233</v>
      </c>
      <c r="K545" s="1">
        <v>942</v>
      </c>
      <c r="L545" s="1">
        <v>842</v>
      </c>
    </row>
    <row r="546" spans="1:12" x14ac:dyDescent="0.3">
      <c r="A546" s="2">
        <v>45911</v>
      </c>
      <c r="B546" s="1" t="s">
        <v>15</v>
      </c>
      <c r="C546" s="1" t="s">
        <v>19</v>
      </c>
      <c r="D546" s="1" t="s">
        <v>184</v>
      </c>
      <c r="E546" s="1" t="s">
        <v>75</v>
      </c>
      <c r="F546" s="1" t="s">
        <v>76</v>
      </c>
      <c r="G546" s="4">
        <v>9</v>
      </c>
      <c r="H546" s="4">
        <v>4722</v>
      </c>
      <c r="I546" s="6">
        <v>2074.2059027026767</v>
      </c>
      <c r="J546" s="6">
        <f>表1[[#This Row],[销售金额]]-表1[[#This Row],[退款金额]]</f>
        <v>2647.7940972973233</v>
      </c>
      <c r="K546" s="1">
        <v>942</v>
      </c>
      <c r="L546" s="1">
        <v>842</v>
      </c>
    </row>
    <row r="547" spans="1:12" x14ac:dyDescent="0.3">
      <c r="A547" s="2">
        <v>45911</v>
      </c>
      <c r="B547" s="1" t="s">
        <v>15</v>
      </c>
      <c r="C547" s="1" t="s">
        <v>19</v>
      </c>
      <c r="D547" s="1" t="s">
        <v>184</v>
      </c>
      <c r="E547" s="1" t="s">
        <v>75</v>
      </c>
      <c r="F547" s="1" t="s">
        <v>76</v>
      </c>
      <c r="G547" s="4">
        <v>9</v>
      </c>
      <c r="H547" s="4">
        <v>3734</v>
      </c>
      <c r="I547" s="6">
        <v>2074.2059027026767</v>
      </c>
      <c r="J547" s="6">
        <f>表1[[#This Row],[销售金额]]-表1[[#This Row],[退款金额]]</f>
        <v>1659.7940972973233</v>
      </c>
      <c r="K547" s="1">
        <v>942</v>
      </c>
      <c r="L547" s="1">
        <v>842</v>
      </c>
    </row>
    <row r="548" spans="1:12" x14ac:dyDescent="0.3">
      <c r="A548" s="2">
        <v>45911</v>
      </c>
      <c r="B548" s="1" t="s">
        <v>15</v>
      </c>
      <c r="C548" s="1" t="s">
        <v>19</v>
      </c>
      <c r="D548" s="1" t="s">
        <v>184</v>
      </c>
      <c r="E548" s="1" t="s">
        <v>75</v>
      </c>
      <c r="F548" s="1" t="s">
        <v>76</v>
      </c>
      <c r="G548" s="4">
        <v>9</v>
      </c>
      <c r="H548" s="4">
        <v>6886</v>
      </c>
      <c r="I548" s="6">
        <v>2074.2059027026767</v>
      </c>
      <c r="J548" s="6">
        <f>表1[[#This Row],[销售金额]]-表1[[#This Row],[退款金额]]</f>
        <v>4811.7940972973229</v>
      </c>
      <c r="K548" s="1">
        <v>942</v>
      </c>
      <c r="L548" s="1">
        <v>842</v>
      </c>
    </row>
    <row r="549" spans="1:12" x14ac:dyDescent="0.3">
      <c r="A549" s="2">
        <v>45911</v>
      </c>
      <c r="B549" s="1" t="s">
        <v>15</v>
      </c>
      <c r="C549" s="1" t="s">
        <v>19</v>
      </c>
      <c r="D549" s="1" t="s">
        <v>184</v>
      </c>
      <c r="E549" s="1" t="s">
        <v>75</v>
      </c>
      <c r="F549" s="1" t="s">
        <v>76</v>
      </c>
      <c r="G549" s="4">
        <v>9</v>
      </c>
      <c r="H549" s="4">
        <v>4363</v>
      </c>
      <c r="I549" s="6">
        <v>2074.2059027026767</v>
      </c>
      <c r="J549" s="6">
        <f>表1[[#This Row],[销售金额]]-表1[[#This Row],[退款金额]]</f>
        <v>2288.7940972973233</v>
      </c>
      <c r="K549" s="1">
        <v>942</v>
      </c>
      <c r="L549" s="1">
        <v>842</v>
      </c>
    </row>
    <row r="550" spans="1:12" x14ac:dyDescent="0.3">
      <c r="A550" s="2">
        <v>45911</v>
      </c>
      <c r="B550" s="1" t="s">
        <v>15</v>
      </c>
      <c r="C550" s="1" t="s">
        <v>19</v>
      </c>
      <c r="D550" s="1" t="s">
        <v>184</v>
      </c>
      <c r="E550" s="1" t="s">
        <v>75</v>
      </c>
      <c r="F550" s="1" t="s">
        <v>76</v>
      </c>
      <c r="G550" s="4">
        <v>9</v>
      </c>
      <c r="H550" s="4">
        <v>2431</v>
      </c>
      <c r="I550" s="6">
        <v>2074.2059027026767</v>
      </c>
      <c r="J550" s="6">
        <f>表1[[#This Row],[销售金额]]-表1[[#This Row],[退款金额]]</f>
        <v>356.79409729732333</v>
      </c>
      <c r="K550" s="1">
        <v>942</v>
      </c>
      <c r="L550" s="1">
        <v>842</v>
      </c>
    </row>
    <row r="551" spans="1:12" x14ac:dyDescent="0.3">
      <c r="A551" s="2">
        <v>45911</v>
      </c>
      <c r="B551" s="1" t="s">
        <v>15</v>
      </c>
      <c r="C551" s="1" t="s">
        <v>19</v>
      </c>
      <c r="D551" s="1" t="s">
        <v>184</v>
      </c>
      <c r="E551" s="1" t="s">
        <v>75</v>
      </c>
      <c r="F551" s="1" t="s">
        <v>76</v>
      </c>
      <c r="G551" s="4">
        <v>9</v>
      </c>
      <c r="H551" s="4">
        <v>2222</v>
      </c>
      <c r="I551" s="6">
        <v>2074.2059027026767</v>
      </c>
      <c r="J551" s="6">
        <f>表1[[#This Row],[销售金额]]-表1[[#This Row],[退款金额]]</f>
        <v>147.79409729732333</v>
      </c>
      <c r="K551" s="1">
        <v>942</v>
      </c>
      <c r="L551" s="1">
        <v>842</v>
      </c>
    </row>
    <row r="552" spans="1:12" x14ac:dyDescent="0.3">
      <c r="A552" s="2">
        <v>45911</v>
      </c>
      <c r="B552" s="1" t="s">
        <v>15</v>
      </c>
      <c r="C552" s="1" t="s">
        <v>19</v>
      </c>
      <c r="D552" s="1" t="s">
        <v>184</v>
      </c>
      <c r="E552" s="1" t="s">
        <v>75</v>
      </c>
      <c r="F552" s="1" t="s">
        <v>76</v>
      </c>
      <c r="G552" s="4">
        <v>9</v>
      </c>
      <c r="H552" s="4">
        <v>6497</v>
      </c>
      <c r="I552" s="6">
        <v>2074.2059027026767</v>
      </c>
      <c r="J552" s="6">
        <f>表1[[#This Row],[销售金额]]-表1[[#This Row],[退款金额]]</f>
        <v>4422.7940972973229</v>
      </c>
      <c r="K552" s="1">
        <v>942</v>
      </c>
      <c r="L552" s="1">
        <v>842</v>
      </c>
    </row>
    <row r="553" spans="1:12" x14ac:dyDescent="0.3">
      <c r="A553" s="2">
        <v>45911</v>
      </c>
      <c r="B553" s="1" t="s">
        <v>25</v>
      </c>
      <c r="C553" s="1" t="s">
        <v>32</v>
      </c>
      <c r="D553" s="1" t="s">
        <v>168</v>
      </c>
      <c r="E553" s="1" t="s">
        <v>38</v>
      </c>
      <c r="F553" s="1" t="s">
        <v>39</v>
      </c>
      <c r="G553" s="4">
        <v>11</v>
      </c>
      <c r="H553" s="4">
        <v>10452</v>
      </c>
      <c r="I553" s="6">
        <v>5580.553996449964</v>
      </c>
      <c r="J553" s="6">
        <f>表1[[#This Row],[销售金额]]-表1[[#This Row],[退款金额]]</f>
        <v>4871.446003550036</v>
      </c>
      <c r="K553" s="1">
        <v>88</v>
      </c>
      <c r="L553" s="1">
        <v>70</v>
      </c>
    </row>
    <row r="554" spans="1:12" x14ac:dyDescent="0.3">
      <c r="A554" s="2">
        <v>45911</v>
      </c>
      <c r="B554" s="1" t="s">
        <v>25</v>
      </c>
      <c r="C554" s="1" t="s">
        <v>32</v>
      </c>
      <c r="D554" s="1" t="s">
        <v>168</v>
      </c>
      <c r="E554" s="1" t="s">
        <v>38</v>
      </c>
      <c r="F554" s="1" t="s">
        <v>39</v>
      </c>
      <c r="G554" s="4">
        <v>11</v>
      </c>
      <c r="H554" s="4">
        <v>6106</v>
      </c>
      <c r="I554" s="6">
        <v>5580.553996449964</v>
      </c>
      <c r="J554" s="6">
        <f>表1[[#This Row],[销售金额]]-表1[[#This Row],[退款金额]]</f>
        <v>525.44600355003604</v>
      </c>
      <c r="K554" s="1">
        <v>88</v>
      </c>
      <c r="L554" s="1">
        <v>70</v>
      </c>
    </row>
    <row r="555" spans="1:12" x14ac:dyDescent="0.3">
      <c r="A555" s="2">
        <v>45911</v>
      </c>
      <c r="B555" s="1" t="s">
        <v>25</v>
      </c>
      <c r="C555" s="1" t="s">
        <v>32</v>
      </c>
      <c r="D555" s="1" t="s">
        <v>168</v>
      </c>
      <c r="E555" s="1" t="s">
        <v>38</v>
      </c>
      <c r="F555" s="1" t="s">
        <v>39</v>
      </c>
      <c r="G555" s="4">
        <v>11</v>
      </c>
      <c r="H555" s="4">
        <v>10163</v>
      </c>
      <c r="I555" s="6">
        <v>5580.553996449964</v>
      </c>
      <c r="J555" s="6">
        <f>表1[[#This Row],[销售金额]]-表1[[#This Row],[退款金额]]</f>
        <v>4582.446003550036</v>
      </c>
      <c r="K555" s="1">
        <v>88</v>
      </c>
      <c r="L555" s="1">
        <v>70</v>
      </c>
    </row>
    <row r="556" spans="1:12" x14ac:dyDescent="0.3">
      <c r="A556" s="2">
        <v>45911</v>
      </c>
      <c r="B556" s="1" t="s">
        <v>25</v>
      </c>
      <c r="C556" s="1" t="s">
        <v>32</v>
      </c>
      <c r="D556" s="1" t="s">
        <v>168</v>
      </c>
      <c r="E556" s="1" t="s">
        <v>38</v>
      </c>
      <c r="F556" s="1" t="s">
        <v>39</v>
      </c>
      <c r="G556" s="4">
        <v>11</v>
      </c>
      <c r="H556" s="4">
        <v>6249</v>
      </c>
      <c r="I556" s="6">
        <v>5580.553996449964</v>
      </c>
      <c r="J556" s="6">
        <f>表1[[#This Row],[销售金额]]-表1[[#This Row],[退款金额]]</f>
        <v>668.44600355003604</v>
      </c>
      <c r="K556" s="1">
        <v>88</v>
      </c>
      <c r="L556" s="1">
        <v>70</v>
      </c>
    </row>
    <row r="557" spans="1:12" x14ac:dyDescent="0.3">
      <c r="A557" s="2">
        <v>45911</v>
      </c>
      <c r="B557" s="1" t="s">
        <v>25</v>
      </c>
      <c r="C557" s="1" t="s">
        <v>32</v>
      </c>
      <c r="D557" s="1" t="s">
        <v>168</v>
      </c>
      <c r="E557" s="1" t="s">
        <v>38</v>
      </c>
      <c r="F557" s="1" t="s">
        <v>39</v>
      </c>
      <c r="G557" s="4">
        <v>11</v>
      </c>
      <c r="H557" s="4">
        <v>9729</v>
      </c>
      <c r="I557" s="6">
        <v>5580.553996449964</v>
      </c>
      <c r="J557" s="6">
        <f>表1[[#This Row],[销售金额]]-表1[[#This Row],[退款金额]]</f>
        <v>4148.446003550036</v>
      </c>
      <c r="K557" s="1">
        <v>88</v>
      </c>
      <c r="L557" s="1">
        <v>70</v>
      </c>
    </row>
    <row r="558" spans="1:12" x14ac:dyDescent="0.3">
      <c r="A558" s="2">
        <v>45911</v>
      </c>
      <c r="B558" s="1" t="s">
        <v>25</v>
      </c>
      <c r="C558" s="1" t="s">
        <v>32</v>
      </c>
      <c r="D558" s="1" t="s">
        <v>168</v>
      </c>
      <c r="E558" s="1" t="s">
        <v>38</v>
      </c>
      <c r="F558" s="1" t="s">
        <v>39</v>
      </c>
      <c r="G558" s="4">
        <v>11</v>
      </c>
      <c r="H558" s="4">
        <v>9587</v>
      </c>
      <c r="I558" s="6">
        <v>5580.553996449964</v>
      </c>
      <c r="J558" s="6">
        <f>表1[[#This Row],[销售金额]]-表1[[#This Row],[退款金额]]</f>
        <v>4006.446003550036</v>
      </c>
      <c r="K558" s="1">
        <v>88</v>
      </c>
      <c r="L558" s="1">
        <v>70</v>
      </c>
    </row>
    <row r="559" spans="1:12" x14ac:dyDescent="0.3">
      <c r="A559" s="2">
        <v>45911</v>
      </c>
      <c r="B559" s="1" t="s">
        <v>25</v>
      </c>
      <c r="C559" s="1" t="s">
        <v>32</v>
      </c>
      <c r="D559" s="1" t="s">
        <v>168</v>
      </c>
      <c r="E559" s="1" t="s">
        <v>38</v>
      </c>
      <c r="F559" s="1" t="s">
        <v>39</v>
      </c>
      <c r="G559" s="4">
        <v>11</v>
      </c>
      <c r="H559" s="4">
        <v>7627</v>
      </c>
      <c r="I559" s="6">
        <v>5580.553996449964</v>
      </c>
      <c r="J559" s="6">
        <f>表1[[#This Row],[销售金额]]-表1[[#This Row],[退款金额]]</f>
        <v>2046.446003550036</v>
      </c>
      <c r="K559" s="1">
        <v>88</v>
      </c>
      <c r="L559" s="1">
        <v>70</v>
      </c>
    </row>
    <row r="560" spans="1:12" x14ac:dyDescent="0.3">
      <c r="A560" s="2">
        <v>45911</v>
      </c>
      <c r="B560" s="1" t="s">
        <v>25</v>
      </c>
      <c r="C560" s="1" t="s">
        <v>32</v>
      </c>
      <c r="D560" s="1" t="s">
        <v>168</v>
      </c>
      <c r="E560" s="1" t="s">
        <v>38</v>
      </c>
      <c r="F560" s="1" t="s">
        <v>39</v>
      </c>
      <c r="G560" s="4">
        <v>11</v>
      </c>
      <c r="H560" s="4">
        <v>6856</v>
      </c>
      <c r="I560" s="6">
        <v>5580.553996449964</v>
      </c>
      <c r="J560" s="6">
        <f>表1[[#This Row],[销售金额]]-表1[[#This Row],[退款金额]]</f>
        <v>1275.446003550036</v>
      </c>
      <c r="K560" s="1">
        <v>88</v>
      </c>
      <c r="L560" s="1">
        <v>70</v>
      </c>
    </row>
    <row r="561" spans="1:12" x14ac:dyDescent="0.3">
      <c r="A561" s="2">
        <v>45911</v>
      </c>
      <c r="B561" s="1" t="s">
        <v>25</v>
      </c>
      <c r="C561" s="1" t="s">
        <v>32</v>
      </c>
      <c r="D561" s="1" t="s">
        <v>168</v>
      </c>
      <c r="E561" s="1" t="s">
        <v>38</v>
      </c>
      <c r="F561" s="1" t="s">
        <v>39</v>
      </c>
      <c r="G561" s="4">
        <v>11</v>
      </c>
      <c r="H561" s="4">
        <v>6524</v>
      </c>
      <c r="I561" s="6">
        <v>5580.553996449964</v>
      </c>
      <c r="J561" s="6">
        <f>表1[[#This Row],[销售金额]]-表1[[#This Row],[退款金额]]</f>
        <v>943.44600355003604</v>
      </c>
      <c r="K561" s="1">
        <v>88</v>
      </c>
      <c r="L561" s="1">
        <v>70</v>
      </c>
    </row>
    <row r="562" spans="1:12" x14ac:dyDescent="0.3">
      <c r="A562" s="2">
        <v>45911</v>
      </c>
      <c r="B562" s="1" t="s">
        <v>11</v>
      </c>
      <c r="C562" s="1" t="s">
        <v>19</v>
      </c>
      <c r="D562" s="1" t="s">
        <v>126</v>
      </c>
      <c r="E562" s="1" t="s">
        <v>75</v>
      </c>
      <c r="F562" s="1" t="s">
        <v>76</v>
      </c>
      <c r="G562" s="4">
        <v>14</v>
      </c>
      <c r="H562" s="4">
        <v>2912</v>
      </c>
      <c r="I562" s="6">
        <v>487.24637168921276</v>
      </c>
      <c r="J562" s="6">
        <f>表1[[#This Row],[销售金额]]-表1[[#This Row],[退款金额]]</f>
        <v>2424.7536283107875</v>
      </c>
      <c r="K562" s="1">
        <v>222</v>
      </c>
      <c r="L562" s="1">
        <v>274</v>
      </c>
    </row>
    <row r="563" spans="1:12" x14ac:dyDescent="0.3">
      <c r="A563" s="2">
        <v>45911</v>
      </c>
      <c r="B563" s="1" t="s">
        <v>11</v>
      </c>
      <c r="C563" s="1" t="s">
        <v>19</v>
      </c>
      <c r="D563" s="1" t="s">
        <v>126</v>
      </c>
      <c r="E563" s="1" t="s">
        <v>75</v>
      </c>
      <c r="F563" s="1" t="s">
        <v>76</v>
      </c>
      <c r="G563" s="4">
        <v>14</v>
      </c>
      <c r="H563" s="4">
        <v>1897</v>
      </c>
      <c r="I563" s="6">
        <v>487.24637168921276</v>
      </c>
      <c r="J563" s="6">
        <f>表1[[#This Row],[销售金额]]-表1[[#This Row],[退款金额]]</f>
        <v>1409.7536283107872</v>
      </c>
      <c r="K563" s="1">
        <v>222</v>
      </c>
      <c r="L563" s="1">
        <v>274</v>
      </c>
    </row>
    <row r="564" spans="1:12" x14ac:dyDescent="0.3">
      <c r="A564" s="2">
        <v>45911</v>
      </c>
      <c r="B564" s="1" t="s">
        <v>11</v>
      </c>
      <c r="C564" s="1" t="s">
        <v>19</v>
      </c>
      <c r="D564" s="1" t="s">
        <v>126</v>
      </c>
      <c r="E564" s="1" t="s">
        <v>75</v>
      </c>
      <c r="F564" s="1" t="s">
        <v>76</v>
      </c>
      <c r="G564" s="4">
        <v>14</v>
      </c>
      <c r="H564" s="4">
        <v>5249</v>
      </c>
      <c r="I564" s="6">
        <v>487.24637168921276</v>
      </c>
      <c r="J564" s="6">
        <f>表1[[#This Row],[销售金额]]-表1[[#This Row],[退款金额]]</f>
        <v>4761.7536283107875</v>
      </c>
      <c r="K564" s="1">
        <v>222</v>
      </c>
      <c r="L564" s="1">
        <v>274</v>
      </c>
    </row>
    <row r="565" spans="1:12" x14ac:dyDescent="0.3">
      <c r="A565" s="2">
        <v>45911</v>
      </c>
      <c r="B565" s="1" t="s">
        <v>11</v>
      </c>
      <c r="C565" s="1" t="s">
        <v>19</v>
      </c>
      <c r="D565" s="1" t="s">
        <v>126</v>
      </c>
      <c r="E565" s="1" t="s">
        <v>75</v>
      </c>
      <c r="F565" s="1" t="s">
        <v>76</v>
      </c>
      <c r="G565" s="4">
        <v>14</v>
      </c>
      <c r="H565" s="4">
        <v>655</v>
      </c>
      <c r="I565" s="6">
        <v>487.24637168921276</v>
      </c>
      <c r="J565" s="6">
        <f>表1[[#This Row],[销售金额]]-表1[[#This Row],[退款金额]]</f>
        <v>167.75362831078724</v>
      </c>
      <c r="K565" s="1">
        <v>222</v>
      </c>
      <c r="L565" s="1">
        <v>274</v>
      </c>
    </row>
    <row r="566" spans="1:12" x14ac:dyDescent="0.3">
      <c r="A566" s="2">
        <v>45911</v>
      </c>
      <c r="B566" s="1" t="s">
        <v>11</v>
      </c>
      <c r="C566" s="1" t="s">
        <v>19</v>
      </c>
      <c r="D566" s="1" t="s">
        <v>126</v>
      </c>
      <c r="E566" s="1" t="s">
        <v>75</v>
      </c>
      <c r="F566" s="1" t="s">
        <v>76</v>
      </c>
      <c r="G566" s="4">
        <v>14</v>
      </c>
      <c r="H566" s="4">
        <v>1255</v>
      </c>
      <c r="I566" s="6">
        <v>487.24637168921276</v>
      </c>
      <c r="J566" s="6">
        <f>表1[[#This Row],[销售金额]]-表1[[#This Row],[退款金额]]</f>
        <v>767.75362831078724</v>
      </c>
      <c r="K566" s="1">
        <v>222</v>
      </c>
      <c r="L566" s="1">
        <v>274</v>
      </c>
    </row>
    <row r="567" spans="1:12" x14ac:dyDescent="0.3">
      <c r="A567" s="2">
        <v>45911</v>
      </c>
      <c r="B567" s="1" t="s">
        <v>11</v>
      </c>
      <c r="C567" s="1" t="s">
        <v>19</v>
      </c>
      <c r="D567" s="1" t="s">
        <v>126</v>
      </c>
      <c r="E567" s="1" t="s">
        <v>75</v>
      </c>
      <c r="F567" s="1" t="s">
        <v>76</v>
      </c>
      <c r="G567" s="4">
        <v>14</v>
      </c>
      <c r="H567" s="4">
        <v>2123</v>
      </c>
      <c r="I567" s="6">
        <v>487.24637168921276</v>
      </c>
      <c r="J567" s="6">
        <f>表1[[#This Row],[销售金额]]-表1[[#This Row],[退款金额]]</f>
        <v>1635.7536283107872</v>
      </c>
      <c r="K567" s="1">
        <v>222</v>
      </c>
      <c r="L567" s="1">
        <v>274</v>
      </c>
    </row>
    <row r="568" spans="1:12" x14ac:dyDescent="0.3">
      <c r="A568" s="2">
        <v>45911</v>
      </c>
      <c r="B568" s="1" t="s">
        <v>11</v>
      </c>
      <c r="C568" s="1" t="s">
        <v>19</v>
      </c>
      <c r="D568" s="1" t="s">
        <v>126</v>
      </c>
      <c r="E568" s="1" t="s">
        <v>75</v>
      </c>
      <c r="F568" s="1" t="s">
        <v>76</v>
      </c>
      <c r="G568" s="4">
        <v>14</v>
      </c>
      <c r="H568" s="4">
        <v>2278</v>
      </c>
      <c r="I568" s="6">
        <v>487.24637168921276</v>
      </c>
      <c r="J568" s="6">
        <f>表1[[#This Row],[销售金额]]-表1[[#This Row],[退款金额]]</f>
        <v>1790.7536283107872</v>
      </c>
      <c r="K568" s="1">
        <v>222</v>
      </c>
      <c r="L568" s="1">
        <v>274</v>
      </c>
    </row>
    <row r="569" spans="1:12" x14ac:dyDescent="0.3">
      <c r="A569" s="2">
        <v>45911</v>
      </c>
      <c r="B569" s="1" t="s">
        <v>11</v>
      </c>
      <c r="C569" s="1" t="s">
        <v>19</v>
      </c>
      <c r="D569" s="1" t="s">
        <v>126</v>
      </c>
      <c r="E569" s="1" t="s">
        <v>75</v>
      </c>
      <c r="F569" s="1" t="s">
        <v>76</v>
      </c>
      <c r="G569" s="4">
        <v>14</v>
      </c>
      <c r="H569" s="4">
        <v>2648</v>
      </c>
      <c r="I569" s="6">
        <v>487.24637168921276</v>
      </c>
      <c r="J569" s="6">
        <f>表1[[#This Row],[销售金额]]-表1[[#This Row],[退款金额]]</f>
        <v>2160.7536283107875</v>
      </c>
      <c r="K569" s="1">
        <v>222</v>
      </c>
      <c r="L569" s="1">
        <v>274</v>
      </c>
    </row>
    <row r="570" spans="1:12" x14ac:dyDescent="0.3">
      <c r="A570" s="2">
        <v>45911</v>
      </c>
      <c r="B570" s="1" t="s">
        <v>11</v>
      </c>
      <c r="C570" s="1" t="s">
        <v>19</v>
      </c>
      <c r="D570" s="1" t="s">
        <v>126</v>
      </c>
      <c r="E570" s="1" t="s">
        <v>75</v>
      </c>
      <c r="F570" s="1" t="s">
        <v>76</v>
      </c>
      <c r="G570" s="4">
        <v>14</v>
      </c>
      <c r="H570" s="4">
        <v>4765</v>
      </c>
      <c r="I570" s="6">
        <v>487.24637168921276</v>
      </c>
      <c r="J570" s="6">
        <f>表1[[#This Row],[销售金额]]-表1[[#This Row],[退款金额]]</f>
        <v>4277.7536283107875</v>
      </c>
      <c r="K570" s="1">
        <v>222</v>
      </c>
      <c r="L570" s="1">
        <v>274</v>
      </c>
    </row>
    <row r="571" spans="1:12" x14ac:dyDescent="0.3">
      <c r="A571" s="2">
        <v>45911</v>
      </c>
      <c r="B571" s="1" t="s">
        <v>250</v>
      </c>
      <c r="C571" s="1" t="s">
        <v>19</v>
      </c>
      <c r="D571" s="1" t="s">
        <v>230</v>
      </c>
      <c r="E571" s="1" t="s">
        <v>27</v>
      </c>
      <c r="F571" s="1" t="s">
        <v>28</v>
      </c>
      <c r="G571" s="4">
        <v>16</v>
      </c>
      <c r="H571" s="4">
        <v>9534</v>
      </c>
      <c r="I571" s="6">
        <v>5076.2602115735808</v>
      </c>
      <c r="J571" s="6">
        <f>表1[[#This Row],[销售金额]]-表1[[#This Row],[退款金额]]</f>
        <v>4457.7397884264192</v>
      </c>
      <c r="K571" s="1">
        <v>41</v>
      </c>
      <c r="L571" s="1">
        <v>299</v>
      </c>
    </row>
    <row r="572" spans="1:12" x14ac:dyDescent="0.3">
      <c r="A572" s="2">
        <v>45911</v>
      </c>
      <c r="B572" s="1" t="s">
        <v>250</v>
      </c>
      <c r="C572" s="1" t="s">
        <v>19</v>
      </c>
      <c r="D572" s="1" t="s">
        <v>230</v>
      </c>
      <c r="E572" s="1" t="s">
        <v>27</v>
      </c>
      <c r="F572" s="1" t="s">
        <v>28</v>
      </c>
      <c r="G572" s="4">
        <v>16</v>
      </c>
      <c r="H572" s="4">
        <v>8485</v>
      </c>
      <c r="I572" s="6">
        <v>5076.2602115735808</v>
      </c>
      <c r="J572" s="6">
        <f>表1[[#This Row],[销售金额]]-表1[[#This Row],[退款金额]]</f>
        <v>3408.7397884264192</v>
      </c>
      <c r="K572" s="1">
        <v>41</v>
      </c>
      <c r="L572" s="1">
        <v>299</v>
      </c>
    </row>
    <row r="573" spans="1:12" x14ac:dyDescent="0.3">
      <c r="A573" s="2">
        <v>45911</v>
      </c>
      <c r="B573" s="1" t="s">
        <v>250</v>
      </c>
      <c r="C573" s="1" t="s">
        <v>19</v>
      </c>
      <c r="D573" s="1" t="s">
        <v>230</v>
      </c>
      <c r="E573" s="1" t="s">
        <v>27</v>
      </c>
      <c r="F573" s="1" t="s">
        <v>28</v>
      </c>
      <c r="G573" s="4">
        <v>16</v>
      </c>
      <c r="H573" s="4">
        <v>7769</v>
      </c>
      <c r="I573" s="6">
        <v>5076.2602115735808</v>
      </c>
      <c r="J573" s="6">
        <f>表1[[#This Row],[销售金额]]-表1[[#This Row],[退款金额]]</f>
        <v>2692.7397884264192</v>
      </c>
      <c r="K573" s="1">
        <v>41</v>
      </c>
      <c r="L573" s="1">
        <v>299</v>
      </c>
    </row>
    <row r="574" spans="1:12" x14ac:dyDescent="0.3">
      <c r="A574" s="2">
        <v>45911</v>
      </c>
      <c r="B574" s="1" t="s">
        <v>250</v>
      </c>
      <c r="C574" s="1" t="s">
        <v>19</v>
      </c>
      <c r="D574" s="1" t="s">
        <v>230</v>
      </c>
      <c r="E574" s="1" t="s">
        <v>27</v>
      </c>
      <c r="F574" s="1" t="s">
        <v>28</v>
      </c>
      <c r="G574" s="4">
        <v>16</v>
      </c>
      <c r="H574" s="4">
        <v>6947</v>
      </c>
      <c r="I574" s="6">
        <v>5076.2602115735808</v>
      </c>
      <c r="J574" s="6">
        <f>表1[[#This Row],[销售金额]]-表1[[#This Row],[退款金额]]</f>
        <v>1870.7397884264192</v>
      </c>
      <c r="K574" s="1">
        <v>41</v>
      </c>
      <c r="L574" s="1">
        <v>299</v>
      </c>
    </row>
    <row r="575" spans="1:12" x14ac:dyDescent="0.3">
      <c r="A575" s="2">
        <v>45911</v>
      </c>
      <c r="B575" s="1" t="s">
        <v>250</v>
      </c>
      <c r="C575" s="1" t="s">
        <v>19</v>
      </c>
      <c r="D575" s="1" t="s">
        <v>230</v>
      </c>
      <c r="E575" s="1" t="s">
        <v>27</v>
      </c>
      <c r="F575" s="1" t="s">
        <v>28</v>
      </c>
      <c r="G575" s="4">
        <v>16</v>
      </c>
      <c r="H575" s="4">
        <v>5981</v>
      </c>
      <c r="I575" s="6">
        <v>5076.2602115735808</v>
      </c>
      <c r="J575" s="6">
        <f>表1[[#This Row],[销售金额]]-表1[[#This Row],[退款金额]]</f>
        <v>904.73978842641918</v>
      </c>
      <c r="K575" s="1">
        <v>41</v>
      </c>
      <c r="L575" s="1">
        <v>299</v>
      </c>
    </row>
    <row r="576" spans="1:12" x14ac:dyDescent="0.3">
      <c r="A576" s="2">
        <v>45911</v>
      </c>
      <c r="B576" s="1" t="s">
        <v>250</v>
      </c>
      <c r="C576" s="1" t="s">
        <v>19</v>
      </c>
      <c r="D576" s="1" t="s">
        <v>230</v>
      </c>
      <c r="E576" s="1" t="s">
        <v>27</v>
      </c>
      <c r="F576" s="1" t="s">
        <v>28</v>
      </c>
      <c r="G576" s="4">
        <v>16</v>
      </c>
      <c r="H576" s="4">
        <v>9302</v>
      </c>
      <c r="I576" s="6">
        <v>5076.2602115735808</v>
      </c>
      <c r="J576" s="6">
        <f>表1[[#This Row],[销售金额]]-表1[[#This Row],[退款金额]]</f>
        <v>4225.7397884264192</v>
      </c>
      <c r="K576" s="1">
        <v>41</v>
      </c>
      <c r="L576" s="1">
        <v>299</v>
      </c>
    </row>
    <row r="577" spans="1:12" x14ac:dyDescent="0.3">
      <c r="A577" s="2">
        <v>45911</v>
      </c>
      <c r="B577" s="1" t="s">
        <v>250</v>
      </c>
      <c r="C577" s="1" t="s">
        <v>19</v>
      </c>
      <c r="D577" s="1" t="s">
        <v>230</v>
      </c>
      <c r="E577" s="1" t="s">
        <v>27</v>
      </c>
      <c r="F577" s="1" t="s">
        <v>28</v>
      </c>
      <c r="G577" s="4">
        <v>16</v>
      </c>
      <c r="H577" s="4">
        <v>6116</v>
      </c>
      <c r="I577" s="6">
        <v>5076.2602115735808</v>
      </c>
      <c r="J577" s="6">
        <f>表1[[#This Row],[销售金额]]-表1[[#This Row],[退款金额]]</f>
        <v>1039.7397884264192</v>
      </c>
      <c r="K577" s="1">
        <v>41</v>
      </c>
      <c r="L577" s="1">
        <v>299</v>
      </c>
    </row>
    <row r="578" spans="1:12" x14ac:dyDescent="0.3">
      <c r="A578" s="2">
        <v>45911</v>
      </c>
      <c r="B578" s="1" t="s">
        <v>250</v>
      </c>
      <c r="C578" s="1" t="s">
        <v>19</v>
      </c>
      <c r="D578" s="1" t="s">
        <v>230</v>
      </c>
      <c r="E578" s="1" t="s">
        <v>27</v>
      </c>
      <c r="F578" s="1" t="s">
        <v>28</v>
      </c>
      <c r="G578" s="4">
        <v>16</v>
      </c>
      <c r="H578" s="4">
        <v>8934</v>
      </c>
      <c r="I578" s="6">
        <v>5076.2602115735808</v>
      </c>
      <c r="J578" s="6">
        <f>表1[[#This Row],[销售金额]]-表1[[#This Row],[退款金额]]</f>
        <v>3857.7397884264192</v>
      </c>
      <c r="K578" s="1">
        <v>41</v>
      </c>
      <c r="L578" s="1">
        <v>299</v>
      </c>
    </row>
    <row r="579" spans="1:12" x14ac:dyDescent="0.3">
      <c r="A579" s="2">
        <v>45911</v>
      </c>
      <c r="B579" s="1" t="s">
        <v>15</v>
      </c>
      <c r="C579" s="1" t="s">
        <v>32</v>
      </c>
      <c r="D579" s="1" t="s">
        <v>67</v>
      </c>
      <c r="E579" s="1" t="s">
        <v>30</v>
      </c>
      <c r="F579" s="1" t="s">
        <v>31</v>
      </c>
      <c r="G579" s="4">
        <v>17</v>
      </c>
      <c r="H579" s="4">
        <v>10419</v>
      </c>
      <c r="I579" s="6">
        <v>9647.5397892110232</v>
      </c>
      <c r="J579" s="6">
        <f>表1[[#This Row],[销售金额]]-表1[[#This Row],[退款金额]]</f>
        <v>771.46021078897684</v>
      </c>
      <c r="K579" s="1">
        <v>556</v>
      </c>
      <c r="L579" s="1">
        <v>620</v>
      </c>
    </row>
    <row r="580" spans="1:12" x14ac:dyDescent="0.3">
      <c r="A580" s="2">
        <v>45911</v>
      </c>
      <c r="B580" s="1" t="s">
        <v>15</v>
      </c>
      <c r="C580" s="1" t="s">
        <v>32</v>
      </c>
      <c r="D580" s="1" t="s">
        <v>67</v>
      </c>
      <c r="E580" s="1" t="s">
        <v>30</v>
      </c>
      <c r="F580" s="1" t="s">
        <v>31</v>
      </c>
      <c r="G580" s="4">
        <v>17</v>
      </c>
      <c r="H580" s="4">
        <v>10956</v>
      </c>
      <c r="I580" s="6">
        <v>9647.5397892110232</v>
      </c>
      <c r="J580" s="6">
        <f>表1[[#This Row],[销售金额]]-表1[[#This Row],[退款金额]]</f>
        <v>1308.4602107889768</v>
      </c>
      <c r="K580" s="1">
        <v>556</v>
      </c>
      <c r="L580" s="1">
        <v>620</v>
      </c>
    </row>
    <row r="581" spans="1:12" x14ac:dyDescent="0.3">
      <c r="A581" s="2">
        <v>45911</v>
      </c>
      <c r="B581" s="1" t="s">
        <v>15</v>
      </c>
      <c r="C581" s="1" t="s">
        <v>32</v>
      </c>
      <c r="D581" s="1" t="s">
        <v>67</v>
      </c>
      <c r="E581" s="1" t="s">
        <v>30</v>
      </c>
      <c r="F581" s="1" t="s">
        <v>31</v>
      </c>
      <c r="G581" s="4">
        <v>17</v>
      </c>
      <c r="H581" s="4">
        <v>11228</v>
      </c>
      <c r="I581" s="6">
        <v>9647.5397892110232</v>
      </c>
      <c r="J581" s="6">
        <f>表1[[#This Row],[销售金额]]-表1[[#This Row],[退款金额]]</f>
        <v>1580.4602107889768</v>
      </c>
      <c r="K581" s="1">
        <v>556</v>
      </c>
      <c r="L581" s="1">
        <v>620</v>
      </c>
    </row>
    <row r="582" spans="1:12" x14ac:dyDescent="0.3">
      <c r="A582" s="2">
        <v>45911</v>
      </c>
      <c r="B582" s="1" t="s">
        <v>15</v>
      </c>
      <c r="C582" s="1" t="s">
        <v>32</v>
      </c>
      <c r="D582" s="1" t="s">
        <v>67</v>
      </c>
      <c r="E582" s="1" t="s">
        <v>30</v>
      </c>
      <c r="F582" s="1" t="s">
        <v>31</v>
      </c>
      <c r="G582" s="4">
        <v>17</v>
      </c>
      <c r="H582" s="4">
        <v>12662</v>
      </c>
      <c r="I582" s="6">
        <v>9647.5397892110232</v>
      </c>
      <c r="J582" s="6">
        <f>表1[[#This Row],[销售金额]]-表1[[#This Row],[退款金额]]</f>
        <v>3014.4602107889768</v>
      </c>
      <c r="K582" s="1">
        <v>556</v>
      </c>
      <c r="L582" s="1">
        <v>620</v>
      </c>
    </row>
    <row r="583" spans="1:12" x14ac:dyDescent="0.3">
      <c r="A583" s="2">
        <v>45911</v>
      </c>
      <c r="B583" s="1" t="s">
        <v>15</v>
      </c>
      <c r="C583" s="1" t="s">
        <v>32</v>
      </c>
      <c r="D583" s="1" t="s">
        <v>67</v>
      </c>
      <c r="E583" s="1" t="s">
        <v>30</v>
      </c>
      <c r="F583" s="1" t="s">
        <v>31</v>
      </c>
      <c r="G583" s="4">
        <v>17</v>
      </c>
      <c r="H583" s="4">
        <v>11560</v>
      </c>
      <c r="I583" s="6">
        <v>9647.5397892110232</v>
      </c>
      <c r="J583" s="6">
        <f>表1[[#This Row],[销售金额]]-表1[[#This Row],[退款金额]]</f>
        <v>1912.4602107889768</v>
      </c>
      <c r="K583" s="1">
        <v>556</v>
      </c>
      <c r="L583" s="1">
        <v>620</v>
      </c>
    </row>
    <row r="584" spans="1:12" x14ac:dyDescent="0.3">
      <c r="A584" s="2">
        <v>45911</v>
      </c>
      <c r="B584" s="1" t="s">
        <v>15</v>
      </c>
      <c r="C584" s="1" t="s">
        <v>32</v>
      </c>
      <c r="D584" s="1" t="s">
        <v>67</v>
      </c>
      <c r="E584" s="1" t="s">
        <v>30</v>
      </c>
      <c r="F584" s="1" t="s">
        <v>31</v>
      </c>
      <c r="G584" s="4">
        <v>17</v>
      </c>
      <c r="H584" s="4">
        <v>12369</v>
      </c>
      <c r="I584" s="6">
        <v>9647.5397892110232</v>
      </c>
      <c r="J584" s="6">
        <f>表1[[#This Row],[销售金额]]-表1[[#This Row],[退款金额]]</f>
        <v>2721.4602107889768</v>
      </c>
      <c r="K584" s="1">
        <v>556</v>
      </c>
      <c r="L584" s="1">
        <v>620</v>
      </c>
    </row>
    <row r="585" spans="1:12" x14ac:dyDescent="0.3">
      <c r="A585" s="2">
        <v>45911</v>
      </c>
      <c r="B585" s="1" t="s">
        <v>15</v>
      </c>
      <c r="C585" s="1" t="s">
        <v>32</v>
      </c>
      <c r="D585" s="1" t="s">
        <v>67</v>
      </c>
      <c r="E585" s="1" t="s">
        <v>30</v>
      </c>
      <c r="F585" s="1" t="s">
        <v>31</v>
      </c>
      <c r="G585" s="4">
        <v>17</v>
      </c>
      <c r="H585" s="4">
        <v>13896</v>
      </c>
      <c r="I585" s="6">
        <v>9647.5397892110232</v>
      </c>
      <c r="J585" s="6">
        <f>表1[[#This Row],[销售金额]]-表1[[#This Row],[退款金额]]</f>
        <v>4248.4602107889768</v>
      </c>
      <c r="K585" s="1">
        <v>556</v>
      </c>
      <c r="L585" s="1">
        <v>620</v>
      </c>
    </row>
    <row r="586" spans="1:12" x14ac:dyDescent="0.3">
      <c r="A586" s="2">
        <v>45911</v>
      </c>
      <c r="B586" s="1" t="s">
        <v>15</v>
      </c>
      <c r="C586" s="1" t="s">
        <v>32</v>
      </c>
      <c r="D586" s="1" t="s">
        <v>67</v>
      </c>
      <c r="E586" s="1" t="s">
        <v>30</v>
      </c>
      <c r="F586" s="1" t="s">
        <v>31</v>
      </c>
      <c r="G586" s="4">
        <v>17</v>
      </c>
      <c r="H586" s="4">
        <v>12935</v>
      </c>
      <c r="I586" s="6">
        <v>9647.5397892110232</v>
      </c>
      <c r="J586" s="6">
        <f>表1[[#This Row],[销售金额]]-表1[[#This Row],[退款金额]]</f>
        <v>3287.4602107889768</v>
      </c>
      <c r="K586" s="1">
        <v>556</v>
      </c>
      <c r="L586" s="1">
        <v>620</v>
      </c>
    </row>
    <row r="587" spans="1:12" x14ac:dyDescent="0.3">
      <c r="A587" s="2">
        <v>45911</v>
      </c>
      <c r="B587" s="1" t="s">
        <v>15</v>
      </c>
      <c r="C587" s="1" t="s">
        <v>32</v>
      </c>
      <c r="D587" s="1" t="s">
        <v>67</v>
      </c>
      <c r="E587" s="1" t="s">
        <v>30</v>
      </c>
      <c r="F587" s="1" t="s">
        <v>31</v>
      </c>
      <c r="G587" s="4">
        <v>17</v>
      </c>
      <c r="H587" s="4">
        <v>14427</v>
      </c>
      <c r="I587" s="6">
        <v>9647.5397892110232</v>
      </c>
      <c r="J587" s="6">
        <f>表1[[#This Row],[销售金额]]-表1[[#This Row],[退款金额]]</f>
        <v>4779.4602107889768</v>
      </c>
      <c r="K587" s="1">
        <v>556</v>
      </c>
      <c r="L587" s="1">
        <v>620</v>
      </c>
    </row>
    <row r="588" spans="1:12" x14ac:dyDescent="0.3">
      <c r="A588" s="2">
        <v>45911</v>
      </c>
      <c r="B588" s="1" t="s">
        <v>11</v>
      </c>
      <c r="C588" s="1" t="s">
        <v>10</v>
      </c>
      <c r="D588" s="1" t="s">
        <v>70</v>
      </c>
      <c r="E588" s="1" t="s">
        <v>13</v>
      </c>
      <c r="F588" s="1" t="s">
        <v>14</v>
      </c>
      <c r="G588" s="4">
        <v>20</v>
      </c>
      <c r="H588" s="4">
        <v>111889</v>
      </c>
      <c r="I588" s="6">
        <v>107913.82291631769</v>
      </c>
      <c r="J588" s="6">
        <f>表1[[#This Row],[销售金额]]-表1[[#This Row],[退款金额]]</f>
        <v>3975.1770836823125</v>
      </c>
      <c r="K588" s="1">
        <v>271</v>
      </c>
      <c r="L588" s="1">
        <v>498</v>
      </c>
    </row>
    <row r="589" spans="1:12" x14ac:dyDescent="0.3">
      <c r="A589" s="2">
        <v>45911</v>
      </c>
      <c r="B589" s="1" t="s">
        <v>15</v>
      </c>
      <c r="C589" s="1" t="s">
        <v>19</v>
      </c>
      <c r="D589" s="1" t="s">
        <v>71</v>
      </c>
      <c r="E589" s="1" t="s">
        <v>17</v>
      </c>
      <c r="F589" s="1" t="s">
        <v>18</v>
      </c>
      <c r="G589" s="4">
        <v>20</v>
      </c>
      <c r="H589" s="4">
        <v>17480</v>
      </c>
      <c r="I589" s="6">
        <v>16620.829744503008</v>
      </c>
      <c r="J589" s="6">
        <f>表1[[#This Row],[销售金额]]-表1[[#This Row],[退款金额]]</f>
        <v>859.17025549699247</v>
      </c>
      <c r="K589" s="1">
        <v>822</v>
      </c>
      <c r="L589" s="1">
        <v>720</v>
      </c>
    </row>
    <row r="590" spans="1:12" x14ac:dyDescent="0.3">
      <c r="A590" s="2">
        <v>45911</v>
      </c>
      <c r="B590" s="1" t="s">
        <v>11</v>
      </c>
      <c r="C590" s="1" t="s">
        <v>10</v>
      </c>
      <c r="D590" s="1" t="s">
        <v>70</v>
      </c>
      <c r="E590" s="1" t="s">
        <v>13</v>
      </c>
      <c r="F590" s="1" t="s">
        <v>14</v>
      </c>
      <c r="G590" s="4">
        <v>20</v>
      </c>
      <c r="H590" s="4">
        <v>108440</v>
      </c>
      <c r="I590" s="6">
        <v>107913.82291631769</v>
      </c>
      <c r="J590" s="6">
        <f>表1[[#This Row],[销售金额]]-表1[[#This Row],[退款金额]]</f>
        <v>526.17708368231251</v>
      </c>
      <c r="K590" s="1">
        <v>271</v>
      </c>
      <c r="L590" s="1">
        <v>498</v>
      </c>
    </row>
    <row r="591" spans="1:12" x14ac:dyDescent="0.3">
      <c r="A591" s="2">
        <v>45911</v>
      </c>
      <c r="B591" s="1" t="s">
        <v>15</v>
      </c>
      <c r="C591" s="1" t="s">
        <v>19</v>
      </c>
      <c r="D591" s="1" t="s">
        <v>71</v>
      </c>
      <c r="E591" s="1" t="s">
        <v>17</v>
      </c>
      <c r="F591" s="1" t="s">
        <v>18</v>
      </c>
      <c r="G591" s="4">
        <v>20</v>
      </c>
      <c r="H591" s="4">
        <v>20821</v>
      </c>
      <c r="I591" s="6">
        <v>16620.829744503008</v>
      </c>
      <c r="J591" s="6">
        <f>表1[[#This Row],[销售金额]]-表1[[#This Row],[退款金额]]</f>
        <v>4200.1702554969925</v>
      </c>
      <c r="K591" s="1">
        <v>822</v>
      </c>
      <c r="L591" s="1">
        <v>720</v>
      </c>
    </row>
    <row r="592" spans="1:12" x14ac:dyDescent="0.3">
      <c r="A592" s="2">
        <v>45911</v>
      </c>
      <c r="B592" s="1" t="s">
        <v>11</v>
      </c>
      <c r="C592" s="1" t="s">
        <v>10</v>
      </c>
      <c r="D592" s="1" t="s">
        <v>70</v>
      </c>
      <c r="E592" s="1" t="s">
        <v>13</v>
      </c>
      <c r="F592" s="1" t="s">
        <v>14</v>
      </c>
      <c r="G592" s="4">
        <v>20</v>
      </c>
      <c r="H592" s="4">
        <v>108857</v>
      </c>
      <c r="I592" s="6">
        <v>107913.82291631769</v>
      </c>
      <c r="J592" s="6">
        <f>表1[[#This Row],[销售金额]]-表1[[#This Row],[退款金额]]</f>
        <v>943.17708368231251</v>
      </c>
      <c r="K592" s="1">
        <v>271</v>
      </c>
      <c r="L592" s="1">
        <v>498</v>
      </c>
    </row>
    <row r="593" spans="1:12" x14ac:dyDescent="0.3">
      <c r="A593" s="2">
        <v>45911</v>
      </c>
      <c r="B593" s="1" t="s">
        <v>15</v>
      </c>
      <c r="C593" s="1" t="s">
        <v>19</v>
      </c>
      <c r="D593" s="1" t="s">
        <v>71</v>
      </c>
      <c r="E593" s="1" t="s">
        <v>17</v>
      </c>
      <c r="F593" s="1" t="s">
        <v>18</v>
      </c>
      <c r="G593" s="4">
        <v>20</v>
      </c>
      <c r="H593" s="4">
        <v>19153</v>
      </c>
      <c r="I593" s="6">
        <v>16620.829744503008</v>
      </c>
      <c r="J593" s="6">
        <f>表1[[#This Row],[销售金额]]-表1[[#This Row],[退款金额]]</f>
        <v>2532.1702554969925</v>
      </c>
      <c r="K593" s="1">
        <v>822</v>
      </c>
      <c r="L593" s="1">
        <v>720</v>
      </c>
    </row>
    <row r="594" spans="1:12" x14ac:dyDescent="0.3">
      <c r="A594" s="2">
        <v>45911</v>
      </c>
      <c r="B594" s="1" t="s">
        <v>11</v>
      </c>
      <c r="C594" s="1" t="s">
        <v>10</v>
      </c>
      <c r="D594" s="1" t="s">
        <v>70</v>
      </c>
      <c r="E594" s="1" t="s">
        <v>13</v>
      </c>
      <c r="F594" s="1" t="s">
        <v>14</v>
      </c>
      <c r="G594" s="4">
        <v>20</v>
      </c>
      <c r="H594" s="4">
        <v>110500</v>
      </c>
      <c r="I594" s="6">
        <v>107913.82291631769</v>
      </c>
      <c r="J594" s="6">
        <f>表1[[#This Row],[销售金额]]-表1[[#This Row],[退款金额]]</f>
        <v>2586.1770836823125</v>
      </c>
      <c r="K594" s="1">
        <v>271</v>
      </c>
      <c r="L594" s="1">
        <v>498</v>
      </c>
    </row>
    <row r="595" spans="1:12" x14ac:dyDescent="0.3">
      <c r="A595" s="2">
        <v>45911</v>
      </c>
      <c r="B595" s="1" t="s">
        <v>15</v>
      </c>
      <c r="C595" s="1" t="s">
        <v>19</v>
      </c>
      <c r="D595" s="1" t="s">
        <v>71</v>
      </c>
      <c r="E595" s="1" t="s">
        <v>17</v>
      </c>
      <c r="F595" s="1" t="s">
        <v>18</v>
      </c>
      <c r="G595" s="4">
        <v>20</v>
      </c>
      <c r="H595" s="4">
        <v>19739</v>
      </c>
      <c r="I595" s="6">
        <v>16620.829744503008</v>
      </c>
      <c r="J595" s="6">
        <f>表1[[#This Row],[销售金额]]-表1[[#This Row],[退款金额]]</f>
        <v>3118.1702554969925</v>
      </c>
      <c r="K595" s="1">
        <v>822</v>
      </c>
      <c r="L595" s="1">
        <v>720</v>
      </c>
    </row>
    <row r="596" spans="1:12" x14ac:dyDescent="0.3">
      <c r="A596" s="2">
        <v>45911</v>
      </c>
      <c r="B596" s="1" t="s">
        <v>11</v>
      </c>
      <c r="C596" s="1" t="s">
        <v>10</v>
      </c>
      <c r="D596" s="1" t="s">
        <v>70</v>
      </c>
      <c r="E596" s="1" t="s">
        <v>13</v>
      </c>
      <c r="F596" s="1" t="s">
        <v>14</v>
      </c>
      <c r="G596" s="4">
        <v>20</v>
      </c>
      <c r="H596" s="4">
        <v>109677</v>
      </c>
      <c r="I596" s="6">
        <v>107913.82291631769</v>
      </c>
      <c r="J596" s="6">
        <f>表1[[#This Row],[销售金额]]-表1[[#This Row],[退款金额]]</f>
        <v>1763.1770836823125</v>
      </c>
      <c r="K596" s="1">
        <v>271</v>
      </c>
      <c r="L596" s="1">
        <v>498</v>
      </c>
    </row>
    <row r="597" spans="1:12" x14ac:dyDescent="0.3">
      <c r="A597" s="2">
        <v>45911</v>
      </c>
      <c r="B597" s="1" t="s">
        <v>15</v>
      </c>
      <c r="C597" s="1" t="s">
        <v>19</v>
      </c>
      <c r="D597" s="1" t="s">
        <v>71</v>
      </c>
      <c r="E597" s="1" t="s">
        <v>17</v>
      </c>
      <c r="F597" s="1" t="s">
        <v>18</v>
      </c>
      <c r="G597" s="4">
        <v>20</v>
      </c>
      <c r="H597" s="4">
        <v>20480</v>
      </c>
      <c r="I597" s="6">
        <v>16620.829744503008</v>
      </c>
      <c r="J597" s="6">
        <f>表1[[#This Row],[销售金额]]-表1[[#This Row],[退款金额]]</f>
        <v>3859.1702554969925</v>
      </c>
      <c r="K597" s="1">
        <v>822</v>
      </c>
      <c r="L597" s="1">
        <v>720</v>
      </c>
    </row>
    <row r="598" spans="1:12" x14ac:dyDescent="0.3">
      <c r="A598" s="2">
        <v>45911</v>
      </c>
      <c r="B598" s="1" t="s">
        <v>11</v>
      </c>
      <c r="C598" s="1" t="s">
        <v>10</v>
      </c>
      <c r="D598" s="1" t="s">
        <v>70</v>
      </c>
      <c r="E598" s="1" t="s">
        <v>13</v>
      </c>
      <c r="F598" s="1" t="s">
        <v>14</v>
      </c>
      <c r="G598" s="4">
        <v>20</v>
      </c>
      <c r="H598" s="4">
        <v>111252</v>
      </c>
      <c r="I598" s="6">
        <v>107913.82291631769</v>
      </c>
      <c r="J598" s="6">
        <f>表1[[#This Row],[销售金额]]-表1[[#This Row],[退款金额]]</f>
        <v>3338.1770836823125</v>
      </c>
      <c r="K598" s="1">
        <v>271</v>
      </c>
      <c r="L598" s="1">
        <v>498</v>
      </c>
    </row>
    <row r="599" spans="1:12" x14ac:dyDescent="0.3">
      <c r="A599" s="2">
        <v>45911</v>
      </c>
      <c r="B599" s="1" t="s">
        <v>15</v>
      </c>
      <c r="C599" s="1" t="s">
        <v>19</v>
      </c>
      <c r="D599" s="1" t="s">
        <v>71</v>
      </c>
      <c r="E599" s="1" t="s">
        <v>17</v>
      </c>
      <c r="F599" s="1" t="s">
        <v>18</v>
      </c>
      <c r="G599" s="4">
        <v>20</v>
      </c>
      <c r="H599" s="4">
        <v>19899</v>
      </c>
      <c r="I599" s="6">
        <v>16620.829744503008</v>
      </c>
      <c r="J599" s="6">
        <f>表1[[#This Row],[销售金额]]-表1[[#This Row],[退款金额]]</f>
        <v>3278.1702554969925</v>
      </c>
      <c r="K599" s="1">
        <v>822</v>
      </c>
      <c r="L599" s="1">
        <v>720</v>
      </c>
    </row>
    <row r="600" spans="1:12" x14ac:dyDescent="0.3">
      <c r="A600" s="2">
        <v>45911</v>
      </c>
      <c r="B600" s="1" t="s">
        <v>11</v>
      </c>
      <c r="C600" s="1" t="s">
        <v>10</v>
      </c>
      <c r="D600" s="1" t="s">
        <v>70</v>
      </c>
      <c r="E600" s="1" t="s">
        <v>13</v>
      </c>
      <c r="F600" s="1" t="s">
        <v>14</v>
      </c>
      <c r="G600" s="4">
        <v>20</v>
      </c>
      <c r="H600" s="4">
        <v>108029</v>
      </c>
      <c r="I600" s="6">
        <v>107913.82291631769</v>
      </c>
      <c r="J600" s="6">
        <f>表1[[#This Row],[销售金额]]-表1[[#This Row],[退款金额]]</f>
        <v>115.17708368231251</v>
      </c>
      <c r="K600" s="1">
        <v>271</v>
      </c>
      <c r="L600" s="1">
        <v>498</v>
      </c>
    </row>
    <row r="601" spans="1:12" x14ac:dyDescent="0.3">
      <c r="A601" s="2">
        <v>45911</v>
      </c>
      <c r="B601" s="1" t="s">
        <v>15</v>
      </c>
      <c r="C601" s="1" t="s">
        <v>19</v>
      </c>
      <c r="D601" s="1" t="s">
        <v>71</v>
      </c>
      <c r="E601" s="1" t="s">
        <v>17</v>
      </c>
      <c r="F601" s="1" t="s">
        <v>18</v>
      </c>
      <c r="G601" s="4">
        <v>20</v>
      </c>
      <c r="H601" s="4">
        <v>19206</v>
      </c>
      <c r="I601" s="6">
        <v>16620.829744503008</v>
      </c>
      <c r="J601" s="6">
        <f>表1[[#This Row],[销售金额]]-表1[[#This Row],[退款金额]]</f>
        <v>2585.1702554969925</v>
      </c>
      <c r="K601" s="1">
        <v>822</v>
      </c>
      <c r="L601" s="1">
        <v>720</v>
      </c>
    </row>
    <row r="602" spans="1:12" x14ac:dyDescent="0.3">
      <c r="A602" s="2">
        <v>45911</v>
      </c>
      <c r="B602" s="1" t="s">
        <v>11</v>
      </c>
      <c r="C602" s="1" t="s">
        <v>10</v>
      </c>
      <c r="D602" s="1" t="s">
        <v>70</v>
      </c>
      <c r="E602" s="1" t="s">
        <v>13</v>
      </c>
      <c r="F602" s="1" t="s">
        <v>14</v>
      </c>
      <c r="G602" s="4">
        <v>20</v>
      </c>
      <c r="H602" s="4">
        <v>108649</v>
      </c>
      <c r="I602" s="6">
        <v>107913.82291631769</v>
      </c>
      <c r="J602" s="6">
        <f>表1[[#This Row],[销售金额]]-表1[[#This Row],[退款金额]]</f>
        <v>735.17708368231251</v>
      </c>
      <c r="K602" s="1">
        <v>271</v>
      </c>
      <c r="L602" s="1">
        <v>498</v>
      </c>
    </row>
    <row r="603" spans="1:12" x14ac:dyDescent="0.3">
      <c r="A603" s="2">
        <v>45911</v>
      </c>
      <c r="B603" s="1" t="s">
        <v>15</v>
      </c>
      <c r="C603" s="1" t="s">
        <v>19</v>
      </c>
      <c r="D603" s="1" t="s">
        <v>71</v>
      </c>
      <c r="E603" s="1" t="s">
        <v>17</v>
      </c>
      <c r="F603" s="1" t="s">
        <v>18</v>
      </c>
      <c r="G603" s="4">
        <v>20</v>
      </c>
      <c r="H603" s="4">
        <v>18127</v>
      </c>
      <c r="I603" s="6">
        <v>16620.829744503008</v>
      </c>
      <c r="J603" s="6">
        <f>表1[[#This Row],[销售金额]]-表1[[#This Row],[退款金额]]</f>
        <v>1506.1702554969925</v>
      </c>
      <c r="K603" s="1">
        <v>822</v>
      </c>
      <c r="L603" s="1">
        <v>720</v>
      </c>
    </row>
    <row r="604" spans="1:12" x14ac:dyDescent="0.3">
      <c r="A604" s="2">
        <v>45911</v>
      </c>
      <c r="B604" s="1" t="s">
        <v>11</v>
      </c>
      <c r="C604" s="1" t="s">
        <v>10</v>
      </c>
      <c r="D604" s="1" t="s">
        <v>70</v>
      </c>
      <c r="E604" s="1" t="s">
        <v>13</v>
      </c>
      <c r="F604" s="1" t="s">
        <v>14</v>
      </c>
      <c r="G604" s="4">
        <v>20</v>
      </c>
      <c r="H604" s="4">
        <v>108961</v>
      </c>
      <c r="I604" s="6">
        <v>107913.82291631769</v>
      </c>
      <c r="J604" s="6">
        <f>表1[[#This Row],[销售金额]]-表1[[#This Row],[退款金额]]</f>
        <v>1047.1770836823125</v>
      </c>
      <c r="K604" s="1">
        <v>271</v>
      </c>
      <c r="L604" s="1">
        <v>498</v>
      </c>
    </row>
    <row r="605" spans="1:12" x14ac:dyDescent="0.3">
      <c r="A605" s="2">
        <v>45911</v>
      </c>
      <c r="B605" s="1" t="s">
        <v>15</v>
      </c>
      <c r="C605" s="1" t="s">
        <v>19</v>
      </c>
      <c r="D605" s="1" t="s">
        <v>71</v>
      </c>
      <c r="E605" s="1" t="s">
        <v>17</v>
      </c>
      <c r="F605" s="1" t="s">
        <v>18</v>
      </c>
      <c r="G605" s="4">
        <v>20</v>
      </c>
      <c r="H605" s="4">
        <v>17114</v>
      </c>
      <c r="I605" s="6">
        <v>16620.829744503008</v>
      </c>
      <c r="J605" s="6">
        <f>表1[[#This Row],[销售金额]]-表1[[#This Row],[退款金额]]</f>
        <v>493.17025549699247</v>
      </c>
      <c r="K605" s="1">
        <v>822</v>
      </c>
      <c r="L605" s="1">
        <v>720</v>
      </c>
    </row>
    <row r="606" spans="1:12" x14ac:dyDescent="0.3">
      <c r="A606" s="2">
        <v>45912</v>
      </c>
      <c r="B606" s="1" t="s">
        <v>250</v>
      </c>
      <c r="C606" s="1" t="s">
        <v>10</v>
      </c>
      <c r="D606" s="1" t="s">
        <v>180</v>
      </c>
      <c r="E606" s="1" t="s">
        <v>42</v>
      </c>
      <c r="F606" s="1" t="s">
        <v>43</v>
      </c>
      <c r="G606" s="4">
        <v>4</v>
      </c>
      <c r="H606" s="4">
        <v>15016</v>
      </c>
      <c r="I606" s="6">
        <v>12244.274512486119</v>
      </c>
      <c r="J606" s="6">
        <f>表1[[#This Row],[销售金额]]-表1[[#This Row],[退款金额]]</f>
        <v>2771.7254875138806</v>
      </c>
      <c r="K606" s="1">
        <v>495</v>
      </c>
      <c r="L606" s="1">
        <v>696</v>
      </c>
    </row>
    <row r="607" spans="1:12" x14ac:dyDescent="0.3">
      <c r="A607" s="2">
        <v>45912</v>
      </c>
      <c r="B607" s="1" t="s">
        <v>250</v>
      </c>
      <c r="C607" s="1" t="s">
        <v>10</v>
      </c>
      <c r="D607" s="1" t="s">
        <v>180</v>
      </c>
      <c r="E607" s="1" t="s">
        <v>42</v>
      </c>
      <c r="F607" s="1" t="s">
        <v>43</v>
      </c>
      <c r="G607" s="4">
        <v>4</v>
      </c>
      <c r="H607" s="4">
        <v>12907</v>
      </c>
      <c r="I607" s="6">
        <v>12244.274512486119</v>
      </c>
      <c r="J607" s="6">
        <f>表1[[#This Row],[销售金额]]-表1[[#This Row],[退款金额]]</f>
        <v>662.72548751388058</v>
      </c>
      <c r="K607" s="1">
        <v>495</v>
      </c>
      <c r="L607" s="1">
        <v>696</v>
      </c>
    </row>
    <row r="608" spans="1:12" x14ac:dyDescent="0.3">
      <c r="A608" s="2">
        <v>45912</v>
      </c>
      <c r="B608" s="1" t="s">
        <v>250</v>
      </c>
      <c r="C608" s="1" t="s">
        <v>10</v>
      </c>
      <c r="D608" s="1" t="s">
        <v>180</v>
      </c>
      <c r="E608" s="1" t="s">
        <v>42</v>
      </c>
      <c r="F608" s="1" t="s">
        <v>43</v>
      </c>
      <c r="G608" s="4">
        <v>4</v>
      </c>
      <c r="H608" s="4">
        <v>12622</v>
      </c>
      <c r="I608" s="6">
        <v>12244.274512486119</v>
      </c>
      <c r="J608" s="6">
        <f>表1[[#This Row],[销售金额]]-表1[[#This Row],[退款金额]]</f>
        <v>377.72548751388058</v>
      </c>
      <c r="K608" s="1">
        <v>495</v>
      </c>
      <c r="L608" s="1">
        <v>696</v>
      </c>
    </row>
    <row r="609" spans="1:12" x14ac:dyDescent="0.3">
      <c r="A609" s="2">
        <v>45912</v>
      </c>
      <c r="B609" s="1" t="s">
        <v>250</v>
      </c>
      <c r="C609" s="1" t="s">
        <v>10</v>
      </c>
      <c r="D609" s="1" t="s">
        <v>180</v>
      </c>
      <c r="E609" s="1" t="s">
        <v>42</v>
      </c>
      <c r="F609" s="1" t="s">
        <v>43</v>
      </c>
      <c r="G609" s="4">
        <v>4</v>
      </c>
      <c r="H609" s="4">
        <v>15136</v>
      </c>
      <c r="I609" s="6">
        <v>12244.274512486119</v>
      </c>
      <c r="J609" s="6">
        <f>表1[[#This Row],[销售金额]]-表1[[#This Row],[退款金额]]</f>
        <v>2891.7254875138806</v>
      </c>
      <c r="K609" s="1">
        <v>495</v>
      </c>
      <c r="L609" s="1">
        <v>696</v>
      </c>
    </row>
    <row r="610" spans="1:12" x14ac:dyDescent="0.3">
      <c r="A610" s="2">
        <v>45912</v>
      </c>
      <c r="B610" s="1" t="s">
        <v>250</v>
      </c>
      <c r="C610" s="1" t="s">
        <v>10</v>
      </c>
      <c r="D610" s="1" t="s">
        <v>180</v>
      </c>
      <c r="E610" s="1" t="s">
        <v>42</v>
      </c>
      <c r="F610" s="1" t="s">
        <v>43</v>
      </c>
      <c r="G610" s="4">
        <v>4</v>
      </c>
      <c r="H610" s="4">
        <v>15121</v>
      </c>
      <c r="I610" s="6">
        <v>12244.274512486119</v>
      </c>
      <c r="J610" s="6">
        <f>表1[[#This Row],[销售金额]]-表1[[#This Row],[退款金额]]</f>
        <v>2876.7254875138806</v>
      </c>
      <c r="K610" s="1">
        <v>495</v>
      </c>
      <c r="L610" s="1">
        <v>696</v>
      </c>
    </row>
    <row r="611" spans="1:12" x14ac:dyDescent="0.3">
      <c r="A611" s="2">
        <v>45912</v>
      </c>
      <c r="B611" s="1" t="s">
        <v>250</v>
      </c>
      <c r="C611" s="1" t="s">
        <v>10</v>
      </c>
      <c r="D611" s="1" t="s">
        <v>180</v>
      </c>
      <c r="E611" s="1" t="s">
        <v>42</v>
      </c>
      <c r="F611" s="1" t="s">
        <v>43</v>
      </c>
      <c r="G611" s="4">
        <v>4</v>
      </c>
      <c r="H611" s="4">
        <v>17076</v>
      </c>
      <c r="I611" s="6">
        <v>12244.274512486119</v>
      </c>
      <c r="J611" s="6">
        <f>表1[[#This Row],[销售金额]]-表1[[#This Row],[退款金额]]</f>
        <v>4831.7254875138806</v>
      </c>
      <c r="K611" s="1">
        <v>495</v>
      </c>
      <c r="L611" s="1">
        <v>696</v>
      </c>
    </row>
    <row r="612" spans="1:12" x14ac:dyDescent="0.3">
      <c r="A612" s="2">
        <v>45912</v>
      </c>
      <c r="B612" s="1" t="s">
        <v>250</v>
      </c>
      <c r="C612" s="1" t="s">
        <v>10</v>
      </c>
      <c r="D612" s="1" t="s">
        <v>180</v>
      </c>
      <c r="E612" s="1" t="s">
        <v>42</v>
      </c>
      <c r="F612" s="1" t="s">
        <v>43</v>
      </c>
      <c r="G612" s="4">
        <v>4</v>
      </c>
      <c r="H612" s="4">
        <v>16175</v>
      </c>
      <c r="I612" s="6">
        <v>12244.274512486119</v>
      </c>
      <c r="J612" s="6">
        <f>表1[[#This Row],[销售金额]]-表1[[#This Row],[退款金额]]</f>
        <v>3930.7254875138806</v>
      </c>
      <c r="K612" s="1">
        <v>495</v>
      </c>
      <c r="L612" s="1">
        <v>696</v>
      </c>
    </row>
    <row r="613" spans="1:12" x14ac:dyDescent="0.3">
      <c r="A613" s="2">
        <v>45912</v>
      </c>
      <c r="B613" s="1" t="s">
        <v>250</v>
      </c>
      <c r="C613" s="1" t="s">
        <v>10</v>
      </c>
      <c r="D613" s="1" t="s">
        <v>180</v>
      </c>
      <c r="E613" s="1" t="s">
        <v>42</v>
      </c>
      <c r="F613" s="1" t="s">
        <v>43</v>
      </c>
      <c r="G613" s="4">
        <v>4</v>
      </c>
      <c r="H613" s="4">
        <v>13059</v>
      </c>
      <c r="I613" s="6">
        <v>12244.274512486119</v>
      </c>
      <c r="J613" s="6">
        <f>表1[[#This Row],[销售金额]]-表1[[#This Row],[退款金额]]</f>
        <v>814.72548751388058</v>
      </c>
      <c r="K613" s="1">
        <v>495</v>
      </c>
      <c r="L613" s="1">
        <v>696</v>
      </c>
    </row>
    <row r="614" spans="1:12" x14ac:dyDescent="0.3">
      <c r="A614" s="2">
        <v>45912</v>
      </c>
      <c r="B614" s="1" t="s">
        <v>250</v>
      </c>
      <c r="C614" s="1" t="s">
        <v>10</v>
      </c>
      <c r="D614" s="1" t="s">
        <v>180</v>
      </c>
      <c r="E614" s="1" t="s">
        <v>42</v>
      </c>
      <c r="F614" s="1" t="s">
        <v>43</v>
      </c>
      <c r="G614" s="4">
        <v>4</v>
      </c>
      <c r="H614" s="4">
        <v>13528</v>
      </c>
      <c r="I614" s="6">
        <v>12244.274512486119</v>
      </c>
      <c r="J614" s="6">
        <f>表1[[#This Row],[销售金额]]-表1[[#This Row],[退款金额]]</f>
        <v>1283.7254875138806</v>
      </c>
      <c r="K614" s="1">
        <v>495</v>
      </c>
      <c r="L614" s="1">
        <v>696</v>
      </c>
    </row>
    <row r="615" spans="1:12" x14ac:dyDescent="0.3">
      <c r="A615" s="2">
        <v>45912</v>
      </c>
      <c r="B615" s="1" t="s">
        <v>247</v>
      </c>
      <c r="C615" s="1" t="s">
        <v>10</v>
      </c>
      <c r="D615" s="1" t="s">
        <v>83</v>
      </c>
      <c r="E615" s="1" t="s">
        <v>8</v>
      </c>
      <c r="F615" s="1" t="s">
        <v>9</v>
      </c>
      <c r="G615" s="4">
        <v>7</v>
      </c>
      <c r="H615" s="4">
        <v>25564</v>
      </c>
      <c r="I615" s="6">
        <v>24010.451096412191</v>
      </c>
      <c r="J615" s="6">
        <f>表1[[#This Row],[销售金额]]-表1[[#This Row],[退款金额]]</f>
        <v>1553.548903587809</v>
      </c>
      <c r="K615" s="1">
        <v>619</v>
      </c>
      <c r="L615" s="1">
        <v>695</v>
      </c>
    </row>
    <row r="616" spans="1:12" x14ac:dyDescent="0.3">
      <c r="A616" s="2">
        <v>45912</v>
      </c>
      <c r="B616" s="1" t="s">
        <v>247</v>
      </c>
      <c r="C616" s="1" t="s">
        <v>10</v>
      </c>
      <c r="D616" s="1" t="s">
        <v>83</v>
      </c>
      <c r="E616" s="1" t="s">
        <v>8</v>
      </c>
      <c r="F616" s="1" t="s">
        <v>9</v>
      </c>
      <c r="G616" s="4">
        <v>7</v>
      </c>
      <c r="H616" s="4">
        <v>26454</v>
      </c>
      <c r="I616" s="6">
        <v>24010.451096412191</v>
      </c>
      <c r="J616" s="6">
        <f>表1[[#This Row],[销售金额]]-表1[[#This Row],[退款金额]]</f>
        <v>2443.548903587809</v>
      </c>
      <c r="K616" s="1">
        <v>619</v>
      </c>
      <c r="L616" s="1">
        <v>695</v>
      </c>
    </row>
    <row r="617" spans="1:12" x14ac:dyDescent="0.3">
      <c r="A617" s="2">
        <v>45912</v>
      </c>
      <c r="B617" s="1" t="s">
        <v>248</v>
      </c>
      <c r="C617" s="1" t="s">
        <v>10</v>
      </c>
      <c r="D617" s="1" t="s">
        <v>57</v>
      </c>
      <c r="E617" s="1" t="s">
        <v>42</v>
      </c>
      <c r="F617" s="1" t="s">
        <v>43</v>
      </c>
      <c r="G617" s="4">
        <v>7</v>
      </c>
      <c r="H617" s="4">
        <v>7400</v>
      </c>
      <c r="I617" s="6">
        <v>4891.9326961296638</v>
      </c>
      <c r="J617" s="6">
        <f>表1[[#This Row],[销售金额]]-表1[[#This Row],[退款金额]]</f>
        <v>2508.0673038703362</v>
      </c>
      <c r="K617" s="1">
        <v>190</v>
      </c>
      <c r="L617" s="1">
        <v>742</v>
      </c>
    </row>
    <row r="618" spans="1:12" x14ac:dyDescent="0.3">
      <c r="A618" s="2">
        <v>45912</v>
      </c>
      <c r="B618" s="1" t="s">
        <v>247</v>
      </c>
      <c r="C618" s="1" t="s">
        <v>10</v>
      </c>
      <c r="D618" s="1" t="s">
        <v>83</v>
      </c>
      <c r="E618" s="1" t="s">
        <v>8</v>
      </c>
      <c r="F618" s="1" t="s">
        <v>9</v>
      </c>
      <c r="G618" s="4">
        <v>7</v>
      </c>
      <c r="H618" s="4">
        <v>24178</v>
      </c>
      <c r="I618" s="6">
        <v>24010.451096412191</v>
      </c>
      <c r="J618" s="6">
        <f>表1[[#This Row],[销售金额]]-表1[[#This Row],[退款金额]]</f>
        <v>167.54890358780904</v>
      </c>
      <c r="K618" s="1">
        <v>619</v>
      </c>
      <c r="L618" s="1">
        <v>695</v>
      </c>
    </row>
    <row r="619" spans="1:12" x14ac:dyDescent="0.3">
      <c r="A619" s="2">
        <v>45912</v>
      </c>
      <c r="B619" s="1" t="s">
        <v>247</v>
      </c>
      <c r="C619" s="1" t="s">
        <v>10</v>
      </c>
      <c r="D619" s="1" t="s">
        <v>83</v>
      </c>
      <c r="E619" s="1" t="s">
        <v>8</v>
      </c>
      <c r="F619" s="1" t="s">
        <v>9</v>
      </c>
      <c r="G619" s="4">
        <v>7</v>
      </c>
      <c r="H619" s="4">
        <v>27749</v>
      </c>
      <c r="I619" s="6">
        <v>24010.451096412191</v>
      </c>
      <c r="J619" s="6">
        <f>表1[[#This Row],[销售金额]]-表1[[#This Row],[退款金额]]</f>
        <v>3738.548903587809</v>
      </c>
      <c r="K619" s="1">
        <v>619</v>
      </c>
      <c r="L619" s="1">
        <v>695</v>
      </c>
    </row>
    <row r="620" spans="1:12" x14ac:dyDescent="0.3">
      <c r="A620" s="2">
        <v>45912</v>
      </c>
      <c r="B620" s="1" t="s">
        <v>248</v>
      </c>
      <c r="C620" s="1" t="s">
        <v>10</v>
      </c>
      <c r="D620" s="1" t="s">
        <v>57</v>
      </c>
      <c r="E620" s="1" t="s">
        <v>42</v>
      </c>
      <c r="F620" s="1" t="s">
        <v>43</v>
      </c>
      <c r="G620" s="4">
        <v>7</v>
      </c>
      <c r="H620" s="4">
        <v>9544</v>
      </c>
      <c r="I620" s="6">
        <v>4891.9326961296638</v>
      </c>
      <c r="J620" s="6">
        <f>表1[[#This Row],[销售金额]]-表1[[#This Row],[退款金额]]</f>
        <v>4652.0673038703362</v>
      </c>
      <c r="K620" s="1">
        <v>190</v>
      </c>
      <c r="L620" s="1">
        <v>742</v>
      </c>
    </row>
    <row r="621" spans="1:12" x14ac:dyDescent="0.3">
      <c r="A621" s="2">
        <v>45912</v>
      </c>
      <c r="B621" s="1" t="s">
        <v>247</v>
      </c>
      <c r="C621" s="1" t="s">
        <v>10</v>
      </c>
      <c r="D621" s="1" t="s">
        <v>83</v>
      </c>
      <c r="E621" s="1" t="s">
        <v>8</v>
      </c>
      <c r="F621" s="1" t="s">
        <v>9</v>
      </c>
      <c r="G621" s="4">
        <v>7</v>
      </c>
      <c r="H621" s="4">
        <v>27072</v>
      </c>
      <c r="I621" s="6">
        <v>24010.451096412191</v>
      </c>
      <c r="J621" s="6">
        <f>表1[[#This Row],[销售金额]]-表1[[#This Row],[退款金额]]</f>
        <v>3061.548903587809</v>
      </c>
      <c r="K621" s="1">
        <v>619</v>
      </c>
      <c r="L621" s="1">
        <v>695</v>
      </c>
    </row>
    <row r="622" spans="1:12" x14ac:dyDescent="0.3">
      <c r="A622" s="2">
        <v>45912</v>
      </c>
      <c r="B622" s="1" t="s">
        <v>247</v>
      </c>
      <c r="C622" s="1" t="s">
        <v>10</v>
      </c>
      <c r="D622" s="1" t="s">
        <v>83</v>
      </c>
      <c r="E622" s="1" t="s">
        <v>8</v>
      </c>
      <c r="F622" s="1" t="s">
        <v>9</v>
      </c>
      <c r="G622" s="4">
        <v>7</v>
      </c>
      <c r="H622" s="4">
        <v>28610</v>
      </c>
      <c r="I622" s="6">
        <v>24010.451096412191</v>
      </c>
      <c r="J622" s="6">
        <f>表1[[#This Row],[销售金额]]-表1[[#This Row],[退款金额]]</f>
        <v>4599.548903587809</v>
      </c>
      <c r="K622" s="1">
        <v>619</v>
      </c>
      <c r="L622" s="1">
        <v>695</v>
      </c>
    </row>
    <row r="623" spans="1:12" x14ac:dyDescent="0.3">
      <c r="A623" s="2">
        <v>45912</v>
      </c>
      <c r="B623" s="1" t="s">
        <v>248</v>
      </c>
      <c r="C623" s="1" t="s">
        <v>10</v>
      </c>
      <c r="D623" s="1" t="s">
        <v>57</v>
      </c>
      <c r="E623" s="1" t="s">
        <v>42</v>
      </c>
      <c r="F623" s="1" t="s">
        <v>43</v>
      </c>
      <c r="G623" s="4">
        <v>7</v>
      </c>
      <c r="H623" s="4">
        <v>6520</v>
      </c>
      <c r="I623" s="6">
        <v>4891.9326961296638</v>
      </c>
      <c r="J623" s="6">
        <f>表1[[#This Row],[销售金额]]-表1[[#This Row],[退款金额]]</f>
        <v>1628.0673038703362</v>
      </c>
      <c r="K623" s="1">
        <v>190</v>
      </c>
      <c r="L623" s="1">
        <v>742</v>
      </c>
    </row>
    <row r="624" spans="1:12" x14ac:dyDescent="0.3">
      <c r="A624" s="2">
        <v>45912</v>
      </c>
      <c r="B624" s="1" t="s">
        <v>247</v>
      </c>
      <c r="C624" s="1" t="s">
        <v>10</v>
      </c>
      <c r="D624" s="1" t="s">
        <v>83</v>
      </c>
      <c r="E624" s="1" t="s">
        <v>8</v>
      </c>
      <c r="F624" s="1" t="s">
        <v>9</v>
      </c>
      <c r="G624" s="4">
        <v>7</v>
      </c>
      <c r="H624" s="4">
        <v>28335</v>
      </c>
      <c r="I624" s="6">
        <v>24010.451096412191</v>
      </c>
      <c r="J624" s="6">
        <f>表1[[#This Row],[销售金额]]-表1[[#This Row],[退款金额]]</f>
        <v>4324.548903587809</v>
      </c>
      <c r="K624" s="1">
        <v>619</v>
      </c>
      <c r="L624" s="1">
        <v>695</v>
      </c>
    </row>
    <row r="625" spans="1:12" x14ac:dyDescent="0.3">
      <c r="A625" s="2">
        <v>45912</v>
      </c>
      <c r="B625" s="1" t="s">
        <v>247</v>
      </c>
      <c r="C625" s="1" t="s">
        <v>10</v>
      </c>
      <c r="D625" s="1" t="s">
        <v>83</v>
      </c>
      <c r="E625" s="1" t="s">
        <v>8</v>
      </c>
      <c r="F625" s="1" t="s">
        <v>9</v>
      </c>
      <c r="G625" s="4">
        <v>7</v>
      </c>
      <c r="H625" s="4">
        <v>27344</v>
      </c>
      <c r="I625" s="6">
        <v>24010.451096412191</v>
      </c>
      <c r="J625" s="6">
        <f>表1[[#This Row],[销售金额]]-表1[[#This Row],[退款金额]]</f>
        <v>3333.548903587809</v>
      </c>
      <c r="K625" s="1">
        <v>619</v>
      </c>
      <c r="L625" s="1">
        <v>695</v>
      </c>
    </row>
    <row r="626" spans="1:12" x14ac:dyDescent="0.3">
      <c r="A626" s="2">
        <v>45912</v>
      </c>
      <c r="B626" s="1" t="s">
        <v>248</v>
      </c>
      <c r="C626" s="1" t="s">
        <v>10</v>
      </c>
      <c r="D626" s="1" t="s">
        <v>57</v>
      </c>
      <c r="E626" s="1" t="s">
        <v>42</v>
      </c>
      <c r="F626" s="1" t="s">
        <v>43</v>
      </c>
      <c r="G626" s="4">
        <v>7</v>
      </c>
      <c r="H626" s="4">
        <v>7568</v>
      </c>
      <c r="I626" s="6">
        <v>4891.9326961296638</v>
      </c>
      <c r="J626" s="6">
        <f>表1[[#This Row],[销售金额]]-表1[[#This Row],[退款金额]]</f>
        <v>2676.0673038703362</v>
      </c>
      <c r="K626" s="1">
        <v>190</v>
      </c>
      <c r="L626" s="1">
        <v>742</v>
      </c>
    </row>
    <row r="627" spans="1:12" x14ac:dyDescent="0.3">
      <c r="A627" s="2">
        <v>45912</v>
      </c>
      <c r="B627" s="1" t="s">
        <v>247</v>
      </c>
      <c r="C627" s="1" t="s">
        <v>10</v>
      </c>
      <c r="D627" s="1" t="s">
        <v>83</v>
      </c>
      <c r="E627" s="1" t="s">
        <v>8</v>
      </c>
      <c r="F627" s="1" t="s">
        <v>9</v>
      </c>
      <c r="G627" s="4">
        <v>7</v>
      </c>
      <c r="H627" s="4">
        <v>28475</v>
      </c>
      <c r="I627" s="6">
        <v>24010.451096412191</v>
      </c>
      <c r="J627" s="6">
        <f>表1[[#This Row],[销售金额]]-表1[[#This Row],[退款金额]]</f>
        <v>4464.548903587809</v>
      </c>
      <c r="K627" s="1">
        <v>619</v>
      </c>
      <c r="L627" s="1">
        <v>695</v>
      </c>
    </row>
    <row r="628" spans="1:12" x14ac:dyDescent="0.3">
      <c r="A628" s="2">
        <v>45912</v>
      </c>
      <c r="B628" s="1" t="s">
        <v>247</v>
      </c>
      <c r="C628" s="1" t="s">
        <v>10</v>
      </c>
      <c r="D628" s="1" t="s">
        <v>83</v>
      </c>
      <c r="E628" s="1" t="s">
        <v>8</v>
      </c>
      <c r="F628" s="1" t="s">
        <v>9</v>
      </c>
      <c r="G628" s="4">
        <v>7</v>
      </c>
      <c r="H628" s="4">
        <v>28891</v>
      </c>
      <c r="I628" s="6">
        <v>24010.451096412191</v>
      </c>
      <c r="J628" s="6">
        <f>表1[[#This Row],[销售金额]]-表1[[#This Row],[退款金额]]</f>
        <v>4880.548903587809</v>
      </c>
      <c r="K628" s="1">
        <v>619</v>
      </c>
      <c r="L628" s="1">
        <v>695</v>
      </c>
    </row>
    <row r="629" spans="1:12" x14ac:dyDescent="0.3">
      <c r="A629" s="2">
        <v>45912</v>
      </c>
      <c r="B629" s="1" t="s">
        <v>248</v>
      </c>
      <c r="C629" s="1" t="s">
        <v>10</v>
      </c>
      <c r="D629" s="1" t="s">
        <v>57</v>
      </c>
      <c r="E629" s="1" t="s">
        <v>42</v>
      </c>
      <c r="F629" s="1" t="s">
        <v>43</v>
      </c>
      <c r="G629" s="4">
        <v>7</v>
      </c>
      <c r="H629" s="4">
        <v>8511</v>
      </c>
      <c r="I629" s="6">
        <v>4891.9326961296638</v>
      </c>
      <c r="J629" s="6">
        <f>表1[[#This Row],[销售金额]]-表1[[#This Row],[退款金额]]</f>
        <v>3619.0673038703362</v>
      </c>
      <c r="K629" s="1">
        <v>190</v>
      </c>
      <c r="L629" s="1">
        <v>742</v>
      </c>
    </row>
    <row r="630" spans="1:12" x14ac:dyDescent="0.3">
      <c r="A630" s="2">
        <v>45912</v>
      </c>
      <c r="B630" s="1" t="s">
        <v>247</v>
      </c>
      <c r="C630" s="1" t="s">
        <v>10</v>
      </c>
      <c r="D630" s="1" t="s">
        <v>83</v>
      </c>
      <c r="E630" s="1" t="s">
        <v>8</v>
      </c>
      <c r="F630" s="1" t="s">
        <v>9</v>
      </c>
      <c r="G630" s="4">
        <v>7</v>
      </c>
      <c r="H630" s="4">
        <v>28136</v>
      </c>
      <c r="I630" s="6">
        <v>24010.451096412191</v>
      </c>
      <c r="J630" s="6">
        <f>表1[[#This Row],[销售金额]]-表1[[#This Row],[退款金额]]</f>
        <v>4125.548903587809</v>
      </c>
      <c r="K630" s="1">
        <v>619</v>
      </c>
      <c r="L630" s="1">
        <v>695</v>
      </c>
    </row>
    <row r="631" spans="1:12" x14ac:dyDescent="0.3">
      <c r="A631" s="2">
        <v>45912</v>
      </c>
      <c r="B631" s="1" t="s">
        <v>247</v>
      </c>
      <c r="C631" s="1" t="s">
        <v>10</v>
      </c>
      <c r="D631" s="1" t="s">
        <v>83</v>
      </c>
      <c r="E631" s="1" t="s">
        <v>8</v>
      </c>
      <c r="F631" s="1" t="s">
        <v>9</v>
      </c>
      <c r="G631" s="4">
        <v>7</v>
      </c>
      <c r="H631" s="4">
        <v>25427</v>
      </c>
      <c r="I631" s="6">
        <v>24010.451096412191</v>
      </c>
      <c r="J631" s="6">
        <f>表1[[#This Row],[销售金额]]-表1[[#This Row],[退款金额]]</f>
        <v>1416.548903587809</v>
      </c>
      <c r="K631" s="1">
        <v>619</v>
      </c>
      <c r="L631" s="1">
        <v>695</v>
      </c>
    </row>
    <row r="632" spans="1:12" x14ac:dyDescent="0.3">
      <c r="A632" s="2">
        <v>45912</v>
      </c>
      <c r="B632" s="1" t="s">
        <v>248</v>
      </c>
      <c r="C632" s="1" t="s">
        <v>10</v>
      </c>
      <c r="D632" s="1" t="s">
        <v>57</v>
      </c>
      <c r="E632" s="1" t="s">
        <v>42</v>
      </c>
      <c r="F632" s="1" t="s">
        <v>43</v>
      </c>
      <c r="G632" s="4">
        <v>7</v>
      </c>
      <c r="H632" s="4">
        <v>6596</v>
      </c>
      <c r="I632" s="6">
        <v>4891.9326961296638</v>
      </c>
      <c r="J632" s="6">
        <f>表1[[#This Row],[销售金额]]-表1[[#This Row],[退款金额]]</f>
        <v>1704.0673038703362</v>
      </c>
      <c r="K632" s="1">
        <v>190</v>
      </c>
      <c r="L632" s="1">
        <v>742</v>
      </c>
    </row>
    <row r="633" spans="1:12" x14ac:dyDescent="0.3">
      <c r="A633" s="2">
        <v>45912</v>
      </c>
      <c r="B633" s="1" t="s">
        <v>247</v>
      </c>
      <c r="C633" s="1" t="s">
        <v>10</v>
      </c>
      <c r="D633" s="1" t="s">
        <v>83</v>
      </c>
      <c r="E633" s="1" t="s">
        <v>8</v>
      </c>
      <c r="F633" s="1" t="s">
        <v>9</v>
      </c>
      <c r="G633" s="4">
        <v>7</v>
      </c>
      <c r="H633" s="4">
        <v>26012</v>
      </c>
      <c r="I633" s="6">
        <v>24010.451096412191</v>
      </c>
      <c r="J633" s="6">
        <f>表1[[#This Row],[销售金额]]-表1[[#This Row],[退款金额]]</f>
        <v>2001.548903587809</v>
      </c>
      <c r="K633" s="1">
        <v>619</v>
      </c>
      <c r="L633" s="1">
        <v>695</v>
      </c>
    </row>
    <row r="634" spans="1:12" x14ac:dyDescent="0.3">
      <c r="A634" s="2">
        <v>45912</v>
      </c>
      <c r="B634" s="1" t="s">
        <v>247</v>
      </c>
      <c r="C634" s="1" t="s">
        <v>10</v>
      </c>
      <c r="D634" s="1" t="s">
        <v>83</v>
      </c>
      <c r="E634" s="1" t="s">
        <v>8</v>
      </c>
      <c r="F634" s="1" t="s">
        <v>9</v>
      </c>
      <c r="G634" s="4">
        <v>7</v>
      </c>
      <c r="H634" s="4">
        <v>25495</v>
      </c>
      <c r="I634" s="6">
        <v>24010.451096412191</v>
      </c>
      <c r="J634" s="6">
        <f>表1[[#This Row],[销售金额]]-表1[[#This Row],[退款金额]]</f>
        <v>1484.548903587809</v>
      </c>
      <c r="K634" s="1">
        <v>619</v>
      </c>
      <c r="L634" s="1">
        <v>695</v>
      </c>
    </row>
    <row r="635" spans="1:12" x14ac:dyDescent="0.3">
      <c r="A635" s="2">
        <v>45912</v>
      </c>
      <c r="B635" s="1" t="s">
        <v>248</v>
      </c>
      <c r="C635" s="1" t="s">
        <v>10</v>
      </c>
      <c r="D635" s="1" t="s">
        <v>57</v>
      </c>
      <c r="E635" s="1" t="s">
        <v>42</v>
      </c>
      <c r="F635" s="1" t="s">
        <v>43</v>
      </c>
      <c r="G635" s="4">
        <v>7</v>
      </c>
      <c r="H635" s="4">
        <v>4999</v>
      </c>
      <c r="I635" s="6">
        <v>4891.9326961296638</v>
      </c>
      <c r="J635" s="6">
        <f>表1[[#This Row],[销售金额]]-表1[[#This Row],[退款金额]]</f>
        <v>107.06730387033622</v>
      </c>
      <c r="K635" s="1">
        <v>190</v>
      </c>
      <c r="L635" s="1">
        <v>742</v>
      </c>
    </row>
    <row r="636" spans="1:12" x14ac:dyDescent="0.3">
      <c r="A636" s="2">
        <v>45912</v>
      </c>
      <c r="B636" s="1" t="s">
        <v>247</v>
      </c>
      <c r="C636" s="1" t="s">
        <v>10</v>
      </c>
      <c r="D636" s="1" t="s">
        <v>83</v>
      </c>
      <c r="E636" s="1" t="s">
        <v>8</v>
      </c>
      <c r="F636" s="1" t="s">
        <v>9</v>
      </c>
      <c r="G636" s="4">
        <v>7</v>
      </c>
      <c r="H636" s="4">
        <v>25963</v>
      </c>
      <c r="I636" s="6">
        <v>24010.451096412191</v>
      </c>
      <c r="J636" s="6">
        <f>表1[[#This Row],[销售金额]]-表1[[#This Row],[退款金额]]</f>
        <v>1952.548903587809</v>
      </c>
      <c r="K636" s="1">
        <v>619</v>
      </c>
      <c r="L636" s="1">
        <v>695</v>
      </c>
    </row>
    <row r="637" spans="1:12" x14ac:dyDescent="0.3">
      <c r="A637" s="2">
        <v>45912</v>
      </c>
      <c r="B637" s="1" t="s">
        <v>247</v>
      </c>
      <c r="C637" s="1" t="s">
        <v>10</v>
      </c>
      <c r="D637" s="1" t="s">
        <v>83</v>
      </c>
      <c r="E637" s="1" t="s">
        <v>8</v>
      </c>
      <c r="F637" s="1" t="s">
        <v>9</v>
      </c>
      <c r="G637" s="4">
        <v>7</v>
      </c>
      <c r="H637" s="4">
        <v>28582</v>
      </c>
      <c r="I637" s="6">
        <v>24010.451096412191</v>
      </c>
      <c r="J637" s="6">
        <f>表1[[#This Row],[销售金额]]-表1[[#This Row],[退款金额]]</f>
        <v>4571.548903587809</v>
      </c>
      <c r="K637" s="1">
        <v>619</v>
      </c>
      <c r="L637" s="1">
        <v>695</v>
      </c>
    </row>
    <row r="638" spans="1:12" x14ac:dyDescent="0.3">
      <c r="A638" s="2">
        <v>45912</v>
      </c>
      <c r="B638" s="1" t="s">
        <v>248</v>
      </c>
      <c r="C638" s="1" t="s">
        <v>10</v>
      </c>
      <c r="D638" s="1" t="s">
        <v>57</v>
      </c>
      <c r="E638" s="1" t="s">
        <v>42</v>
      </c>
      <c r="F638" s="1" t="s">
        <v>43</v>
      </c>
      <c r="G638" s="4">
        <v>7</v>
      </c>
      <c r="H638" s="4">
        <v>9227</v>
      </c>
      <c r="I638" s="6">
        <v>4891.9326961296638</v>
      </c>
      <c r="J638" s="6">
        <f>表1[[#This Row],[销售金额]]-表1[[#This Row],[退款金额]]</f>
        <v>4335.0673038703362</v>
      </c>
      <c r="K638" s="1">
        <v>190</v>
      </c>
      <c r="L638" s="1">
        <v>742</v>
      </c>
    </row>
    <row r="639" spans="1:12" x14ac:dyDescent="0.3">
      <c r="A639" s="2">
        <v>45912</v>
      </c>
      <c r="B639" s="1" t="s">
        <v>247</v>
      </c>
      <c r="C639" s="1" t="s">
        <v>10</v>
      </c>
      <c r="D639" s="1" t="s">
        <v>83</v>
      </c>
      <c r="E639" s="1" t="s">
        <v>8</v>
      </c>
      <c r="F639" s="1" t="s">
        <v>9</v>
      </c>
      <c r="G639" s="4">
        <v>7</v>
      </c>
      <c r="H639" s="4">
        <v>26754</v>
      </c>
      <c r="I639" s="6">
        <v>24010.451096412191</v>
      </c>
      <c r="J639" s="6">
        <f>表1[[#This Row],[销售金额]]-表1[[#This Row],[退款金额]]</f>
        <v>2743.548903587809</v>
      </c>
      <c r="K639" s="1">
        <v>619</v>
      </c>
      <c r="L639" s="1">
        <v>695</v>
      </c>
    </row>
    <row r="640" spans="1:12" x14ac:dyDescent="0.3">
      <c r="A640" s="2">
        <v>45912</v>
      </c>
      <c r="B640" s="1" t="s">
        <v>247</v>
      </c>
      <c r="C640" s="1" t="s">
        <v>10</v>
      </c>
      <c r="D640" s="1" t="s">
        <v>83</v>
      </c>
      <c r="E640" s="1" t="s">
        <v>8</v>
      </c>
      <c r="F640" s="1" t="s">
        <v>9</v>
      </c>
      <c r="G640" s="4">
        <v>7</v>
      </c>
      <c r="H640" s="4">
        <v>25028</v>
      </c>
      <c r="I640" s="6">
        <v>24010.451096412191</v>
      </c>
      <c r="J640" s="6">
        <f>表1[[#This Row],[销售金额]]-表1[[#This Row],[退款金额]]</f>
        <v>1017.548903587809</v>
      </c>
      <c r="K640" s="1">
        <v>619</v>
      </c>
      <c r="L640" s="1">
        <v>695</v>
      </c>
    </row>
    <row r="641" spans="1:12" x14ac:dyDescent="0.3">
      <c r="A641" s="2">
        <v>45912</v>
      </c>
      <c r="B641" s="1" t="s">
        <v>25</v>
      </c>
      <c r="C641" s="1" t="s">
        <v>10</v>
      </c>
      <c r="D641" s="1" t="s">
        <v>210</v>
      </c>
      <c r="E641" s="1" t="s">
        <v>13</v>
      </c>
      <c r="F641" s="1" t="s">
        <v>14</v>
      </c>
      <c r="G641" s="4">
        <v>8</v>
      </c>
      <c r="H641" s="4">
        <v>38419</v>
      </c>
      <c r="I641" s="6">
        <v>34337.178834647057</v>
      </c>
      <c r="J641" s="6">
        <f>表1[[#This Row],[销售金额]]-表1[[#This Row],[退款金额]]</f>
        <v>4081.8211653529434</v>
      </c>
      <c r="K641" s="1">
        <v>300</v>
      </c>
      <c r="L641" s="1">
        <v>258</v>
      </c>
    </row>
    <row r="642" spans="1:12" x14ac:dyDescent="0.3">
      <c r="A642" s="2">
        <v>45912</v>
      </c>
      <c r="B642" s="1" t="s">
        <v>25</v>
      </c>
      <c r="C642" s="1" t="s">
        <v>10</v>
      </c>
      <c r="D642" s="1" t="s">
        <v>210</v>
      </c>
      <c r="E642" s="1" t="s">
        <v>13</v>
      </c>
      <c r="F642" s="1" t="s">
        <v>14</v>
      </c>
      <c r="G642" s="4">
        <v>8</v>
      </c>
      <c r="H642" s="4">
        <v>38651</v>
      </c>
      <c r="I642" s="6">
        <v>34337.178834647057</v>
      </c>
      <c r="J642" s="6">
        <f>表1[[#This Row],[销售金额]]-表1[[#This Row],[退款金额]]</f>
        <v>4313.8211653529434</v>
      </c>
      <c r="K642" s="1">
        <v>300</v>
      </c>
      <c r="L642" s="1">
        <v>258</v>
      </c>
    </row>
    <row r="643" spans="1:12" x14ac:dyDescent="0.3">
      <c r="A643" s="2">
        <v>45912</v>
      </c>
      <c r="B643" s="1" t="s">
        <v>25</v>
      </c>
      <c r="C643" s="1" t="s">
        <v>10</v>
      </c>
      <c r="D643" s="1" t="s">
        <v>210</v>
      </c>
      <c r="E643" s="1" t="s">
        <v>13</v>
      </c>
      <c r="F643" s="1" t="s">
        <v>14</v>
      </c>
      <c r="G643" s="4">
        <v>8</v>
      </c>
      <c r="H643" s="4">
        <v>34580</v>
      </c>
      <c r="I643" s="6">
        <v>34337.178834647057</v>
      </c>
      <c r="J643" s="6">
        <f>表1[[#This Row],[销售金额]]-表1[[#This Row],[退款金额]]</f>
        <v>242.82116535294335</v>
      </c>
      <c r="K643" s="1">
        <v>300</v>
      </c>
      <c r="L643" s="1">
        <v>258</v>
      </c>
    </row>
    <row r="644" spans="1:12" x14ac:dyDescent="0.3">
      <c r="A644" s="2">
        <v>45912</v>
      </c>
      <c r="B644" s="1" t="s">
        <v>25</v>
      </c>
      <c r="C644" s="1" t="s">
        <v>10</v>
      </c>
      <c r="D644" s="1" t="s">
        <v>210</v>
      </c>
      <c r="E644" s="1" t="s">
        <v>13</v>
      </c>
      <c r="F644" s="1" t="s">
        <v>14</v>
      </c>
      <c r="G644" s="4">
        <v>8</v>
      </c>
      <c r="H644" s="4">
        <v>37897</v>
      </c>
      <c r="I644" s="6">
        <v>34337.178834647057</v>
      </c>
      <c r="J644" s="6">
        <f>表1[[#This Row],[销售金额]]-表1[[#This Row],[退款金额]]</f>
        <v>3559.8211653529434</v>
      </c>
      <c r="K644" s="1">
        <v>300</v>
      </c>
      <c r="L644" s="1">
        <v>258</v>
      </c>
    </row>
    <row r="645" spans="1:12" x14ac:dyDescent="0.3">
      <c r="A645" s="2">
        <v>45912</v>
      </c>
      <c r="B645" s="1" t="s">
        <v>25</v>
      </c>
      <c r="C645" s="1" t="s">
        <v>10</v>
      </c>
      <c r="D645" s="1" t="s">
        <v>210</v>
      </c>
      <c r="E645" s="1" t="s">
        <v>13</v>
      </c>
      <c r="F645" s="1" t="s">
        <v>14</v>
      </c>
      <c r="G645" s="4">
        <v>8</v>
      </c>
      <c r="H645" s="4">
        <v>35750</v>
      </c>
      <c r="I645" s="6">
        <v>34337.178834647057</v>
      </c>
      <c r="J645" s="6">
        <f>表1[[#This Row],[销售金额]]-表1[[#This Row],[退款金额]]</f>
        <v>1412.8211653529434</v>
      </c>
      <c r="K645" s="1">
        <v>300</v>
      </c>
      <c r="L645" s="1">
        <v>258</v>
      </c>
    </row>
    <row r="646" spans="1:12" x14ac:dyDescent="0.3">
      <c r="A646" s="2">
        <v>45912</v>
      </c>
      <c r="B646" s="1" t="s">
        <v>25</v>
      </c>
      <c r="C646" s="1" t="s">
        <v>10</v>
      </c>
      <c r="D646" s="1" t="s">
        <v>210</v>
      </c>
      <c r="E646" s="1" t="s">
        <v>13</v>
      </c>
      <c r="F646" s="1" t="s">
        <v>14</v>
      </c>
      <c r="G646" s="4">
        <v>8</v>
      </c>
      <c r="H646" s="4">
        <v>38277</v>
      </c>
      <c r="I646" s="6">
        <v>34337.178834647057</v>
      </c>
      <c r="J646" s="6">
        <f>表1[[#This Row],[销售金额]]-表1[[#This Row],[退款金额]]</f>
        <v>3939.8211653529434</v>
      </c>
      <c r="K646" s="1">
        <v>300</v>
      </c>
      <c r="L646" s="1">
        <v>258</v>
      </c>
    </row>
    <row r="647" spans="1:12" x14ac:dyDescent="0.3">
      <c r="A647" s="2">
        <v>45912</v>
      </c>
      <c r="B647" s="1" t="s">
        <v>25</v>
      </c>
      <c r="C647" s="1" t="s">
        <v>10</v>
      </c>
      <c r="D647" s="1" t="s">
        <v>210</v>
      </c>
      <c r="E647" s="1" t="s">
        <v>13</v>
      </c>
      <c r="F647" s="1" t="s">
        <v>14</v>
      </c>
      <c r="G647" s="4">
        <v>8</v>
      </c>
      <c r="H647" s="4">
        <v>34754</v>
      </c>
      <c r="I647" s="6">
        <v>34337.178834647057</v>
      </c>
      <c r="J647" s="6">
        <f>表1[[#This Row],[销售金额]]-表1[[#This Row],[退款金额]]</f>
        <v>416.82116535294335</v>
      </c>
      <c r="K647" s="1">
        <v>300</v>
      </c>
      <c r="L647" s="1">
        <v>258</v>
      </c>
    </row>
    <row r="648" spans="1:12" x14ac:dyDescent="0.3">
      <c r="A648" s="2">
        <v>45912</v>
      </c>
      <c r="B648" s="1" t="s">
        <v>25</v>
      </c>
      <c r="C648" s="1" t="s">
        <v>10</v>
      </c>
      <c r="D648" s="1" t="s">
        <v>210</v>
      </c>
      <c r="E648" s="1" t="s">
        <v>13</v>
      </c>
      <c r="F648" s="1" t="s">
        <v>14</v>
      </c>
      <c r="G648" s="4">
        <v>8</v>
      </c>
      <c r="H648" s="4">
        <v>39036</v>
      </c>
      <c r="I648" s="6">
        <v>34337.178834647057</v>
      </c>
      <c r="J648" s="6">
        <f>表1[[#This Row],[销售金额]]-表1[[#This Row],[退款金额]]</f>
        <v>4698.8211653529434</v>
      </c>
      <c r="K648" s="1">
        <v>300</v>
      </c>
      <c r="L648" s="1">
        <v>258</v>
      </c>
    </row>
    <row r="649" spans="1:12" x14ac:dyDescent="0.3">
      <c r="A649" s="2">
        <v>45912</v>
      </c>
      <c r="B649" s="1" t="s">
        <v>25</v>
      </c>
      <c r="C649" s="1" t="s">
        <v>10</v>
      </c>
      <c r="D649" s="1" t="s">
        <v>210</v>
      </c>
      <c r="E649" s="1" t="s">
        <v>13</v>
      </c>
      <c r="F649" s="1" t="s">
        <v>14</v>
      </c>
      <c r="G649" s="4">
        <v>8</v>
      </c>
      <c r="H649" s="4">
        <v>34887</v>
      </c>
      <c r="I649" s="6">
        <v>34337.178834647057</v>
      </c>
      <c r="J649" s="6">
        <f>表1[[#This Row],[销售金额]]-表1[[#This Row],[退款金额]]</f>
        <v>549.82116535294335</v>
      </c>
      <c r="K649" s="1">
        <v>300</v>
      </c>
      <c r="L649" s="1">
        <v>258</v>
      </c>
    </row>
    <row r="650" spans="1:12" x14ac:dyDescent="0.3">
      <c r="A650" s="2">
        <v>45912</v>
      </c>
      <c r="B650" s="1" t="s">
        <v>247</v>
      </c>
      <c r="C650" s="1" t="s">
        <v>32</v>
      </c>
      <c r="D650" s="1" t="s">
        <v>101</v>
      </c>
      <c r="E650" s="1" t="s">
        <v>38</v>
      </c>
      <c r="F650" s="1" t="s">
        <v>39</v>
      </c>
      <c r="G650" s="4">
        <v>11</v>
      </c>
      <c r="H650" s="4">
        <v>7806</v>
      </c>
      <c r="I650" s="6">
        <v>2837.552810254791</v>
      </c>
      <c r="J650" s="6">
        <f>表1[[#This Row],[销售金额]]-表1[[#This Row],[退款金额]]</f>
        <v>4968.4471897452095</v>
      </c>
      <c r="K650" s="1">
        <v>32</v>
      </c>
      <c r="L650" s="1">
        <v>43</v>
      </c>
    </row>
    <row r="651" spans="1:12" x14ac:dyDescent="0.3">
      <c r="A651" s="2">
        <v>45912</v>
      </c>
      <c r="B651" s="1" t="s">
        <v>247</v>
      </c>
      <c r="C651" s="1" t="s">
        <v>32</v>
      </c>
      <c r="D651" s="1" t="s">
        <v>101</v>
      </c>
      <c r="E651" s="1" t="s">
        <v>38</v>
      </c>
      <c r="F651" s="1" t="s">
        <v>39</v>
      </c>
      <c r="G651" s="4">
        <v>11</v>
      </c>
      <c r="H651" s="4">
        <v>5007</v>
      </c>
      <c r="I651" s="6">
        <v>2837.552810254791</v>
      </c>
      <c r="J651" s="6">
        <f>表1[[#This Row],[销售金额]]-表1[[#This Row],[退款金额]]</f>
        <v>2169.447189745209</v>
      </c>
      <c r="K651" s="1">
        <v>32</v>
      </c>
      <c r="L651" s="1">
        <v>43</v>
      </c>
    </row>
    <row r="652" spans="1:12" x14ac:dyDescent="0.3">
      <c r="A652" s="2">
        <v>45912</v>
      </c>
      <c r="B652" s="1" t="s">
        <v>247</v>
      </c>
      <c r="C652" s="1" t="s">
        <v>32</v>
      </c>
      <c r="D652" s="1" t="s">
        <v>101</v>
      </c>
      <c r="E652" s="1" t="s">
        <v>38</v>
      </c>
      <c r="F652" s="1" t="s">
        <v>39</v>
      </c>
      <c r="G652" s="4">
        <v>11</v>
      </c>
      <c r="H652" s="4">
        <v>6575</v>
      </c>
      <c r="I652" s="6">
        <v>2837.552810254791</v>
      </c>
      <c r="J652" s="6">
        <f>表1[[#This Row],[销售金额]]-表1[[#This Row],[退款金额]]</f>
        <v>3737.447189745209</v>
      </c>
      <c r="K652" s="1">
        <v>32</v>
      </c>
      <c r="L652" s="1">
        <v>43</v>
      </c>
    </row>
    <row r="653" spans="1:12" x14ac:dyDescent="0.3">
      <c r="A653" s="2">
        <v>45912</v>
      </c>
      <c r="B653" s="1" t="s">
        <v>247</v>
      </c>
      <c r="C653" s="1" t="s">
        <v>32</v>
      </c>
      <c r="D653" s="1" t="s">
        <v>101</v>
      </c>
      <c r="E653" s="1" t="s">
        <v>38</v>
      </c>
      <c r="F653" s="1" t="s">
        <v>39</v>
      </c>
      <c r="G653" s="4">
        <v>11</v>
      </c>
      <c r="H653" s="4">
        <v>4154</v>
      </c>
      <c r="I653" s="6">
        <v>2837.552810254791</v>
      </c>
      <c r="J653" s="6">
        <f>表1[[#This Row],[销售金额]]-表1[[#This Row],[退款金额]]</f>
        <v>1316.447189745209</v>
      </c>
      <c r="K653" s="1">
        <v>32</v>
      </c>
      <c r="L653" s="1">
        <v>43</v>
      </c>
    </row>
    <row r="654" spans="1:12" x14ac:dyDescent="0.3">
      <c r="A654" s="2">
        <v>45912</v>
      </c>
      <c r="B654" s="1" t="s">
        <v>247</v>
      </c>
      <c r="C654" s="1" t="s">
        <v>32</v>
      </c>
      <c r="D654" s="1" t="s">
        <v>101</v>
      </c>
      <c r="E654" s="1" t="s">
        <v>38</v>
      </c>
      <c r="F654" s="1" t="s">
        <v>39</v>
      </c>
      <c r="G654" s="4">
        <v>11</v>
      </c>
      <c r="H654" s="4">
        <v>5922</v>
      </c>
      <c r="I654" s="6">
        <v>2837.552810254791</v>
      </c>
      <c r="J654" s="6">
        <f>表1[[#This Row],[销售金额]]-表1[[#This Row],[退款金额]]</f>
        <v>3084.447189745209</v>
      </c>
      <c r="K654" s="1">
        <v>32</v>
      </c>
      <c r="L654" s="1">
        <v>43</v>
      </c>
    </row>
    <row r="655" spans="1:12" x14ac:dyDescent="0.3">
      <c r="A655" s="2">
        <v>45912</v>
      </c>
      <c r="B655" s="1" t="s">
        <v>247</v>
      </c>
      <c r="C655" s="1" t="s">
        <v>32</v>
      </c>
      <c r="D655" s="1" t="s">
        <v>101</v>
      </c>
      <c r="E655" s="1" t="s">
        <v>38</v>
      </c>
      <c r="F655" s="1" t="s">
        <v>39</v>
      </c>
      <c r="G655" s="4">
        <v>11</v>
      </c>
      <c r="H655" s="4">
        <v>5134</v>
      </c>
      <c r="I655" s="6">
        <v>2837.552810254791</v>
      </c>
      <c r="J655" s="6">
        <f>表1[[#This Row],[销售金额]]-表1[[#This Row],[退款金额]]</f>
        <v>2296.447189745209</v>
      </c>
      <c r="K655" s="1">
        <v>32</v>
      </c>
      <c r="L655" s="1">
        <v>43</v>
      </c>
    </row>
    <row r="656" spans="1:12" x14ac:dyDescent="0.3">
      <c r="A656" s="2">
        <v>45912</v>
      </c>
      <c r="B656" s="1" t="s">
        <v>247</v>
      </c>
      <c r="C656" s="1" t="s">
        <v>32</v>
      </c>
      <c r="D656" s="1" t="s">
        <v>101</v>
      </c>
      <c r="E656" s="1" t="s">
        <v>38</v>
      </c>
      <c r="F656" s="1" t="s">
        <v>39</v>
      </c>
      <c r="G656" s="4">
        <v>11</v>
      </c>
      <c r="H656" s="4">
        <v>5575</v>
      </c>
      <c r="I656" s="6">
        <v>2837.552810254791</v>
      </c>
      <c r="J656" s="6">
        <f>表1[[#This Row],[销售金额]]-表1[[#This Row],[退款金额]]</f>
        <v>2737.447189745209</v>
      </c>
      <c r="K656" s="1">
        <v>32</v>
      </c>
      <c r="L656" s="1">
        <v>43</v>
      </c>
    </row>
    <row r="657" spans="1:12" x14ac:dyDescent="0.3">
      <c r="A657" s="2">
        <v>45912</v>
      </c>
      <c r="B657" s="1" t="s">
        <v>247</v>
      </c>
      <c r="C657" s="1" t="s">
        <v>32</v>
      </c>
      <c r="D657" s="1" t="s">
        <v>101</v>
      </c>
      <c r="E657" s="1" t="s">
        <v>38</v>
      </c>
      <c r="F657" s="1" t="s">
        <v>39</v>
      </c>
      <c r="G657" s="4">
        <v>11</v>
      </c>
      <c r="H657" s="4">
        <v>5877</v>
      </c>
      <c r="I657" s="6">
        <v>2837.552810254791</v>
      </c>
      <c r="J657" s="6">
        <f>表1[[#This Row],[销售金额]]-表1[[#This Row],[退款金额]]</f>
        <v>3039.447189745209</v>
      </c>
      <c r="K657" s="1">
        <v>32</v>
      </c>
      <c r="L657" s="1">
        <v>43</v>
      </c>
    </row>
    <row r="658" spans="1:12" x14ac:dyDescent="0.3">
      <c r="A658" s="2">
        <v>45912</v>
      </c>
      <c r="B658" s="1" t="s">
        <v>247</v>
      </c>
      <c r="C658" s="1" t="s">
        <v>32</v>
      </c>
      <c r="D658" s="1" t="s">
        <v>101</v>
      </c>
      <c r="E658" s="1" t="s">
        <v>38</v>
      </c>
      <c r="F658" s="1" t="s">
        <v>39</v>
      </c>
      <c r="G658" s="4">
        <v>11</v>
      </c>
      <c r="H658" s="4">
        <v>7814</v>
      </c>
      <c r="I658" s="6">
        <v>2837.552810254791</v>
      </c>
      <c r="J658" s="6">
        <f>表1[[#This Row],[销售金额]]-表1[[#This Row],[退款金额]]</f>
        <v>4976.4471897452095</v>
      </c>
      <c r="K658" s="1">
        <v>32</v>
      </c>
      <c r="L658" s="1">
        <v>43</v>
      </c>
    </row>
    <row r="659" spans="1:12" x14ac:dyDescent="0.3">
      <c r="A659" s="2">
        <v>45912</v>
      </c>
      <c r="B659" s="1" t="s">
        <v>247</v>
      </c>
      <c r="C659" s="1" t="s">
        <v>32</v>
      </c>
      <c r="D659" s="1" t="s">
        <v>101</v>
      </c>
      <c r="E659" s="1" t="s">
        <v>38</v>
      </c>
      <c r="F659" s="1" t="s">
        <v>39</v>
      </c>
      <c r="G659" s="4">
        <v>11</v>
      </c>
      <c r="H659" s="4">
        <v>7003</v>
      </c>
      <c r="I659" s="6">
        <v>2837.552810254791</v>
      </c>
      <c r="J659" s="6">
        <f>表1[[#This Row],[销售金额]]-表1[[#This Row],[退款金额]]</f>
        <v>4165.4471897452095</v>
      </c>
      <c r="K659" s="1">
        <v>32</v>
      </c>
      <c r="L659" s="1">
        <v>43</v>
      </c>
    </row>
    <row r="660" spans="1:12" x14ac:dyDescent="0.3">
      <c r="A660" s="2">
        <v>45912</v>
      </c>
      <c r="B660" s="1" t="s">
        <v>247</v>
      </c>
      <c r="C660" s="1" t="s">
        <v>32</v>
      </c>
      <c r="D660" s="1" t="s">
        <v>101</v>
      </c>
      <c r="E660" s="1" t="s">
        <v>38</v>
      </c>
      <c r="F660" s="1" t="s">
        <v>39</v>
      </c>
      <c r="G660" s="4">
        <v>11</v>
      </c>
      <c r="H660" s="4">
        <v>7643</v>
      </c>
      <c r="I660" s="6">
        <v>2837.552810254791</v>
      </c>
      <c r="J660" s="6">
        <f>表1[[#This Row],[销售金额]]-表1[[#This Row],[退款金额]]</f>
        <v>4805.4471897452095</v>
      </c>
      <c r="K660" s="1">
        <v>32</v>
      </c>
      <c r="L660" s="1">
        <v>43</v>
      </c>
    </row>
    <row r="661" spans="1:12" x14ac:dyDescent="0.3">
      <c r="A661" s="2">
        <v>45912</v>
      </c>
      <c r="B661" s="1" t="s">
        <v>247</v>
      </c>
      <c r="C661" s="1" t="s">
        <v>32</v>
      </c>
      <c r="D661" s="1" t="s">
        <v>101</v>
      </c>
      <c r="E661" s="1" t="s">
        <v>38</v>
      </c>
      <c r="F661" s="1" t="s">
        <v>39</v>
      </c>
      <c r="G661" s="4">
        <v>11</v>
      </c>
      <c r="H661" s="4">
        <v>5011</v>
      </c>
      <c r="I661" s="6">
        <v>2837.552810254791</v>
      </c>
      <c r="J661" s="6">
        <f>表1[[#This Row],[销售金额]]-表1[[#This Row],[退款金额]]</f>
        <v>2173.447189745209</v>
      </c>
      <c r="K661" s="1">
        <v>32</v>
      </c>
      <c r="L661" s="1">
        <v>43</v>
      </c>
    </row>
    <row r="662" spans="1:12" x14ac:dyDescent="0.3">
      <c r="A662" s="2">
        <v>45912</v>
      </c>
      <c r="B662" s="1" t="s">
        <v>247</v>
      </c>
      <c r="C662" s="1" t="s">
        <v>32</v>
      </c>
      <c r="D662" s="1" t="s">
        <v>101</v>
      </c>
      <c r="E662" s="1" t="s">
        <v>38</v>
      </c>
      <c r="F662" s="1" t="s">
        <v>39</v>
      </c>
      <c r="G662" s="4">
        <v>11</v>
      </c>
      <c r="H662" s="4">
        <v>5977</v>
      </c>
      <c r="I662" s="6">
        <v>2837.552810254791</v>
      </c>
      <c r="J662" s="6">
        <f>表1[[#This Row],[销售金额]]-表1[[#This Row],[退款金额]]</f>
        <v>3139.447189745209</v>
      </c>
      <c r="K662" s="1">
        <v>32</v>
      </c>
      <c r="L662" s="1">
        <v>43</v>
      </c>
    </row>
    <row r="663" spans="1:12" x14ac:dyDescent="0.3">
      <c r="A663" s="2">
        <v>45912</v>
      </c>
      <c r="B663" s="1" t="s">
        <v>247</v>
      </c>
      <c r="C663" s="1" t="s">
        <v>32</v>
      </c>
      <c r="D663" s="1" t="s">
        <v>101</v>
      </c>
      <c r="E663" s="1" t="s">
        <v>38</v>
      </c>
      <c r="F663" s="1" t="s">
        <v>39</v>
      </c>
      <c r="G663" s="4">
        <v>11</v>
      </c>
      <c r="H663" s="4">
        <v>3528</v>
      </c>
      <c r="I663" s="6">
        <v>2837.552810254791</v>
      </c>
      <c r="J663" s="6">
        <f>表1[[#This Row],[销售金额]]-表1[[#This Row],[退款金额]]</f>
        <v>690.44718974520902</v>
      </c>
      <c r="K663" s="1">
        <v>32</v>
      </c>
      <c r="L663" s="1">
        <v>43</v>
      </c>
    </row>
    <row r="664" spans="1:12" x14ac:dyDescent="0.3">
      <c r="A664" s="2">
        <v>45912</v>
      </c>
      <c r="B664" s="1" t="s">
        <v>247</v>
      </c>
      <c r="C664" s="1" t="s">
        <v>32</v>
      </c>
      <c r="D664" s="1" t="s">
        <v>101</v>
      </c>
      <c r="E664" s="1" t="s">
        <v>38</v>
      </c>
      <c r="F664" s="1" t="s">
        <v>39</v>
      </c>
      <c r="G664" s="4">
        <v>11</v>
      </c>
      <c r="H664" s="4">
        <v>7215</v>
      </c>
      <c r="I664" s="6">
        <v>2837.552810254791</v>
      </c>
      <c r="J664" s="6">
        <f>表1[[#This Row],[销售金额]]-表1[[#This Row],[退款金额]]</f>
        <v>4377.4471897452095</v>
      </c>
      <c r="K664" s="1">
        <v>32</v>
      </c>
      <c r="L664" s="1">
        <v>43</v>
      </c>
    </row>
    <row r="665" spans="1:12" x14ac:dyDescent="0.3">
      <c r="A665" s="2">
        <v>45912</v>
      </c>
      <c r="B665" s="1" t="s">
        <v>247</v>
      </c>
      <c r="C665" s="1" t="s">
        <v>32</v>
      </c>
      <c r="D665" s="1" t="s">
        <v>101</v>
      </c>
      <c r="E665" s="1" t="s">
        <v>38</v>
      </c>
      <c r="F665" s="1" t="s">
        <v>39</v>
      </c>
      <c r="G665" s="4">
        <v>11</v>
      </c>
      <c r="H665" s="4">
        <v>7060</v>
      </c>
      <c r="I665" s="6">
        <v>2837.552810254791</v>
      </c>
      <c r="J665" s="6">
        <f>表1[[#This Row],[销售金额]]-表1[[#This Row],[退款金额]]</f>
        <v>4222.4471897452095</v>
      </c>
      <c r="K665" s="1">
        <v>32</v>
      </c>
      <c r="L665" s="1">
        <v>43</v>
      </c>
    </row>
    <row r="666" spans="1:12" x14ac:dyDescent="0.3">
      <c r="A666" s="2">
        <v>45912</v>
      </c>
      <c r="B666" s="1" t="s">
        <v>247</v>
      </c>
      <c r="C666" s="1" t="s">
        <v>32</v>
      </c>
      <c r="D666" s="1" t="s">
        <v>101</v>
      </c>
      <c r="E666" s="1" t="s">
        <v>38</v>
      </c>
      <c r="F666" s="1" t="s">
        <v>39</v>
      </c>
      <c r="G666" s="4">
        <v>11</v>
      </c>
      <c r="H666" s="4">
        <v>3784</v>
      </c>
      <c r="I666" s="6">
        <v>2837.552810254791</v>
      </c>
      <c r="J666" s="6">
        <f>表1[[#This Row],[销售金额]]-表1[[#This Row],[退款金额]]</f>
        <v>946.44718974520902</v>
      </c>
      <c r="K666" s="1">
        <v>32</v>
      </c>
      <c r="L666" s="1">
        <v>43</v>
      </c>
    </row>
    <row r="667" spans="1:12" x14ac:dyDescent="0.3">
      <c r="A667" s="2">
        <v>45912</v>
      </c>
      <c r="B667" s="1" t="s">
        <v>247</v>
      </c>
      <c r="C667" s="1" t="s">
        <v>32</v>
      </c>
      <c r="D667" s="1" t="s">
        <v>101</v>
      </c>
      <c r="E667" s="1" t="s">
        <v>38</v>
      </c>
      <c r="F667" s="1" t="s">
        <v>39</v>
      </c>
      <c r="G667" s="4">
        <v>11</v>
      </c>
      <c r="H667" s="4">
        <v>4331</v>
      </c>
      <c r="I667" s="6">
        <v>2837.552810254791</v>
      </c>
      <c r="J667" s="6">
        <f>表1[[#This Row],[销售金额]]-表1[[#This Row],[退款金额]]</f>
        <v>1493.447189745209</v>
      </c>
      <c r="K667" s="1">
        <v>32</v>
      </c>
      <c r="L667" s="1">
        <v>43</v>
      </c>
    </row>
    <row r="668" spans="1:12" x14ac:dyDescent="0.3">
      <c r="A668" s="2">
        <v>45912</v>
      </c>
      <c r="B668" s="1" t="s">
        <v>247</v>
      </c>
      <c r="C668" s="1" t="s">
        <v>10</v>
      </c>
      <c r="D668" s="1" t="s">
        <v>175</v>
      </c>
      <c r="E668" s="1" t="s">
        <v>8</v>
      </c>
      <c r="F668" s="1" t="s">
        <v>9</v>
      </c>
      <c r="G668" s="4">
        <v>16</v>
      </c>
      <c r="H668" s="4">
        <v>35384</v>
      </c>
      <c r="I668" s="6">
        <v>32599.038152327041</v>
      </c>
      <c r="J668" s="6">
        <f>表1[[#This Row],[销售金额]]-表1[[#This Row],[退款金额]]</f>
        <v>2784.9618476729593</v>
      </c>
      <c r="K668" s="1">
        <v>702</v>
      </c>
      <c r="L668" s="1">
        <v>289</v>
      </c>
    </row>
    <row r="669" spans="1:12" x14ac:dyDescent="0.3">
      <c r="A669" s="2">
        <v>45912</v>
      </c>
      <c r="B669" s="1" t="s">
        <v>247</v>
      </c>
      <c r="C669" s="1" t="s">
        <v>10</v>
      </c>
      <c r="D669" s="1" t="s">
        <v>175</v>
      </c>
      <c r="E669" s="1" t="s">
        <v>8</v>
      </c>
      <c r="F669" s="1" t="s">
        <v>9</v>
      </c>
      <c r="G669" s="4">
        <v>16</v>
      </c>
      <c r="H669" s="4">
        <v>33442</v>
      </c>
      <c r="I669" s="6">
        <v>32599.038152327041</v>
      </c>
      <c r="J669" s="6">
        <f>表1[[#This Row],[销售金额]]-表1[[#This Row],[退款金额]]</f>
        <v>842.96184767295927</v>
      </c>
      <c r="K669" s="1">
        <v>702</v>
      </c>
      <c r="L669" s="1">
        <v>289</v>
      </c>
    </row>
    <row r="670" spans="1:12" x14ac:dyDescent="0.3">
      <c r="A670" s="2">
        <v>45912</v>
      </c>
      <c r="B670" s="1" t="s">
        <v>247</v>
      </c>
      <c r="C670" s="1" t="s">
        <v>10</v>
      </c>
      <c r="D670" s="1" t="s">
        <v>175</v>
      </c>
      <c r="E670" s="1" t="s">
        <v>8</v>
      </c>
      <c r="F670" s="1" t="s">
        <v>9</v>
      </c>
      <c r="G670" s="4">
        <v>16</v>
      </c>
      <c r="H670" s="4">
        <v>32900</v>
      </c>
      <c r="I670" s="6">
        <v>32599.038152327041</v>
      </c>
      <c r="J670" s="6">
        <f>表1[[#This Row],[销售金额]]-表1[[#This Row],[退款金额]]</f>
        <v>300.96184767295927</v>
      </c>
      <c r="K670" s="1">
        <v>702</v>
      </c>
      <c r="L670" s="1">
        <v>289</v>
      </c>
    </row>
    <row r="671" spans="1:12" x14ac:dyDescent="0.3">
      <c r="A671" s="2">
        <v>45912</v>
      </c>
      <c r="B671" s="1" t="s">
        <v>247</v>
      </c>
      <c r="C671" s="1" t="s">
        <v>10</v>
      </c>
      <c r="D671" s="1" t="s">
        <v>175</v>
      </c>
      <c r="E671" s="1" t="s">
        <v>8</v>
      </c>
      <c r="F671" s="1" t="s">
        <v>9</v>
      </c>
      <c r="G671" s="4">
        <v>16</v>
      </c>
      <c r="H671" s="4">
        <v>33189</v>
      </c>
      <c r="I671" s="6">
        <v>32599.038152327041</v>
      </c>
      <c r="J671" s="6">
        <f>表1[[#This Row],[销售金额]]-表1[[#This Row],[退款金额]]</f>
        <v>589.96184767295927</v>
      </c>
      <c r="K671" s="1">
        <v>702</v>
      </c>
      <c r="L671" s="1">
        <v>289</v>
      </c>
    </row>
    <row r="672" spans="1:12" x14ac:dyDescent="0.3">
      <c r="A672" s="2">
        <v>45912</v>
      </c>
      <c r="B672" s="1" t="s">
        <v>247</v>
      </c>
      <c r="C672" s="1" t="s">
        <v>10</v>
      </c>
      <c r="D672" s="1" t="s">
        <v>175</v>
      </c>
      <c r="E672" s="1" t="s">
        <v>8</v>
      </c>
      <c r="F672" s="1" t="s">
        <v>9</v>
      </c>
      <c r="G672" s="4">
        <v>16</v>
      </c>
      <c r="H672" s="4">
        <v>34187</v>
      </c>
      <c r="I672" s="6">
        <v>32599.038152327041</v>
      </c>
      <c r="J672" s="6">
        <f>表1[[#This Row],[销售金额]]-表1[[#This Row],[退款金额]]</f>
        <v>1587.9618476729593</v>
      </c>
      <c r="K672" s="1">
        <v>702</v>
      </c>
      <c r="L672" s="1">
        <v>289</v>
      </c>
    </row>
    <row r="673" spans="1:12" x14ac:dyDescent="0.3">
      <c r="A673" s="2">
        <v>45912</v>
      </c>
      <c r="B673" s="1" t="s">
        <v>247</v>
      </c>
      <c r="C673" s="1" t="s">
        <v>10</v>
      </c>
      <c r="D673" s="1" t="s">
        <v>175</v>
      </c>
      <c r="E673" s="1" t="s">
        <v>8</v>
      </c>
      <c r="F673" s="1" t="s">
        <v>9</v>
      </c>
      <c r="G673" s="4">
        <v>16</v>
      </c>
      <c r="H673" s="4">
        <v>35311</v>
      </c>
      <c r="I673" s="6">
        <v>32599.038152327041</v>
      </c>
      <c r="J673" s="6">
        <f>表1[[#This Row],[销售金额]]-表1[[#This Row],[退款金额]]</f>
        <v>2711.9618476729593</v>
      </c>
      <c r="K673" s="1">
        <v>702</v>
      </c>
      <c r="L673" s="1">
        <v>289</v>
      </c>
    </row>
    <row r="674" spans="1:12" x14ac:dyDescent="0.3">
      <c r="A674" s="2">
        <v>45912</v>
      </c>
      <c r="B674" s="1" t="s">
        <v>247</v>
      </c>
      <c r="C674" s="1" t="s">
        <v>10</v>
      </c>
      <c r="D674" s="1" t="s">
        <v>175</v>
      </c>
      <c r="E674" s="1" t="s">
        <v>8</v>
      </c>
      <c r="F674" s="1" t="s">
        <v>9</v>
      </c>
      <c r="G674" s="4">
        <v>16</v>
      </c>
      <c r="H674" s="4">
        <v>34078</v>
      </c>
      <c r="I674" s="6">
        <v>32599.038152327041</v>
      </c>
      <c r="J674" s="6">
        <f>表1[[#This Row],[销售金额]]-表1[[#This Row],[退款金额]]</f>
        <v>1478.9618476729593</v>
      </c>
      <c r="K674" s="1">
        <v>702</v>
      </c>
      <c r="L674" s="1">
        <v>289</v>
      </c>
    </row>
    <row r="675" spans="1:12" x14ac:dyDescent="0.3">
      <c r="A675" s="2">
        <v>45912</v>
      </c>
      <c r="B675" s="1" t="s">
        <v>247</v>
      </c>
      <c r="C675" s="1" t="s">
        <v>10</v>
      </c>
      <c r="D675" s="1" t="s">
        <v>175</v>
      </c>
      <c r="E675" s="1" t="s">
        <v>8</v>
      </c>
      <c r="F675" s="1" t="s">
        <v>9</v>
      </c>
      <c r="G675" s="4">
        <v>16</v>
      </c>
      <c r="H675" s="4">
        <v>35483</v>
      </c>
      <c r="I675" s="6">
        <v>32599.038152327041</v>
      </c>
      <c r="J675" s="6">
        <f>表1[[#This Row],[销售金额]]-表1[[#This Row],[退款金额]]</f>
        <v>2883.9618476729593</v>
      </c>
      <c r="K675" s="1">
        <v>702</v>
      </c>
      <c r="L675" s="1">
        <v>289</v>
      </c>
    </row>
    <row r="676" spans="1:12" x14ac:dyDescent="0.3">
      <c r="A676" s="2">
        <v>45912</v>
      </c>
      <c r="B676" s="1" t="s">
        <v>247</v>
      </c>
      <c r="C676" s="1" t="s">
        <v>10</v>
      </c>
      <c r="D676" s="1" t="s">
        <v>175</v>
      </c>
      <c r="E676" s="1" t="s">
        <v>8</v>
      </c>
      <c r="F676" s="1" t="s">
        <v>9</v>
      </c>
      <c r="G676" s="4">
        <v>16</v>
      </c>
      <c r="H676" s="4">
        <v>34124</v>
      </c>
      <c r="I676" s="6">
        <v>32599.038152327041</v>
      </c>
      <c r="J676" s="6">
        <f>表1[[#This Row],[销售金额]]-表1[[#This Row],[退款金额]]</f>
        <v>1524.9618476729593</v>
      </c>
      <c r="K676" s="1">
        <v>702</v>
      </c>
      <c r="L676" s="1">
        <v>289</v>
      </c>
    </row>
    <row r="677" spans="1:12" x14ac:dyDescent="0.3">
      <c r="A677" s="2">
        <v>45912</v>
      </c>
      <c r="B677" s="1" t="s">
        <v>25</v>
      </c>
      <c r="C677" s="1" t="s">
        <v>10</v>
      </c>
      <c r="D677" s="1" t="s">
        <v>100</v>
      </c>
      <c r="E677" s="1" t="s">
        <v>13</v>
      </c>
      <c r="F677" s="1" t="s">
        <v>14</v>
      </c>
      <c r="G677" s="4">
        <v>18</v>
      </c>
      <c r="H677" s="4">
        <v>5113</v>
      </c>
      <c r="I677" s="6">
        <v>4888.3772624364328</v>
      </c>
      <c r="J677" s="6">
        <f>表1[[#This Row],[销售金额]]-表1[[#This Row],[退款金额]]</f>
        <v>224.62273756356717</v>
      </c>
      <c r="K677" s="1">
        <v>755</v>
      </c>
      <c r="L677" s="1">
        <v>40</v>
      </c>
    </row>
    <row r="678" spans="1:12" x14ac:dyDescent="0.3">
      <c r="A678" s="2">
        <v>45912</v>
      </c>
      <c r="B678" s="1" t="s">
        <v>25</v>
      </c>
      <c r="C678" s="1" t="s">
        <v>10</v>
      </c>
      <c r="D678" s="1" t="s">
        <v>100</v>
      </c>
      <c r="E678" s="1" t="s">
        <v>13</v>
      </c>
      <c r="F678" s="1" t="s">
        <v>14</v>
      </c>
      <c r="G678" s="4">
        <v>18</v>
      </c>
      <c r="H678" s="4">
        <v>5956</v>
      </c>
      <c r="I678" s="6">
        <v>4888.3772624364328</v>
      </c>
      <c r="J678" s="6">
        <f>表1[[#This Row],[销售金额]]-表1[[#This Row],[退款金额]]</f>
        <v>1067.6227375635672</v>
      </c>
      <c r="K678" s="1">
        <v>755</v>
      </c>
      <c r="L678" s="1">
        <v>40</v>
      </c>
    </row>
    <row r="679" spans="1:12" x14ac:dyDescent="0.3">
      <c r="A679" s="2">
        <v>45912</v>
      </c>
      <c r="B679" s="1" t="s">
        <v>25</v>
      </c>
      <c r="C679" s="1" t="s">
        <v>10</v>
      </c>
      <c r="D679" s="1" t="s">
        <v>100</v>
      </c>
      <c r="E679" s="1" t="s">
        <v>13</v>
      </c>
      <c r="F679" s="1" t="s">
        <v>14</v>
      </c>
      <c r="G679" s="4">
        <v>18</v>
      </c>
      <c r="H679" s="4">
        <v>8091</v>
      </c>
      <c r="I679" s="6">
        <v>4888.3772624364328</v>
      </c>
      <c r="J679" s="6">
        <f>表1[[#This Row],[销售金额]]-表1[[#This Row],[退款金额]]</f>
        <v>3202.6227375635672</v>
      </c>
      <c r="K679" s="1">
        <v>755</v>
      </c>
      <c r="L679" s="1">
        <v>40</v>
      </c>
    </row>
    <row r="680" spans="1:12" x14ac:dyDescent="0.3">
      <c r="A680" s="2">
        <v>45912</v>
      </c>
      <c r="B680" s="1" t="s">
        <v>25</v>
      </c>
      <c r="C680" s="1" t="s">
        <v>10</v>
      </c>
      <c r="D680" s="1" t="s">
        <v>100</v>
      </c>
      <c r="E680" s="1" t="s">
        <v>13</v>
      </c>
      <c r="F680" s="1" t="s">
        <v>14</v>
      </c>
      <c r="G680" s="4">
        <v>18</v>
      </c>
      <c r="H680" s="4">
        <v>5274</v>
      </c>
      <c r="I680" s="6">
        <v>4888.3772624364328</v>
      </c>
      <c r="J680" s="6">
        <f>表1[[#This Row],[销售金额]]-表1[[#This Row],[退款金额]]</f>
        <v>385.62273756356717</v>
      </c>
      <c r="K680" s="1">
        <v>755</v>
      </c>
      <c r="L680" s="1">
        <v>40</v>
      </c>
    </row>
    <row r="681" spans="1:12" x14ac:dyDescent="0.3">
      <c r="A681" s="2">
        <v>45912</v>
      </c>
      <c r="B681" s="1" t="s">
        <v>25</v>
      </c>
      <c r="C681" s="1" t="s">
        <v>10</v>
      </c>
      <c r="D681" s="1" t="s">
        <v>100</v>
      </c>
      <c r="E681" s="1" t="s">
        <v>13</v>
      </c>
      <c r="F681" s="1" t="s">
        <v>14</v>
      </c>
      <c r="G681" s="4">
        <v>18</v>
      </c>
      <c r="H681" s="4">
        <v>7001</v>
      </c>
      <c r="I681" s="6">
        <v>4888.3772624364328</v>
      </c>
      <c r="J681" s="6">
        <f>表1[[#This Row],[销售金额]]-表1[[#This Row],[退款金额]]</f>
        <v>2112.6227375635672</v>
      </c>
      <c r="K681" s="1">
        <v>755</v>
      </c>
      <c r="L681" s="1">
        <v>40</v>
      </c>
    </row>
    <row r="682" spans="1:12" x14ac:dyDescent="0.3">
      <c r="A682" s="2">
        <v>45912</v>
      </c>
      <c r="B682" s="1" t="s">
        <v>25</v>
      </c>
      <c r="C682" s="1" t="s">
        <v>10</v>
      </c>
      <c r="D682" s="1" t="s">
        <v>100</v>
      </c>
      <c r="E682" s="1" t="s">
        <v>13</v>
      </c>
      <c r="F682" s="1" t="s">
        <v>14</v>
      </c>
      <c r="G682" s="4">
        <v>18</v>
      </c>
      <c r="H682" s="4">
        <v>5022</v>
      </c>
      <c r="I682" s="6">
        <v>4888.3772624364328</v>
      </c>
      <c r="J682" s="6">
        <f>表1[[#This Row],[销售金额]]-表1[[#This Row],[退款金额]]</f>
        <v>133.62273756356717</v>
      </c>
      <c r="K682" s="1">
        <v>755</v>
      </c>
      <c r="L682" s="1">
        <v>40</v>
      </c>
    </row>
    <row r="683" spans="1:12" x14ac:dyDescent="0.3">
      <c r="A683" s="2">
        <v>45912</v>
      </c>
      <c r="B683" s="1" t="s">
        <v>25</v>
      </c>
      <c r="C683" s="1" t="s">
        <v>10</v>
      </c>
      <c r="D683" s="1" t="s">
        <v>100</v>
      </c>
      <c r="E683" s="1" t="s">
        <v>13</v>
      </c>
      <c r="F683" s="1" t="s">
        <v>14</v>
      </c>
      <c r="G683" s="4">
        <v>18</v>
      </c>
      <c r="H683" s="4">
        <v>6552</v>
      </c>
      <c r="I683" s="6">
        <v>4888.3772624364328</v>
      </c>
      <c r="J683" s="6">
        <f>表1[[#This Row],[销售金额]]-表1[[#This Row],[退款金额]]</f>
        <v>1663.6227375635672</v>
      </c>
      <c r="K683" s="1">
        <v>755</v>
      </c>
      <c r="L683" s="1">
        <v>40</v>
      </c>
    </row>
    <row r="684" spans="1:12" x14ac:dyDescent="0.3">
      <c r="A684" s="2">
        <v>45912</v>
      </c>
      <c r="B684" s="1" t="s">
        <v>25</v>
      </c>
      <c r="C684" s="1" t="s">
        <v>10</v>
      </c>
      <c r="D684" s="1" t="s">
        <v>100</v>
      </c>
      <c r="E684" s="1" t="s">
        <v>13</v>
      </c>
      <c r="F684" s="1" t="s">
        <v>14</v>
      </c>
      <c r="G684" s="4">
        <v>18</v>
      </c>
      <c r="H684" s="4">
        <v>6068</v>
      </c>
      <c r="I684" s="6">
        <v>4888.3772624364328</v>
      </c>
      <c r="J684" s="6">
        <f>表1[[#This Row],[销售金额]]-表1[[#This Row],[退款金额]]</f>
        <v>1179.6227375635672</v>
      </c>
      <c r="K684" s="1">
        <v>755</v>
      </c>
      <c r="L684" s="1">
        <v>40</v>
      </c>
    </row>
    <row r="685" spans="1:12" x14ac:dyDescent="0.3">
      <c r="A685" s="2">
        <v>45912</v>
      </c>
      <c r="B685" s="1" t="s">
        <v>25</v>
      </c>
      <c r="C685" s="1" t="s">
        <v>10</v>
      </c>
      <c r="D685" s="1" t="s">
        <v>100</v>
      </c>
      <c r="E685" s="1" t="s">
        <v>13</v>
      </c>
      <c r="F685" s="1" t="s">
        <v>14</v>
      </c>
      <c r="G685" s="4">
        <v>18</v>
      </c>
      <c r="H685" s="4">
        <v>6625</v>
      </c>
      <c r="I685" s="6">
        <v>4888.3772624364328</v>
      </c>
      <c r="J685" s="6">
        <f>表1[[#This Row],[销售金额]]-表1[[#This Row],[退款金额]]</f>
        <v>1736.6227375635672</v>
      </c>
      <c r="K685" s="1">
        <v>755</v>
      </c>
      <c r="L685" s="1">
        <v>40</v>
      </c>
    </row>
    <row r="686" spans="1:12" x14ac:dyDescent="0.3">
      <c r="A686" s="2">
        <v>45912</v>
      </c>
      <c r="B686" s="1" t="s">
        <v>25</v>
      </c>
      <c r="C686" s="1" t="s">
        <v>10</v>
      </c>
      <c r="D686" s="1" t="s">
        <v>100</v>
      </c>
      <c r="E686" s="1" t="s">
        <v>13</v>
      </c>
      <c r="F686" s="1" t="s">
        <v>14</v>
      </c>
      <c r="G686" s="4">
        <v>18</v>
      </c>
      <c r="H686" s="4">
        <v>6055</v>
      </c>
      <c r="I686" s="6">
        <v>4888.3772624364328</v>
      </c>
      <c r="J686" s="6">
        <f>表1[[#This Row],[销售金额]]-表1[[#This Row],[退款金额]]</f>
        <v>1166.6227375635672</v>
      </c>
      <c r="K686" s="1">
        <v>755</v>
      </c>
      <c r="L686" s="1">
        <v>40</v>
      </c>
    </row>
    <row r="687" spans="1:12" x14ac:dyDescent="0.3">
      <c r="A687" s="2">
        <v>45912</v>
      </c>
      <c r="B687" s="1" t="s">
        <v>25</v>
      </c>
      <c r="C687" s="1" t="s">
        <v>10</v>
      </c>
      <c r="D687" s="1" t="s">
        <v>100</v>
      </c>
      <c r="E687" s="1" t="s">
        <v>13</v>
      </c>
      <c r="F687" s="1" t="s">
        <v>14</v>
      </c>
      <c r="G687" s="4">
        <v>18</v>
      </c>
      <c r="H687" s="4">
        <v>9446</v>
      </c>
      <c r="I687" s="6">
        <v>4888.3772624364328</v>
      </c>
      <c r="J687" s="6">
        <f>表1[[#This Row],[销售金额]]-表1[[#This Row],[退款金额]]</f>
        <v>4557.6227375635672</v>
      </c>
      <c r="K687" s="1">
        <v>755</v>
      </c>
      <c r="L687" s="1">
        <v>40</v>
      </c>
    </row>
    <row r="688" spans="1:12" x14ac:dyDescent="0.3">
      <c r="A688" s="2">
        <v>45912</v>
      </c>
      <c r="B688" s="1" t="s">
        <v>25</v>
      </c>
      <c r="C688" s="1" t="s">
        <v>10</v>
      </c>
      <c r="D688" s="1" t="s">
        <v>100</v>
      </c>
      <c r="E688" s="1" t="s">
        <v>13</v>
      </c>
      <c r="F688" s="1" t="s">
        <v>14</v>
      </c>
      <c r="G688" s="4">
        <v>18</v>
      </c>
      <c r="H688" s="4">
        <v>5328</v>
      </c>
      <c r="I688" s="6">
        <v>4888.3772624364328</v>
      </c>
      <c r="J688" s="6">
        <f>表1[[#This Row],[销售金额]]-表1[[#This Row],[退款金额]]</f>
        <v>439.62273756356717</v>
      </c>
      <c r="K688" s="1">
        <v>755</v>
      </c>
      <c r="L688" s="1">
        <v>40</v>
      </c>
    </row>
    <row r="689" spans="1:12" x14ac:dyDescent="0.3">
      <c r="A689" s="2">
        <v>45912</v>
      </c>
      <c r="B689" s="1" t="s">
        <v>25</v>
      </c>
      <c r="C689" s="1" t="s">
        <v>10</v>
      </c>
      <c r="D689" s="1" t="s">
        <v>100</v>
      </c>
      <c r="E689" s="1" t="s">
        <v>13</v>
      </c>
      <c r="F689" s="1" t="s">
        <v>14</v>
      </c>
      <c r="G689" s="4">
        <v>18</v>
      </c>
      <c r="H689" s="4">
        <v>8216</v>
      </c>
      <c r="I689" s="6">
        <v>4888.3772624364328</v>
      </c>
      <c r="J689" s="6">
        <f>表1[[#This Row],[销售金额]]-表1[[#This Row],[退款金额]]</f>
        <v>3327.6227375635672</v>
      </c>
      <c r="K689" s="1">
        <v>755</v>
      </c>
      <c r="L689" s="1">
        <v>40</v>
      </c>
    </row>
    <row r="690" spans="1:12" x14ac:dyDescent="0.3">
      <c r="A690" s="2">
        <v>45912</v>
      </c>
      <c r="B690" s="1" t="s">
        <v>25</v>
      </c>
      <c r="C690" s="1" t="s">
        <v>10</v>
      </c>
      <c r="D690" s="1" t="s">
        <v>100</v>
      </c>
      <c r="E690" s="1" t="s">
        <v>13</v>
      </c>
      <c r="F690" s="1" t="s">
        <v>14</v>
      </c>
      <c r="G690" s="4">
        <v>18</v>
      </c>
      <c r="H690" s="4">
        <v>8725</v>
      </c>
      <c r="I690" s="6">
        <v>4888.3772624364328</v>
      </c>
      <c r="J690" s="6">
        <f>表1[[#This Row],[销售金额]]-表1[[#This Row],[退款金额]]</f>
        <v>3836.6227375635672</v>
      </c>
      <c r="K690" s="1">
        <v>755</v>
      </c>
      <c r="L690" s="1">
        <v>40</v>
      </c>
    </row>
    <row r="691" spans="1:12" x14ac:dyDescent="0.3">
      <c r="A691" s="2">
        <v>45912</v>
      </c>
      <c r="B691" s="1" t="s">
        <v>25</v>
      </c>
      <c r="C691" s="1" t="s">
        <v>10</v>
      </c>
      <c r="D691" s="1" t="s">
        <v>100</v>
      </c>
      <c r="E691" s="1" t="s">
        <v>13</v>
      </c>
      <c r="F691" s="1" t="s">
        <v>14</v>
      </c>
      <c r="G691" s="4">
        <v>18</v>
      </c>
      <c r="H691" s="4">
        <v>8046</v>
      </c>
      <c r="I691" s="6">
        <v>4888.3772624364328</v>
      </c>
      <c r="J691" s="6">
        <f>表1[[#This Row],[销售金额]]-表1[[#This Row],[退款金额]]</f>
        <v>3157.6227375635672</v>
      </c>
      <c r="K691" s="1">
        <v>755</v>
      </c>
      <c r="L691" s="1">
        <v>40</v>
      </c>
    </row>
    <row r="692" spans="1:12" x14ac:dyDescent="0.3">
      <c r="A692" s="2">
        <v>45912</v>
      </c>
      <c r="B692" s="1" t="s">
        <v>25</v>
      </c>
      <c r="C692" s="1" t="s">
        <v>10</v>
      </c>
      <c r="D692" s="1" t="s">
        <v>100</v>
      </c>
      <c r="E692" s="1" t="s">
        <v>13</v>
      </c>
      <c r="F692" s="1" t="s">
        <v>14</v>
      </c>
      <c r="G692" s="4">
        <v>18</v>
      </c>
      <c r="H692" s="4">
        <v>5242</v>
      </c>
      <c r="I692" s="6">
        <v>4888.3772624364328</v>
      </c>
      <c r="J692" s="6">
        <f>表1[[#This Row],[销售金额]]-表1[[#This Row],[退款金额]]</f>
        <v>353.62273756356717</v>
      </c>
      <c r="K692" s="1">
        <v>755</v>
      </c>
      <c r="L692" s="1">
        <v>40</v>
      </c>
    </row>
    <row r="693" spans="1:12" x14ac:dyDescent="0.3">
      <c r="A693" s="2">
        <v>45912</v>
      </c>
      <c r="B693" s="1" t="s">
        <v>25</v>
      </c>
      <c r="C693" s="1" t="s">
        <v>10</v>
      </c>
      <c r="D693" s="1" t="s">
        <v>100</v>
      </c>
      <c r="E693" s="1" t="s">
        <v>13</v>
      </c>
      <c r="F693" s="1" t="s">
        <v>14</v>
      </c>
      <c r="G693" s="4">
        <v>18</v>
      </c>
      <c r="H693" s="4">
        <v>5876</v>
      </c>
      <c r="I693" s="6">
        <v>4888.3772624364328</v>
      </c>
      <c r="J693" s="6">
        <f>表1[[#This Row],[销售金额]]-表1[[#This Row],[退款金额]]</f>
        <v>987.62273756356717</v>
      </c>
      <c r="K693" s="1">
        <v>755</v>
      </c>
      <c r="L693" s="1">
        <v>40</v>
      </c>
    </row>
    <row r="694" spans="1:12" x14ac:dyDescent="0.3">
      <c r="A694" s="2">
        <v>45912</v>
      </c>
      <c r="B694" s="1" t="s">
        <v>25</v>
      </c>
      <c r="C694" s="1" t="s">
        <v>10</v>
      </c>
      <c r="D694" s="1" t="s">
        <v>100</v>
      </c>
      <c r="E694" s="1" t="s">
        <v>13</v>
      </c>
      <c r="F694" s="1" t="s">
        <v>14</v>
      </c>
      <c r="G694" s="4">
        <v>18</v>
      </c>
      <c r="H694" s="4">
        <v>8771</v>
      </c>
      <c r="I694" s="6">
        <v>4888.3772624364328</v>
      </c>
      <c r="J694" s="6">
        <f>表1[[#This Row],[销售金额]]-表1[[#This Row],[退款金额]]</f>
        <v>3882.6227375635672</v>
      </c>
      <c r="K694" s="1">
        <v>755</v>
      </c>
      <c r="L694" s="1">
        <v>40</v>
      </c>
    </row>
    <row r="695" spans="1:12" x14ac:dyDescent="0.3">
      <c r="A695" s="2">
        <v>45912</v>
      </c>
      <c r="B695" s="1" t="s">
        <v>247</v>
      </c>
      <c r="C695" s="1" t="s">
        <v>19</v>
      </c>
      <c r="D695" s="1" t="s">
        <v>110</v>
      </c>
      <c r="E695" s="1" t="s">
        <v>17</v>
      </c>
      <c r="F695" s="1" t="s">
        <v>18</v>
      </c>
      <c r="G695" s="4">
        <v>19</v>
      </c>
      <c r="H695" s="4">
        <v>20899</v>
      </c>
      <c r="I695" s="6">
        <v>19956.460743007607</v>
      </c>
      <c r="J695" s="6">
        <f>表1[[#This Row],[销售金额]]-表1[[#This Row],[退款金额]]</f>
        <v>942.53925699239335</v>
      </c>
      <c r="K695" s="1">
        <v>596</v>
      </c>
      <c r="L695" s="1">
        <v>792</v>
      </c>
    </row>
    <row r="696" spans="1:12" x14ac:dyDescent="0.3">
      <c r="A696" s="2">
        <v>45912</v>
      </c>
      <c r="B696" s="1" t="s">
        <v>247</v>
      </c>
      <c r="C696" s="1" t="s">
        <v>19</v>
      </c>
      <c r="D696" s="1" t="s">
        <v>110</v>
      </c>
      <c r="E696" s="1" t="s">
        <v>17</v>
      </c>
      <c r="F696" s="1" t="s">
        <v>18</v>
      </c>
      <c r="G696" s="4">
        <v>19</v>
      </c>
      <c r="H696" s="4">
        <v>23668</v>
      </c>
      <c r="I696" s="6">
        <v>19956.460743007607</v>
      </c>
      <c r="J696" s="6">
        <f>表1[[#This Row],[销售金额]]-表1[[#This Row],[退款金额]]</f>
        <v>3711.5392569923933</v>
      </c>
      <c r="K696" s="1">
        <v>596</v>
      </c>
      <c r="L696" s="1">
        <v>792</v>
      </c>
    </row>
    <row r="697" spans="1:12" x14ac:dyDescent="0.3">
      <c r="A697" s="2">
        <v>45912</v>
      </c>
      <c r="B697" s="1" t="s">
        <v>247</v>
      </c>
      <c r="C697" s="1" t="s">
        <v>19</v>
      </c>
      <c r="D697" s="1" t="s">
        <v>110</v>
      </c>
      <c r="E697" s="1" t="s">
        <v>17</v>
      </c>
      <c r="F697" s="1" t="s">
        <v>18</v>
      </c>
      <c r="G697" s="4">
        <v>19</v>
      </c>
      <c r="H697" s="4">
        <v>21312</v>
      </c>
      <c r="I697" s="6">
        <v>19956.460743007607</v>
      </c>
      <c r="J697" s="6">
        <f>表1[[#This Row],[销售金额]]-表1[[#This Row],[退款金额]]</f>
        <v>1355.5392569923933</v>
      </c>
      <c r="K697" s="1">
        <v>596</v>
      </c>
      <c r="L697" s="1">
        <v>792</v>
      </c>
    </row>
    <row r="698" spans="1:12" x14ac:dyDescent="0.3">
      <c r="A698" s="2">
        <v>45912</v>
      </c>
      <c r="B698" s="1" t="s">
        <v>247</v>
      </c>
      <c r="C698" s="1" t="s">
        <v>19</v>
      </c>
      <c r="D698" s="1" t="s">
        <v>110</v>
      </c>
      <c r="E698" s="1" t="s">
        <v>17</v>
      </c>
      <c r="F698" s="1" t="s">
        <v>18</v>
      </c>
      <c r="G698" s="4">
        <v>19</v>
      </c>
      <c r="H698" s="4">
        <v>24354</v>
      </c>
      <c r="I698" s="6">
        <v>19956.460743007607</v>
      </c>
      <c r="J698" s="6">
        <f>表1[[#This Row],[销售金额]]-表1[[#This Row],[退款金额]]</f>
        <v>4397.5392569923933</v>
      </c>
      <c r="K698" s="1">
        <v>596</v>
      </c>
      <c r="L698" s="1">
        <v>792</v>
      </c>
    </row>
    <row r="699" spans="1:12" x14ac:dyDescent="0.3">
      <c r="A699" s="2">
        <v>45912</v>
      </c>
      <c r="B699" s="1" t="s">
        <v>247</v>
      </c>
      <c r="C699" s="1" t="s">
        <v>19</v>
      </c>
      <c r="D699" s="1" t="s">
        <v>110</v>
      </c>
      <c r="E699" s="1" t="s">
        <v>17</v>
      </c>
      <c r="F699" s="1" t="s">
        <v>18</v>
      </c>
      <c r="G699" s="4">
        <v>19</v>
      </c>
      <c r="H699" s="4">
        <v>21104</v>
      </c>
      <c r="I699" s="6">
        <v>19956.460743007607</v>
      </c>
      <c r="J699" s="6">
        <f>表1[[#This Row],[销售金额]]-表1[[#This Row],[退款金额]]</f>
        <v>1147.5392569923933</v>
      </c>
      <c r="K699" s="1">
        <v>596</v>
      </c>
      <c r="L699" s="1">
        <v>792</v>
      </c>
    </row>
    <row r="700" spans="1:12" x14ac:dyDescent="0.3">
      <c r="A700" s="2">
        <v>45912</v>
      </c>
      <c r="B700" s="1" t="s">
        <v>247</v>
      </c>
      <c r="C700" s="1" t="s">
        <v>19</v>
      </c>
      <c r="D700" s="1" t="s">
        <v>110</v>
      </c>
      <c r="E700" s="1" t="s">
        <v>17</v>
      </c>
      <c r="F700" s="1" t="s">
        <v>18</v>
      </c>
      <c r="G700" s="4">
        <v>19</v>
      </c>
      <c r="H700" s="4">
        <v>20871</v>
      </c>
      <c r="I700" s="6">
        <v>19956.460743007607</v>
      </c>
      <c r="J700" s="6">
        <f>表1[[#This Row],[销售金额]]-表1[[#This Row],[退款金额]]</f>
        <v>914.53925699239335</v>
      </c>
      <c r="K700" s="1">
        <v>596</v>
      </c>
      <c r="L700" s="1">
        <v>792</v>
      </c>
    </row>
    <row r="701" spans="1:12" x14ac:dyDescent="0.3">
      <c r="A701" s="2">
        <v>45912</v>
      </c>
      <c r="B701" s="1" t="s">
        <v>247</v>
      </c>
      <c r="C701" s="1" t="s">
        <v>19</v>
      </c>
      <c r="D701" s="1" t="s">
        <v>110</v>
      </c>
      <c r="E701" s="1" t="s">
        <v>17</v>
      </c>
      <c r="F701" s="1" t="s">
        <v>18</v>
      </c>
      <c r="G701" s="4">
        <v>19</v>
      </c>
      <c r="H701" s="4">
        <v>22682</v>
      </c>
      <c r="I701" s="6">
        <v>19956.460743007607</v>
      </c>
      <c r="J701" s="6">
        <f>表1[[#This Row],[销售金额]]-表1[[#This Row],[退款金额]]</f>
        <v>2725.5392569923933</v>
      </c>
      <c r="K701" s="1">
        <v>596</v>
      </c>
      <c r="L701" s="1">
        <v>792</v>
      </c>
    </row>
    <row r="702" spans="1:12" x14ac:dyDescent="0.3">
      <c r="A702" s="2">
        <v>45912</v>
      </c>
      <c r="B702" s="1" t="s">
        <v>247</v>
      </c>
      <c r="C702" s="1" t="s">
        <v>19</v>
      </c>
      <c r="D702" s="1" t="s">
        <v>110</v>
      </c>
      <c r="E702" s="1" t="s">
        <v>17</v>
      </c>
      <c r="F702" s="1" t="s">
        <v>18</v>
      </c>
      <c r="G702" s="4">
        <v>19</v>
      </c>
      <c r="H702" s="4">
        <v>21305</v>
      </c>
      <c r="I702" s="6">
        <v>19956.460743007607</v>
      </c>
      <c r="J702" s="6">
        <f>表1[[#This Row],[销售金额]]-表1[[#This Row],[退款金额]]</f>
        <v>1348.5392569923933</v>
      </c>
      <c r="K702" s="1">
        <v>596</v>
      </c>
      <c r="L702" s="1">
        <v>792</v>
      </c>
    </row>
    <row r="703" spans="1:12" x14ac:dyDescent="0.3">
      <c r="A703" s="2">
        <v>45912</v>
      </c>
      <c r="B703" s="1" t="s">
        <v>247</v>
      </c>
      <c r="C703" s="1" t="s">
        <v>19</v>
      </c>
      <c r="D703" s="1" t="s">
        <v>110</v>
      </c>
      <c r="E703" s="1" t="s">
        <v>17</v>
      </c>
      <c r="F703" s="1" t="s">
        <v>18</v>
      </c>
      <c r="G703" s="4">
        <v>19</v>
      </c>
      <c r="H703" s="4">
        <v>23649</v>
      </c>
      <c r="I703" s="6">
        <v>19956.460743007607</v>
      </c>
      <c r="J703" s="6">
        <f>表1[[#This Row],[销售金额]]-表1[[#This Row],[退款金额]]</f>
        <v>3692.5392569923933</v>
      </c>
      <c r="K703" s="1">
        <v>596</v>
      </c>
      <c r="L703" s="1">
        <v>792</v>
      </c>
    </row>
    <row r="704" spans="1:12" x14ac:dyDescent="0.3">
      <c r="A704" s="2">
        <v>45913</v>
      </c>
      <c r="B704" s="1" t="s">
        <v>11</v>
      </c>
      <c r="C704" s="1" t="s">
        <v>32</v>
      </c>
      <c r="D704" s="1" t="s">
        <v>220</v>
      </c>
      <c r="E704" s="1" t="s">
        <v>30</v>
      </c>
      <c r="F704" s="1" t="s">
        <v>31</v>
      </c>
      <c r="G704" s="4">
        <v>1</v>
      </c>
      <c r="H704" s="4">
        <v>3546</v>
      </c>
      <c r="I704" s="6">
        <v>578.10180400647994</v>
      </c>
      <c r="J704" s="6">
        <f>表1[[#This Row],[销售金额]]-表1[[#This Row],[退款金额]]</f>
        <v>2967.8981959935199</v>
      </c>
      <c r="K704" s="1">
        <v>293</v>
      </c>
      <c r="L704" s="1">
        <v>750</v>
      </c>
    </row>
    <row r="705" spans="1:12" x14ac:dyDescent="0.3">
      <c r="A705" s="2">
        <v>45913</v>
      </c>
      <c r="B705" s="1" t="s">
        <v>11</v>
      </c>
      <c r="C705" s="1" t="s">
        <v>32</v>
      </c>
      <c r="D705" s="1" t="s">
        <v>220</v>
      </c>
      <c r="E705" s="1" t="s">
        <v>30</v>
      </c>
      <c r="F705" s="1" t="s">
        <v>31</v>
      </c>
      <c r="G705" s="4">
        <v>1</v>
      </c>
      <c r="H705" s="4">
        <v>5167</v>
      </c>
      <c r="I705" s="6">
        <v>578.10180400647994</v>
      </c>
      <c r="J705" s="6">
        <f>表1[[#This Row],[销售金额]]-表1[[#This Row],[退款金额]]</f>
        <v>4588.8981959935199</v>
      </c>
      <c r="K705" s="1">
        <v>293</v>
      </c>
      <c r="L705" s="1">
        <v>750</v>
      </c>
    </row>
    <row r="706" spans="1:12" x14ac:dyDescent="0.3">
      <c r="A706" s="2">
        <v>45913</v>
      </c>
      <c r="B706" s="1" t="s">
        <v>11</v>
      </c>
      <c r="C706" s="1" t="s">
        <v>32</v>
      </c>
      <c r="D706" s="1" t="s">
        <v>220</v>
      </c>
      <c r="E706" s="1" t="s">
        <v>30</v>
      </c>
      <c r="F706" s="1" t="s">
        <v>31</v>
      </c>
      <c r="G706" s="4">
        <v>1</v>
      </c>
      <c r="H706" s="4">
        <v>1610</v>
      </c>
      <c r="I706" s="6">
        <v>578.10180400647994</v>
      </c>
      <c r="J706" s="6">
        <f>表1[[#This Row],[销售金额]]-表1[[#This Row],[退款金额]]</f>
        <v>1031.8981959935199</v>
      </c>
      <c r="K706" s="1">
        <v>293</v>
      </c>
      <c r="L706" s="1">
        <v>750</v>
      </c>
    </row>
    <row r="707" spans="1:12" x14ac:dyDescent="0.3">
      <c r="A707" s="2">
        <v>45913</v>
      </c>
      <c r="B707" s="1" t="s">
        <v>11</v>
      </c>
      <c r="C707" s="1" t="s">
        <v>32</v>
      </c>
      <c r="D707" s="1" t="s">
        <v>220</v>
      </c>
      <c r="E707" s="1" t="s">
        <v>30</v>
      </c>
      <c r="F707" s="1" t="s">
        <v>31</v>
      </c>
      <c r="G707" s="4">
        <v>1</v>
      </c>
      <c r="H707" s="4">
        <v>933</v>
      </c>
      <c r="I707" s="6">
        <v>578.10180400647994</v>
      </c>
      <c r="J707" s="6">
        <f>表1[[#This Row],[销售金额]]-表1[[#This Row],[退款金额]]</f>
        <v>354.89819599352006</v>
      </c>
      <c r="K707" s="1">
        <v>293</v>
      </c>
      <c r="L707" s="1">
        <v>750</v>
      </c>
    </row>
    <row r="708" spans="1:12" x14ac:dyDescent="0.3">
      <c r="A708" s="2">
        <v>45913</v>
      </c>
      <c r="B708" s="1" t="s">
        <v>11</v>
      </c>
      <c r="C708" s="1" t="s">
        <v>32</v>
      </c>
      <c r="D708" s="1" t="s">
        <v>220</v>
      </c>
      <c r="E708" s="1" t="s">
        <v>30</v>
      </c>
      <c r="F708" s="1" t="s">
        <v>31</v>
      </c>
      <c r="G708" s="4">
        <v>1</v>
      </c>
      <c r="H708" s="4">
        <v>1351</v>
      </c>
      <c r="I708" s="6">
        <v>578.10180400647994</v>
      </c>
      <c r="J708" s="6">
        <f>表1[[#This Row],[销售金额]]-表1[[#This Row],[退款金额]]</f>
        <v>772.89819599352006</v>
      </c>
      <c r="K708" s="1">
        <v>293</v>
      </c>
      <c r="L708" s="1">
        <v>750</v>
      </c>
    </row>
    <row r="709" spans="1:12" x14ac:dyDescent="0.3">
      <c r="A709" s="2">
        <v>45913</v>
      </c>
      <c r="B709" s="1" t="s">
        <v>11</v>
      </c>
      <c r="C709" s="1" t="s">
        <v>32</v>
      </c>
      <c r="D709" s="1" t="s">
        <v>220</v>
      </c>
      <c r="E709" s="1" t="s">
        <v>30</v>
      </c>
      <c r="F709" s="1" t="s">
        <v>31</v>
      </c>
      <c r="G709" s="4">
        <v>1</v>
      </c>
      <c r="H709" s="4">
        <v>3433</v>
      </c>
      <c r="I709" s="6">
        <v>578.10180400647994</v>
      </c>
      <c r="J709" s="6">
        <f>表1[[#This Row],[销售金额]]-表1[[#This Row],[退款金额]]</f>
        <v>2854.8981959935199</v>
      </c>
      <c r="K709" s="1">
        <v>293</v>
      </c>
      <c r="L709" s="1">
        <v>750</v>
      </c>
    </row>
    <row r="710" spans="1:12" x14ac:dyDescent="0.3">
      <c r="A710" s="2">
        <v>45913</v>
      </c>
      <c r="B710" s="1" t="s">
        <v>11</v>
      </c>
      <c r="C710" s="1" t="s">
        <v>32</v>
      </c>
      <c r="D710" s="1" t="s">
        <v>220</v>
      </c>
      <c r="E710" s="1" t="s">
        <v>30</v>
      </c>
      <c r="F710" s="1" t="s">
        <v>31</v>
      </c>
      <c r="G710" s="4">
        <v>1</v>
      </c>
      <c r="H710" s="4">
        <v>2271</v>
      </c>
      <c r="I710" s="6">
        <v>578.10180400647994</v>
      </c>
      <c r="J710" s="6">
        <f>表1[[#This Row],[销售金额]]-表1[[#This Row],[退款金额]]</f>
        <v>1692.8981959935199</v>
      </c>
      <c r="K710" s="1">
        <v>293</v>
      </c>
      <c r="L710" s="1">
        <v>750</v>
      </c>
    </row>
    <row r="711" spans="1:12" x14ac:dyDescent="0.3">
      <c r="A711" s="2">
        <v>45913</v>
      </c>
      <c r="B711" s="1" t="s">
        <v>11</v>
      </c>
      <c r="C711" s="1" t="s">
        <v>32</v>
      </c>
      <c r="D711" s="1" t="s">
        <v>220</v>
      </c>
      <c r="E711" s="1" t="s">
        <v>30</v>
      </c>
      <c r="F711" s="1" t="s">
        <v>31</v>
      </c>
      <c r="G711" s="4">
        <v>1</v>
      </c>
      <c r="H711" s="4">
        <v>1421</v>
      </c>
      <c r="I711" s="6">
        <v>578.10180400647994</v>
      </c>
      <c r="J711" s="6">
        <f>表1[[#This Row],[销售金额]]-表1[[#This Row],[退款金额]]</f>
        <v>842.89819599352006</v>
      </c>
      <c r="K711" s="1">
        <v>293</v>
      </c>
      <c r="L711" s="1">
        <v>750</v>
      </c>
    </row>
    <row r="712" spans="1:12" x14ac:dyDescent="0.3">
      <c r="A712" s="2">
        <v>45913</v>
      </c>
      <c r="B712" s="1" t="s">
        <v>11</v>
      </c>
      <c r="C712" s="1" t="s">
        <v>32</v>
      </c>
      <c r="D712" s="1" t="s">
        <v>220</v>
      </c>
      <c r="E712" s="1" t="s">
        <v>30</v>
      </c>
      <c r="F712" s="1" t="s">
        <v>31</v>
      </c>
      <c r="G712" s="4">
        <v>1</v>
      </c>
      <c r="H712" s="4">
        <v>2921</v>
      </c>
      <c r="I712" s="6">
        <v>578.10180400647994</v>
      </c>
      <c r="J712" s="6">
        <f>表1[[#This Row],[销售金额]]-表1[[#This Row],[退款金额]]</f>
        <v>2342.8981959935199</v>
      </c>
      <c r="K712" s="1">
        <v>293</v>
      </c>
      <c r="L712" s="1">
        <v>750</v>
      </c>
    </row>
    <row r="713" spans="1:12" x14ac:dyDescent="0.3">
      <c r="A713" s="2">
        <v>45913</v>
      </c>
      <c r="B713" s="1" t="s">
        <v>25</v>
      </c>
      <c r="C713" s="1" t="s">
        <v>19</v>
      </c>
      <c r="D713" s="1" t="s">
        <v>103</v>
      </c>
      <c r="E713" s="1" t="s">
        <v>51</v>
      </c>
      <c r="F713" s="1" t="s">
        <v>52</v>
      </c>
      <c r="G713" s="4">
        <v>3</v>
      </c>
      <c r="H713" s="4">
        <v>4333</v>
      </c>
      <c r="I713" s="6">
        <v>1875.3020797273477</v>
      </c>
      <c r="J713" s="6">
        <f>表1[[#This Row],[销售金额]]-表1[[#This Row],[退款金额]]</f>
        <v>2457.6979202726525</v>
      </c>
      <c r="K713" s="1">
        <v>380</v>
      </c>
      <c r="L713" s="1">
        <v>818</v>
      </c>
    </row>
    <row r="714" spans="1:12" x14ac:dyDescent="0.3">
      <c r="A714" s="2">
        <v>45913</v>
      </c>
      <c r="B714" s="1" t="s">
        <v>25</v>
      </c>
      <c r="C714" s="1" t="s">
        <v>19</v>
      </c>
      <c r="D714" s="1" t="s">
        <v>103</v>
      </c>
      <c r="E714" s="1" t="s">
        <v>51</v>
      </c>
      <c r="F714" s="1" t="s">
        <v>52</v>
      </c>
      <c r="G714" s="4">
        <v>3</v>
      </c>
      <c r="H714" s="4">
        <v>5389</v>
      </c>
      <c r="I714" s="6">
        <v>1875.3020797273477</v>
      </c>
      <c r="J714" s="6">
        <f>表1[[#This Row],[销售金额]]-表1[[#This Row],[退款金额]]</f>
        <v>3513.6979202726525</v>
      </c>
      <c r="K714" s="1">
        <v>380</v>
      </c>
      <c r="L714" s="1">
        <v>818</v>
      </c>
    </row>
    <row r="715" spans="1:12" x14ac:dyDescent="0.3">
      <c r="A715" s="2">
        <v>45913</v>
      </c>
      <c r="B715" s="1" t="s">
        <v>11</v>
      </c>
      <c r="C715" s="1" t="s">
        <v>10</v>
      </c>
      <c r="D715" s="1" t="s">
        <v>117</v>
      </c>
      <c r="E715" s="1" t="s">
        <v>34</v>
      </c>
      <c r="F715" s="1" t="s">
        <v>35</v>
      </c>
      <c r="G715" s="4">
        <v>3</v>
      </c>
      <c r="H715" s="4">
        <v>14636</v>
      </c>
      <c r="I715" s="6">
        <v>12159.444674925006</v>
      </c>
      <c r="J715" s="6">
        <f>表1[[#This Row],[销售金额]]-表1[[#This Row],[退款金额]]</f>
        <v>2476.5553250749945</v>
      </c>
      <c r="K715" s="1">
        <v>646</v>
      </c>
      <c r="L715" s="1">
        <v>369</v>
      </c>
    </row>
    <row r="716" spans="1:12" x14ac:dyDescent="0.3">
      <c r="A716" s="2">
        <v>45913</v>
      </c>
      <c r="B716" s="1" t="s">
        <v>25</v>
      </c>
      <c r="C716" s="1" t="s">
        <v>19</v>
      </c>
      <c r="D716" s="1" t="s">
        <v>103</v>
      </c>
      <c r="E716" s="1" t="s">
        <v>51</v>
      </c>
      <c r="F716" s="1" t="s">
        <v>52</v>
      </c>
      <c r="G716" s="4">
        <v>3</v>
      </c>
      <c r="H716" s="4">
        <v>6297</v>
      </c>
      <c r="I716" s="6">
        <v>1875.3020797273477</v>
      </c>
      <c r="J716" s="6">
        <f>表1[[#This Row],[销售金额]]-表1[[#This Row],[退款金额]]</f>
        <v>4421.6979202726525</v>
      </c>
      <c r="K716" s="1">
        <v>380</v>
      </c>
      <c r="L716" s="1">
        <v>818</v>
      </c>
    </row>
    <row r="717" spans="1:12" x14ac:dyDescent="0.3">
      <c r="A717" s="2">
        <v>45913</v>
      </c>
      <c r="B717" s="1" t="s">
        <v>25</v>
      </c>
      <c r="C717" s="1" t="s">
        <v>19</v>
      </c>
      <c r="D717" s="1" t="s">
        <v>103</v>
      </c>
      <c r="E717" s="1" t="s">
        <v>51</v>
      </c>
      <c r="F717" s="1" t="s">
        <v>52</v>
      </c>
      <c r="G717" s="4">
        <v>3</v>
      </c>
      <c r="H717" s="4">
        <v>3485</v>
      </c>
      <c r="I717" s="6">
        <v>1875.3020797273477</v>
      </c>
      <c r="J717" s="6">
        <f>表1[[#This Row],[销售金额]]-表1[[#This Row],[退款金额]]</f>
        <v>1609.6979202726523</v>
      </c>
      <c r="K717" s="1">
        <v>380</v>
      </c>
      <c r="L717" s="1">
        <v>818</v>
      </c>
    </row>
    <row r="718" spans="1:12" x14ac:dyDescent="0.3">
      <c r="A718" s="2">
        <v>45913</v>
      </c>
      <c r="B718" s="1" t="s">
        <v>11</v>
      </c>
      <c r="C718" s="1" t="s">
        <v>10</v>
      </c>
      <c r="D718" s="1" t="s">
        <v>117</v>
      </c>
      <c r="E718" s="1" t="s">
        <v>34</v>
      </c>
      <c r="F718" s="1" t="s">
        <v>35</v>
      </c>
      <c r="G718" s="4">
        <v>3</v>
      </c>
      <c r="H718" s="4">
        <v>15110</v>
      </c>
      <c r="I718" s="6">
        <v>12159.444674925006</v>
      </c>
      <c r="J718" s="6">
        <f>表1[[#This Row],[销售金额]]-表1[[#This Row],[退款金额]]</f>
        <v>2950.5553250749945</v>
      </c>
      <c r="K718" s="1">
        <v>646</v>
      </c>
      <c r="L718" s="1">
        <v>369</v>
      </c>
    </row>
    <row r="719" spans="1:12" x14ac:dyDescent="0.3">
      <c r="A719" s="2">
        <v>45913</v>
      </c>
      <c r="B719" s="1" t="s">
        <v>25</v>
      </c>
      <c r="C719" s="1" t="s">
        <v>19</v>
      </c>
      <c r="D719" s="1" t="s">
        <v>103</v>
      </c>
      <c r="E719" s="1" t="s">
        <v>51</v>
      </c>
      <c r="F719" s="1" t="s">
        <v>52</v>
      </c>
      <c r="G719" s="4">
        <v>3</v>
      </c>
      <c r="H719" s="4">
        <v>6696</v>
      </c>
      <c r="I719" s="6">
        <v>1875.3020797273477</v>
      </c>
      <c r="J719" s="6">
        <f>表1[[#This Row],[销售金额]]-表1[[#This Row],[退款金额]]</f>
        <v>4820.6979202726525</v>
      </c>
      <c r="K719" s="1">
        <v>380</v>
      </c>
      <c r="L719" s="1">
        <v>818</v>
      </c>
    </row>
    <row r="720" spans="1:12" x14ac:dyDescent="0.3">
      <c r="A720" s="2">
        <v>45913</v>
      </c>
      <c r="B720" s="1" t="s">
        <v>25</v>
      </c>
      <c r="C720" s="1" t="s">
        <v>19</v>
      </c>
      <c r="D720" s="1" t="s">
        <v>103</v>
      </c>
      <c r="E720" s="1" t="s">
        <v>51</v>
      </c>
      <c r="F720" s="1" t="s">
        <v>52</v>
      </c>
      <c r="G720" s="4">
        <v>3</v>
      </c>
      <c r="H720" s="4">
        <v>4878</v>
      </c>
      <c r="I720" s="6">
        <v>1875.3020797273477</v>
      </c>
      <c r="J720" s="6">
        <f>表1[[#This Row],[销售金额]]-表1[[#This Row],[退款金额]]</f>
        <v>3002.6979202726525</v>
      </c>
      <c r="K720" s="1">
        <v>380</v>
      </c>
      <c r="L720" s="1">
        <v>818</v>
      </c>
    </row>
    <row r="721" spans="1:12" x14ac:dyDescent="0.3">
      <c r="A721" s="2">
        <v>45913</v>
      </c>
      <c r="B721" s="1" t="s">
        <v>11</v>
      </c>
      <c r="C721" s="1" t="s">
        <v>10</v>
      </c>
      <c r="D721" s="1" t="s">
        <v>117</v>
      </c>
      <c r="E721" s="1" t="s">
        <v>34</v>
      </c>
      <c r="F721" s="1" t="s">
        <v>35</v>
      </c>
      <c r="G721" s="4">
        <v>3</v>
      </c>
      <c r="H721" s="4">
        <v>13169</v>
      </c>
      <c r="I721" s="6">
        <v>12159.444674925006</v>
      </c>
      <c r="J721" s="6">
        <f>表1[[#This Row],[销售金额]]-表1[[#This Row],[退款金额]]</f>
        <v>1009.5553250749945</v>
      </c>
      <c r="K721" s="1">
        <v>646</v>
      </c>
      <c r="L721" s="1">
        <v>369</v>
      </c>
    </row>
    <row r="722" spans="1:12" x14ac:dyDescent="0.3">
      <c r="A722" s="2">
        <v>45913</v>
      </c>
      <c r="B722" s="1" t="s">
        <v>25</v>
      </c>
      <c r="C722" s="1" t="s">
        <v>19</v>
      </c>
      <c r="D722" s="1" t="s">
        <v>103</v>
      </c>
      <c r="E722" s="1" t="s">
        <v>51</v>
      </c>
      <c r="F722" s="1" t="s">
        <v>52</v>
      </c>
      <c r="G722" s="4">
        <v>3</v>
      </c>
      <c r="H722" s="4">
        <v>4871</v>
      </c>
      <c r="I722" s="6">
        <v>1875.3020797273477</v>
      </c>
      <c r="J722" s="6">
        <f>表1[[#This Row],[销售金额]]-表1[[#This Row],[退款金额]]</f>
        <v>2995.6979202726525</v>
      </c>
      <c r="K722" s="1">
        <v>380</v>
      </c>
      <c r="L722" s="1">
        <v>818</v>
      </c>
    </row>
    <row r="723" spans="1:12" x14ac:dyDescent="0.3">
      <c r="A723" s="2">
        <v>45913</v>
      </c>
      <c r="B723" s="1" t="s">
        <v>25</v>
      </c>
      <c r="C723" s="1" t="s">
        <v>19</v>
      </c>
      <c r="D723" s="1" t="s">
        <v>103</v>
      </c>
      <c r="E723" s="1" t="s">
        <v>51</v>
      </c>
      <c r="F723" s="1" t="s">
        <v>52</v>
      </c>
      <c r="G723" s="4">
        <v>3</v>
      </c>
      <c r="H723" s="4">
        <v>6088</v>
      </c>
      <c r="I723" s="6">
        <v>1875.3020797273477</v>
      </c>
      <c r="J723" s="6">
        <f>表1[[#This Row],[销售金额]]-表1[[#This Row],[退款金额]]</f>
        <v>4212.6979202726525</v>
      </c>
      <c r="K723" s="1">
        <v>380</v>
      </c>
      <c r="L723" s="1">
        <v>818</v>
      </c>
    </row>
    <row r="724" spans="1:12" x14ac:dyDescent="0.3">
      <c r="A724" s="2">
        <v>45913</v>
      </c>
      <c r="B724" s="1" t="s">
        <v>11</v>
      </c>
      <c r="C724" s="1" t="s">
        <v>10</v>
      </c>
      <c r="D724" s="1" t="s">
        <v>117</v>
      </c>
      <c r="E724" s="1" t="s">
        <v>34</v>
      </c>
      <c r="F724" s="1" t="s">
        <v>35</v>
      </c>
      <c r="G724" s="4">
        <v>3</v>
      </c>
      <c r="H724" s="4">
        <v>14037</v>
      </c>
      <c r="I724" s="6">
        <v>12159.444674925006</v>
      </c>
      <c r="J724" s="6">
        <f>表1[[#This Row],[销售金额]]-表1[[#This Row],[退款金额]]</f>
        <v>1877.5553250749945</v>
      </c>
      <c r="K724" s="1">
        <v>646</v>
      </c>
      <c r="L724" s="1">
        <v>369</v>
      </c>
    </row>
    <row r="725" spans="1:12" x14ac:dyDescent="0.3">
      <c r="A725" s="2">
        <v>45913</v>
      </c>
      <c r="B725" s="1" t="s">
        <v>25</v>
      </c>
      <c r="C725" s="1" t="s">
        <v>19</v>
      </c>
      <c r="D725" s="1" t="s">
        <v>103</v>
      </c>
      <c r="E725" s="1" t="s">
        <v>51</v>
      </c>
      <c r="F725" s="1" t="s">
        <v>52</v>
      </c>
      <c r="G725" s="4">
        <v>3</v>
      </c>
      <c r="H725" s="4">
        <v>6596</v>
      </c>
      <c r="I725" s="6">
        <v>1875.3020797273477</v>
      </c>
      <c r="J725" s="6">
        <f>表1[[#This Row],[销售金额]]-表1[[#This Row],[退款金额]]</f>
        <v>4720.6979202726525</v>
      </c>
      <c r="K725" s="1">
        <v>380</v>
      </c>
      <c r="L725" s="1">
        <v>818</v>
      </c>
    </row>
    <row r="726" spans="1:12" x14ac:dyDescent="0.3">
      <c r="A726" s="2">
        <v>45913</v>
      </c>
      <c r="B726" s="1" t="s">
        <v>25</v>
      </c>
      <c r="C726" s="1" t="s">
        <v>19</v>
      </c>
      <c r="D726" s="1" t="s">
        <v>103</v>
      </c>
      <c r="E726" s="1" t="s">
        <v>51</v>
      </c>
      <c r="F726" s="1" t="s">
        <v>52</v>
      </c>
      <c r="G726" s="4">
        <v>3</v>
      </c>
      <c r="H726" s="4">
        <v>5503</v>
      </c>
      <c r="I726" s="6">
        <v>1875.3020797273477</v>
      </c>
      <c r="J726" s="6">
        <f>表1[[#This Row],[销售金额]]-表1[[#This Row],[退款金额]]</f>
        <v>3627.6979202726525</v>
      </c>
      <c r="K726" s="1">
        <v>380</v>
      </c>
      <c r="L726" s="1">
        <v>818</v>
      </c>
    </row>
    <row r="727" spans="1:12" x14ac:dyDescent="0.3">
      <c r="A727" s="2">
        <v>45913</v>
      </c>
      <c r="B727" s="1" t="s">
        <v>11</v>
      </c>
      <c r="C727" s="1" t="s">
        <v>10</v>
      </c>
      <c r="D727" s="1" t="s">
        <v>117</v>
      </c>
      <c r="E727" s="1" t="s">
        <v>34</v>
      </c>
      <c r="F727" s="1" t="s">
        <v>35</v>
      </c>
      <c r="G727" s="4">
        <v>3</v>
      </c>
      <c r="H727" s="4">
        <v>12993</v>
      </c>
      <c r="I727" s="6">
        <v>12159.444674925006</v>
      </c>
      <c r="J727" s="6">
        <f>表1[[#This Row],[销售金额]]-表1[[#This Row],[退款金额]]</f>
        <v>833.55532507499447</v>
      </c>
      <c r="K727" s="1">
        <v>646</v>
      </c>
      <c r="L727" s="1">
        <v>369</v>
      </c>
    </row>
    <row r="728" spans="1:12" x14ac:dyDescent="0.3">
      <c r="A728" s="2">
        <v>45913</v>
      </c>
      <c r="B728" s="1" t="s">
        <v>25</v>
      </c>
      <c r="C728" s="1" t="s">
        <v>19</v>
      </c>
      <c r="D728" s="1" t="s">
        <v>103</v>
      </c>
      <c r="E728" s="1" t="s">
        <v>51</v>
      </c>
      <c r="F728" s="1" t="s">
        <v>52</v>
      </c>
      <c r="G728" s="4">
        <v>3</v>
      </c>
      <c r="H728" s="4">
        <v>5356</v>
      </c>
      <c r="I728" s="6">
        <v>1875.3020797273477</v>
      </c>
      <c r="J728" s="6">
        <f>表1[[#This Row],[销售金额]]-表1[[#This Row],[退款金额]]</f>
        <v>3480.6979202726525</v>
      </c>
      <c r="K728" s="1">
        <v>380</v>
      </c>
      <c r="L728" s="1">
        <v>818</v>
      </c>
    </row>
    <row r="729" spans="1:12" x14ac:dyDescent="0.3">
      <c r="A729" s="2">
        <v>45913</v>
      </c>
      <c r="B729" s="1" t="s">
        <v>25</v>
      </c>
      <c r="C729" s="1" t="s">
        <v>19</v>
      </c>
      <c r="D729" s="1" t="s">
        <v>103</v>
      </c>
      <c r="E729" s="1" t="s">
        <v>51</v>
      </c>
      <c r="F729" s="1" t="s">
        <v>52</v>
      </c>
      <c r="G729" s="4">
        <v>3</v>
      </c>
      <c r="H729" s="4">
        <v>6465</v>
      </c>
      <c r="I729" s="6">
        <v>1875.3020797273477</v>
      </c>
      <c r="J729" s="6">
        <f>表1[[#This Row],[销售金额]]-表1[[#This Row],[退款金额]]</f>
        <v>4589.6979202726525</v>
      </c>
      <c r="K729" s="1">
        <v>380</v>
      </c>
      <c r="L729" s="1">
        <v>818</v>
      </c>
    </row>
    <row r="730" spans="1:12" x14ac:dyDescent="0.3">
      <c r="A730" s="2">
        <v>45913</v>
      </c>
      <c r="B730" s="1" t="s">
        <v>11</v>
      </c>
      <c r="C730" s="1" t="s">
        <v>10</v>
      </c>
      <c r="D730" s="1" t="s">
        <v>117</v>
      </c>
      <c r="E730" s="1" t="s">
        <v>34</v>
      </c>
      <c r="F730" s="1" t="s">
        <v>35</v>
      </c>
      <c r="G730" s="4">
        <v>3</v>
      </c>
      <c r="H730" s="4">
        <v>13660</v>
      </c>
      <c r="I730" s="6">
        <v>12159.444674925006</v>
      </c>
      <c r="J730" s="6">
        <f>表1[[#This Row],[销售金额]]-表1[[#This Row],[退款金额]]</f>
        <v>1500.5553250749945</v>
      </c>
      <c r="K730" s="1">
        <v>646</v>
      </c>
      <c r="L730" s="1">
        <v>369</v>
      </c>
    </row>
    <row r="731" spans="1:12" x14ac:dyDescent="0.3">
      <c r="A731" s="2">
        <v>45913</v>
      </c>
      <c r="B731" s="1" t="s">
        <v>25</v>
      </c>
      <c r="C731" s="1" t="s">
        <v>19</v>
      </c>
      <c r="D731" s="1" t="s">
        <v>103</v>
      </c>
      <c r="E731" s="1" t="s">
        <v>51</v>
      </c>
      <c r="F731" s="1" t="s">
        <v>52</v>
      </c>
      <c r="G731" s="4">
        <v>3</v>
      </c>
      <c r="H731" s="4">
        <v>6347</v>
      </c>
      <c r="I731" s="6">
        <v>1875.3020797273477</v>
      </c>
      <c r="J731" s="6">
        <f>表1[[#This Row],[销售金额]]-表1[[#This Row],[退款金额]]</f>
        <v>4471.6979202726525</v>
      </c>
      <c r="K731" s="1">
        <v>380</v>
      </c>
      <c r="L731" s="1">
        <v>818</v>
      </c>
    </row>
    <row r="732" spans="1:12" x14ac:dyDescent="0.3">
      <c r="A732" s="2">
        <v>45913</v>
      </c>
      <c r="B732" s="1" t="s">
        <v>25</v>
      </c>
      <c r="C732" s="1" t="s">
        <v>19</v>
      </c>
      <c r="D732" s="1" t="s">
        <v>103</v>
      </c>
      <c r="E732" s="1" t="s">
        <v>51</v>
      </c>
      <c r="F732" s="1" t="s">
        <v>52</v>
      </c>
      <c r="G732" s="4">
        <v>3</v>
      </c>
      <c r="H732" s="4">
        <v>4511</v>
      </c>
      <c r="I732" s="6">
        <v>1875.3020797273477</v>
      </c>
      <c r="J732" s="6">
        <f>表1[[#This Row],[销售金额]]-表1[[#This Row],[退款金额]]</f>
        <v>2635.6979202726525</v>
      </c>
      <c r="K732" s="1">
        <v>380</v>
      </c>
      <c r="L732" s="1">
        <v>818</v>
      </c>
    </row>
    <row r="733" spans="1:12" x14ac:dyDescent="0.3">
      <c r="A733" s="2">
        <v>45913</v>
      </c>
      <c r="B733" s="1" t="s">
        <v>11</v>
      </c>
      <c r="C733" s="1" t="s">
        <v>10</v>
      </c>
      <c r="D733" s="1" t="s">
        <v>117</v>
      </c>
      <c r="E733" s="1" t="s">
        <v>34</v>
      </c>
      <c r="F733" s="1" t="s">
        <v>35</v>
      </c>
      <c r="G733" s="4">
        <v>3</v>
      </c>
      <c r="H733" s="4">
        <v>13275</v>
      </c>
      <c r="I733" s="6">
        <v>12159.444674925006</v>
      </c>
      <c r="J733" s="6">
        <f>表1[[#This Row],[销售金额]]-表1[[#This Row],[退款金额]]</f>
        <v>1115.5553250749945</v>
      </c>
      <c r="K733" s="1">
        <v>646</v>
      </c>
      <c r="L733" s="1">
        <v>369</v>
      </c>
    </row>
    <row r="734" spans="1:12" x14ac:dyDescent="0.3">
      <c r="A734" s="2">
        <v>45913</v>
      </c>
      <c r="B734" s="1" t="s">
        <v>25</v>
      </c>
      <c r="C734" s="1" t="s">
        <v>19</v>
      </c>
      <c r="D734" s="1" t="s">
        <v>103</v>
      </c>
      <c r="E734" s="1" t="s">
        <v>51</v>
      </c>
      <c r="F734" s="1" t="s">
        <v>52</v>
      </c>
      <c r="G734" s="4">
        <v>3</v>
      </c>
      <c r="H734" s="4">
        <v>4966</v>
      </c>
      <c r="I734" s="6">
        <v>1875.3020797273477</v>
      </c>
      <c r="J734" s="6">
        <f>表1[[#This Row],[销售金额]]-表1[[#This Row],[退款金额]]</f>
        <v>3090.6979202726525</v>
      </c>
      <c r="K734" s="1">
        <v>380</v>
      </c>
      <c r="L734" s="1">
        <v>818</v>
      </c>
    </row>
    <row r="735" spans="1:12" x14ac:dyDescent="0.3">
      <c r="A735" s="2">
        <v>45913</v>
      </c>
      <c r="B735" s="1" t="s">
        <v>25</v>
      </c>
      <c r="C735" s="1" t="s">
        <v>19</v>
      </c>
      <c r="D735" s="1" t="s">
        <v>103</v>
      </c>
      <c r="E735" s="1" t="s">
        <v>51</v>
      </c>
      <c r="F735" s="1" t="s">
        <v>52</v>
      </c>
      <c r="G735" s="4">
        <v>3</v>
      </c>
      <c r="H735" s="4">
        <v>5188</v>
      </c>
      <c r="I735" s="6">
        <v>1875.3020797273477</v>
      </c>
      <c r="J735" s="6">
        <f>表1[[#This Row],[销售金额]]-表1[[#This Row],[退款金额]]</f>
        <v>3312.6979202726525</v>
      </c>
      <c r="K735" s="1">
        <v>380</v>
      </c>
      <c r="L735" s="1">
        <v>818</v>
      </c>
    </row>
    <row r="736" spans="1:12" x14ac:dyDescent="0.3">
      <c r="A736" s="2">
        <v>45913</v>
      </c>
      <c r="B736" s="1" t="s">
        <v>11</v>
      </c>
      <c r="C736" s="1" t="s">
        <v>10</v>
      </c>
      <c r="D736" s="1" t="s">
        <v>117</v>
      </c>
      <c r="E736" s="1" t="s">
        <v>34</v>
      </c>
      <c r="F736" s="1" t="s">
        <v>35</v>
      </c>
      <c r="G736" s="4">
        <v>3</v>
      </c>
      <c r="H736" s="4">
        <v>16481</v>
      </c>
      <c r="I736" s="6">
        <v>12159.444674925006</v>
      </c>
      <c r="J736" s="6">
        <f>表1[[#This Row],[销售金额]]-表1[[#This Row],[退款金额]]</f>
        <v>4321.5553250749945</v>
      </c>
      <c r="K736" s="1">
        <v>646</v>
      </c>
      <c r="L736" s="1">
        <v>369</v>
      </c>
    </row>
    <row r="737" spans="1:12" x14ac:dyDescent="0.3">
      <c r="A737" s="2">
        <v>45913</v>
      </c>
      <c r="B737" s="1" t="s">
        <v>25</v>
      </c>
      <c r="C737" s="1" t="s">
        <v>19</v>
      </c>
      <c r="D737" s="1" t="s">
        <v>103</v>
      </c>
      <c r="E737" s="1" t="s">
        <v>51</v>
      </c>
      <c r="F737" s="1" t="s">
        <v>52</v>
      </c>
      <c r="G737" s="4">
        <v>3</v>
      </c>
      <c r="H737" s="4">
        <v>4863</v>
      </c>
      <c r="I737" s="6">
        <v>1875.3020797273477</v>
      </c>
      <c r="J737" s="6">
        <f>表1[[#This Row],[销售金额]]-表1[[#This Row],[退款金额]]</f>
        <v>2987.6979202726525</v>
      </c>
      <c r="K737" s="1">
        <v>380</v>
      </c>
      <c r="L737" s="1">
        <v>818</v>
      </c>
    </row>
    <row r="738" spans="1:12" x14ac:dyDescent="0.3">
      <c r="A738" s="2">
        <v>45913</v>
      </c>
      <c r="B738" s="1" t="s">
        <v>25</v>
      </c>
      <c r="C738" s="1" t="s">
        <v>19</v>
      </c>
      <c r="D738" s="1" t="s">
        <v>103</v>
      </c>
      <c r="E738" s="1" t="s">
        <v>51</v>
      </c>
      <c r="F738" s="1" t="s">
        <v>52</v>
      </c>
      <c r="G738" s="4">
        <v>3</v>
      </c>
      <c r="H738" s="4">
        <v>5236</v>
      </c>
      <c r="I738" s="6">
        <v>1875.3020797273477</v>
      </c>
      <c r="J738" s="6">
        <f>表1[[#This Row],[销售金额]]-表1[[#This Row],[退款金额]]</f>
        <v>3360.6979202726525</v>
      </c>
      <c r="K738" s="1">
        <v>380</v>
      </c>
      <c r="L738" s="1">
        <v>818</v>
      </c>
    </row>
    <row r="739" spans="1:12" x14ac:dyDescent="0.3">
      <c r="A739" s="2">
        <v>45913</v>
      </c>
      <c r="B739" s="1" t="s">
        <v>11</v>
      </c>
      <c r="C739" s="1" t="s">
        <v>10</v>
      </c>
      <c r="D739" s="1" t="s">
        <v>117</v>
      </c>
      <c r="E739" s="1" t="s">
        <v>34</v>
      </c>
      <c r="F739" s="1" t="s">
        <v>35</v>
      </c>
      <c r="G739" s="4">
        <v>3</v>
      </c>
      <c r="H739" s="4">
        <v>16830</v>
      </c>
      <c r="I739" s="6">
        <v>12159.444674925006</v>
      </c>
      <c r="J739" s="6">
        <f>表1[[#This Row],[销售金额]]-表1[[#This Row],[退款金额]]</f>
        <v>4670.5553250749945</v>
      </c>
      <c r="K739" s="1">
        <v>646</v>
      </c>
      <c r="L739" s="1">
        <v>369</v>
      </c>
    </row>
    <row r="740" spans="1:12" x14ac:dyDescent="0.3">
      <c r="A740" s="2">
        <v>45913</v>
      </c>
      <c r="B740" s="1" t="s">
        <v>250</v>
      </c>
      <c r="C740" s="1" t="s">
        <v>19</v>
      </c>
      <c r="D740" s="1" t="s">
        <v>108</v>
      </c>
      <c r="E740" s="1" t="s">
        <v>51</v>
      </c>
      <c r="F740" s="1" t="s">
        <v>52</v>
      </c>
      <c r="G740" s="4">
        <v>7</v>
      </c>
      <c r="H740" s="4">
        <v>10135</v>
      </c>
      <c r="I740" s="6">
        <v>5437.1928416216861</v>
      </c>
      <c r="J740" s="6">
        <f>表1[[#This Row],[销售金额]]-表1[[#This Row],[退款金额]]</f>
        <v>4697.8071583783139</v>
      </c>
      <c r="K740" s="1">
        <v>900</v>
      </c>
      <c r="L740" s="1">
        <v>385</v>
      </c>
    </row>
    <row r="741" spans="1:12" x14ac:dyDescent="0.3">
      <c r="A741" s="2">
        <v>45913</v>
      </c>
      <c r="B741" s="1" t="s">
        <v>250</v>
      </c>
      <c r="C741" s="1" t="s">
        <v>19</v>
      </c>
      <c r="D741" s="1" t="s">
        <v>108</v>
      </c>
      <c r="E741" s="1" t="s">
        <v>51</v>
      </c>
      <c r="F741" s="1" t="s">
        <v>52</v>
      </c>
      <c r="G741" s="4">
        <v>7</v>
      </c>
      <c r="H741" s="4">
        <v>6455</v>
      </c>
      <c r="I741" s="6">
        <v>5437.1928416216861</v>
      </c>
      <c r="J741" s="6">
        <f>表1[[#This Row],[销售金额]]-表1[[#This Row],[退款金额]]</f>
        <v>1017.8071583783139</v>
      </c>
      <c r="K741" s="1">
        <v>900</v>
      </c>
      <c r="L741" s="1">
        <v>385</v>
      </c>
    </row>
    <row r="742" spans="1:12" x14ac:dyDescent="0.3">
      <c r="A742" s="2">
        <v>45913</v>
      </c>
      <c r="B742" s="1" t="s">
        <v>250</v>
      </c>
      <c r="C742" s="1" t="s">
        <v>19</v>
      </c>
      <c r="D742" s="1" t="s">
        <v>108</v>
      </c>
      <c r="E742" s="1" t="s">
        <v>51</v>
      </c>
      <c r="F742" s="1" t="s">
        <v>52</v>
      </c>
      <c r="G742" s="4">
        <v>7</v>
      </c>
      <c r="H742" s="4">
        <v>9714</v>
      </c>
      <c r="I742" s="6">
        <v>5437.1928416216861</v>
      </c>
      <c r="J742" s="6">
        <f>表1[[#This Row],[销售金额]]-表1[[#This Row],[退款金额]]</f>
        <v>4276.8071583783139</v>
      </c>
      <c r="K742" s="1">
        <v>900</v>
      </c>
      <c r="L742" s="1">
        <v>385</v>
      </c>
    </row>
    <row r="743" spans="1:12" x14ac:dyDescent="0.3">
      <c r="A743" s="2">
        <v>45913</v>
      </c>
      <c r="B743" s="1" t="s">
        <v>250</v>
      </c>
      <c r="C743" s="1" t="s">
        <v>19</v>
      </c>
      <c r="D743" s="1" t="s">
        <v>108</v>
      </c>
      <c r="E743" s="1" t="s">
        <v>51</v>
      </c>
      <c r="F743" s="1" t="s">
        <v>52</v>
      </c>
      <c r="G743" s="4">
        <v>7</v>
      </c>
      <c r="H743" s="4">
        <v>8948</v>
      </c>
      <c r="I743" s="6">
        <v>5437.1928416216861</v>
      </c>
      <c r="J743" s="6">
        <f>表1[[#This Row],[销售金额]]-表1[[#This Row],[退款金额]]</f>
        <v>3510.8071583783139</v>
      </c>
      <c r="K743" s="1">
        <v>900</v>
      </c>
      <c r="L743" s="1">
        <v>385</v>
      </c>
    </row>
    <row r="744" spans="1:12" x14ac:dyDescent="0.3">
      <c r="A744" s="2">
        <v>45913</v>
      </c>
      <c r="B744" s="1" t="s">
        <v>250</v>
      </c>
      <c r="C744" s="1" t="s">
        <v>19</v>
      </c>
      <c r="D744" s="1" t="s">
        <v>108</v>
      </c>
      <c r="E744" s="1" t="s">
        <v>51</v>
      </c>
      <c r="F744" s="1" t="s">
        <v>52</v>
      </c>
      <c r="G744" s="4">
        <v>7</v>
      </c>
      <c r="H744" s="4">
        <v>7491</v>
      </c>
      <c r="I744" s="6">
        <v>5437.1928416216861</v>
      </c>
      <c r="J744" s="6">
        <f>表1[[#This Row],[销售金额]]-表1[[#This Row],[退款金额]]</f>
        <v>2053.8071583783139</v>
      </c>
      <c r="K744" s="1">
        <v>900</v>
      </c>
      <c r="L744" s="1">
        <v>385</v>
      </c>
    </row>
    <row r="745" spans="1:12" x14ac:dyDescent="0.3">
      <c r="A745" s="2">
        <v>45913</v>
      </c>
      <c r="B745" s="1" t="s">
        <v>250</v>
      </c>
      <c r="C745" s="1" t="s">
        <v>19</v>
      </c>
      <c r="D745" s="1" t="s">
        <v>108</v>
      </c>
      <c r="E745" s="1" t="s">
        <v>51</v>
      </c>
      <c r="F745" s="1" t="s">
        <v>52</v>
      </c>
      <c r="G745" s="4">
        <v>7</v>
      </c>
      <c r="H745" s="4">
        <v>6762</v>
      </c>
      <c r="I745" s="6">
        <v>5437.1928416216861</v>
      </c>
      <c r="J745" s="6">
        <f>表1[[#This Row],[销售金额]]-表1[[#This Row],[退款金额]]</f>
        <v>1324.8071583783139</v>
      </c>
      <c r="K745" s="1">
        <v>900</v>
      </c>
      <c r="L745" s="1">
        <v>385</v>
      </c>
    </row>
    <row r="746" spans="1:12" x14ac:dyDescent="0.3">
      <c r="A746" s="2">
        <v>45913</v>
      </c>
      <c r="B746" s="1" t="s">
        <v>250</v>
      </c>
      <c r="C746" s="1" t="s">
        <v>19</v>
      </c>
      <c r="D746" s="1" t="s">
        <v>108</v>
      </c>
      <c r="E746" s="1" t="s">
        <v>51</v>
      </c>
      <c r="F746" s="1" t="s">
        <v>52</v>
      </c>
      <c r="G746" s="4">
        <v>7</v>
      </c>
      <c r="H746" s="4">
        <v>8805</v>
      </c>
      <c r="I746" s="6">
        <v>5437.1928416216861</v>
      </c>
      <c r="J746" s="6">
        <f>表1[[#This Row],[销售金额]]-表1[[#This Row],[退款金额]]</f>
        <v>3367.8071583783139</v>
      </c>
      <c r="K746" s="1">
        <v>900</v>
      </c>
      <c r="L746" s="1">
        <v>385</v>
      </c>
    </row>
    <row r="747" spans="1:12" x14ac:dyDescent="0.3">
      <c r="A747" s="2">
        <v>45913</v>
      </c>
      <c r="B747" s="1" t="s">
        <v>250</v>
      </c>
      <c r="C747" s="1" t="s">
        <v>19</v>
      </c>
      <c r="D747" s="1" t="s">
        <v>108</v>
      </c>
      <c r="E747" s="1" t="s">
        <v>51</v>
      </c>
      <c r="F747" s="1" t="s">
        <v>52</v>
      </c>
      <c r="G747" s="4">
        <v>7</v>
      </c>
      <c r="H747" s="4">
        <v>9488</v>
      </c>
      <c r="I747" s="6">
        <v>5437.1928416216861</v>
      </c>
      <c r="J747" s="6">
        <f>表1[[#This Row],[销售金额]]-表1[[#This Row],[退款金额]]</f>
        <v>4050.8071583783139</v>
      </c>
      <c r="K747" s="1">
        <v>900</v>
      </c>
      <c r="L747" s="1">
        <v>385</v>
      </c>
    </row>
    <row r="748" spans="1:12" x14ac:dyDescent="0.3">
      <c r="A748" s="2">
        <v>45913</v>
      </c>
      <c r="B748" s="1" t="s">
        <v>250</v>
      </c>
      <c r="C748" s="1" t="s">
        <v>19</v>
      </c>
      <c r="D748" s="1" t="s">
        <v>108</v>
      </c>
      <c r="E748" s="1" t="s">
        <v>51</v>
      </c>
      <c r="F748" s="1" t="s">
        <v>52</v>
      </c>
      <c r="G748" s="4">
        <v>7</v>
      </c>
      <c r="H748" s="4">
        <v>7441</v>
      </c>
      <c r="I748" s="6">
        <v>5437.1928416216861</v>
      </c>
      <c r="J748" s="6">
        <f>表1[[#This Row],[销售金额]]-表1[[#This Row],[退款金额]]</f>
        <v>2003.8071583783139</v>
      </c>
      <c r="K748" s="1">
        <v>900</v>
      </c>
      <c r="L748" s="1">
        <v>385</v>
      </c>
    </row>
    <row r="749" spans="1:12" x14ac:dyDescent="0.3">
      <c r="A749" s="2">
        <v>45913</v>
      </c>
      <c r="B749" s="1" t="s">
        <v>11</v>
      </c>
      <c r="C749" s="1" t="s">
        <v>10</v>
      </c>
      <c r="D749" s="1" t="s">
        <v>221</v>
      </c>
      <c r="E749" s="1" t="s">
        <v>13</v>
      </c>
      <c r="F749" s="1" t="s">
        <v>14</v>
      </c>
      <c r="G749" s="4">
        <v>9</v>
      </c>
      <c r="H749" s="4">
        <v>47363</v>
      </c>
      <c r="I749" s="6">
        <v>44476.599899570698</v>
      </c>
      <c r="J749" s="6">
        <f>表1[[#This Row],[销售金额]]-表1[[#This Row],[退款金额]]</f>
        <v>2886.4001004293023</v>
      </c>
      <c r="K749" s="1">
        <v>797</v>
      </c>
      <c r="L749" s="1">
        <v>554</v>
      </c>
    </row>
    <row r="750" spans="1:12" x14ac:dyDescent="0.3">
      <c r="A750" s="2">
        <v>45913</v>
      </c>
      <c r="B750" s="1" t="s">
        <v>250</v>
      </c>
      <c r="C750" s="1" t="s">
        <v>10</v>
      </c>
      <c r="D750" s="1" t="s">
        <v>36</v>
      </c>
      <c r="E750" s="1" t="s">
        <v>13</v>
      </c>
      <c r="F750" s="1" t="s">
        <v>14</v>
      </c>
      <c r="G750" s="4">
        <v>9</v>
      </c>
      <c r="H750" s="4">
        <v>41069</v>
      </c>
      <c r="I750" s="6">
        <v>38321.600782544556</v>
      </c>
      <c r="J750" s="6">
        <f>表1[[#This Row],[销售金额]]-表1[[#This Row],[退款金额]]</f>
        <v>2747.3992174554442</v>
      </c>
      <c r="K750" s="1">
        <v>419</v>
      </c>
      <c r="L750" s="1">
        <v>399</v>
      </c>
    </row>
    <row r="751" spans="1:12" x14ac:dyDescent="0.3">
      <c r="A751" s="2">
        <v>45913</v>
      </c>
      <c r="B751" s="1" t="s">
        <v>11</v>
      </c>
      <c r="C751" s="1" t="s">
        <v>10</v>
      </c>
      <c r="D751" s="1" t="s">
        <v>221</v>
      </c>
      <c r="E751" s="1" t="s">
        <v>13</v>
      </c>
      <c r="F751" s="1" t="s">
        <v>14</v>
      </c>
      <c r="G751" s="4">
        <v>9</v>
      </c>
      <c r="H751" s="4">
        <v>44739</v>
      </c>
      <c r="I751" s="6">
        <v>44476.599899570698</v>
      </c>
      <c r="J751" s="6">
        <f>表1[[#This Row],[销售金额]]-表1[[#This Row],[退款金额]]</f>
        <v>262.40010042930226</v>
      </c>
      <c r="K751" s="1">
        <v>797</v>
      </c>
      <c r="L751" s="1">
        <v>554</v>
      </c>
    </row>
    <row r="752" spans="1:12" x14ac:dyDescent="0.3">
      <c r="A752" s="2">
        <v>45913</v>
      </c>
      <c r="B752" s="1" t="s">
        <v>250</v>
      </c>
      <c r="C752" s="1" t="s">
        <v>10</v>
      </c>
      <c r="D752" s="1" t="s">
        <v>36</v>
      </c>
      <c r="E752" s="1" t="s">
        <v>13</v>
      </c>
      <c r="F752" s="1" t="s">
        <v>14</v>
      </c>
      <c r="G752" s="4">
        <v>9</v>
      </c>
      <c r="H752" s="4">
        <v>41979</v>
      </c>
      <c r="I752" s="6">
        <v>38321.600782544556</v>
      </c>
      <c r="J752" s="6">
        <f>表1[[#This Row],[销售金额]]-表1[[#This Row],[退款金额]]</f>
        <v>3657.3992174554442</v>
      </c>
      <c r="K752" s="1">
        <v>419</v>
      </c>
      <c r="L752" s="1">
        <v>399</v>
      </c>
    </row>
    <row r="753" spans="1:12" x14ac:dyDescent="0.3">
      <c r="A753" s="2">
        <v>45913</v>
      </c>
      <c r="B753" s="1" t="s">
        <v>11</v>
      </c>
      <c r="C753" s="1" t="s">
        <v>10</v>
      </c>
      <c r="D753" s="1" t="s">
        <v>221</v>
      </c>
      <c r="E753" s="1" t="s">
        <v>13</v>
      </c>
      <c r="F753" s="1" t="s">
        <v>14</v>
      </c>
      <c r="G753" s="4">
        <v>9</v>
      </c>
      <c r="H753" s="4">
        <v>49011</v>
      </c>
      <c r="I753" s="6">
        <v>44476.599899570698</v>
      </c>
      <c r="J753" s="6">
        <f>表1[[#This Row],[销售金额]]-表1[[#This Row],[退款金额]]</f>
        <v>4534.4001004293023</v>
      </c>
      <c r="K753" s="1">
        <v>797</v>
      </c>
      <c r="L753" s="1">
        <v>554</v>
      </c>
    </row>
    <row r="754" spans="1:12" x14ac:dyDescent="0.3">
      <c r="A754" s="2">
        <v>45913</v>
      </c>
      <c r="B754" s="1" t="s">
        <v>250</v>
      </c>
      <c r="C754" s="1" t="s">
        <v>10</v>
      </c>
      <c r="D754" s="1" t="s">
        <v>36</v>
      </c>
      <c r="E754" s="1" t="s">
        <v>13</v>
      </c>
      <c r="F754" s="1" t="s">
        <v>14</v>
      </c>
      <c r="G754" s="4">
        <v>9</v>
      </c>
      <c r="H754" s="4">
        <v>41441</v>
      </c>
      <c r="I754" s="6">
        <v>38321.600782544556</v>
      </c>
      <c r="J754" s="6">
        <f>表1[[#This Row],[销售金额]]-表1[[#This Row],[退款金额]]</f>
        <v>3119.3992174554442</v>
      </c>
      <c r="K754" s="1">
        <v>419</v>
      </c>
      <c r="L754" s="1">
        <v>399</v>
      </c>
    </row>
    <row r="755" spans="1:12" x14ac:dyDescent="0.3">
      <c r="A755" s="2">
        <v>45913</v>
      </c>
      <c r="B755" s="1" t="s">
        <v>11</v>
      </c>
      <c r="C755" s="1" t="s">
        <v>10</v>
      </c>
      <c r="D755" s="1" t="s">
        <v>221</v>
      </c>
      <c r="E755" s="1" t="s">
        <v>13</v>
      </c>
      <c r="F755" s="1" t="s">
        <v>14</v>
      </c>
      <c r="G755" s="4">
        <v>9</v>
      </c>
      <c r="H755" s="4">
        <v>46454</v>
      </c>
      <c r="I755" s="6">
        <v>44476.599899570698</v>
      </c>
      <c r="J755" s="6">
        <f>表1[[#This Row],[销售金额]]-表1[[#This Row],[退款金额]]</f>
        <v>1977.4001004293023</v>
      </c>
      <c r="K755" s="1">
        <v>797</v>
      </c>
      <c r="L755" s="1">
        <v>554</v>
      </c>
    </row>
    <row r="756" spans="1:12" x14ac:dyDescent="0.3">
      <c r="A756" s="2">
        <v>45913</v>
      </c>
      <c r="B756" s="1" t="s">
        <v>250</v>
      </c>
      <c r="C756" s="1" t="s">
        <v>10</v>
      </c>
      <c r="D756" s="1" t="s">
        <v>36</v>
      </c>
      <c r="E756" s="1" t="s">
        <v>13</v>
      </c>
      <c r="F756" s="1" t="s">
        <v>14</v>
      </c>
      <c r="G756" s="4">
        <v>9</v>
      </c>
      <c r="H756" s="4">
        <v>41177</v>
      </c>
      <c r="I756" s="6">
        <v>38321.600782544556</v>
      </c>
      <c r="J756" s="6">
        <f>表1[[#This Row],[销售金额]]-表1[[#This Row],[退款金额]]</f>
        <v>2855.3992174554442</v>
      </c>
      <c r="K756" s="1">
        <v>419</v>
      </c>
      <c r="L756" s="1">
        <v>399</v>
      </c>
    </row>
    <row r="757" spans="1:12" x14ac:dyDescent="0.3">
      <c r="A757" s="2">
        <v>45913</v>
      </c>
      <c r="B757" s="1" t="s">
        <v>11</v>
      </c>
      <c r="C757" s="1" t="s">
        <v>10</v>
      </c>
      <c r="D757" s="1" t="s">
        <v>221</v>
      </c>
      <c r="E757" s="1" t="s">
        <v>13</v>
      </c>
      <c r="F757" s="1" t="s">
        <v>14</v>
      </c>
      <c r="G757" s="4">
        <v>9</v>
      </c>
      <c r="H757" s="4">
        <v>49082</v>
      </c>
      <c r="I757" s="6">
        <v>44476.599899570698</v>
      </c>
      <c r="J757" s="6">
        <f>表1[[#This Row],[销售金额]]-表1[[#This Row],[退款金额]]</f>
        <v>4605.4001004293023</v>
      </c>
      <c r="K757" s="1">
        <v>797</v>
      </c>
      <c r="L757" s="1">
        <v>554</v>
      </c>
    </row>
    <row r="758" spans="1:12" x14ac:dyDescent="0.3">
      <c r="A758" s="2">
        <v>45913</v>
      </c>
      <c r="B758" s="1" t="s">
        <v>250</v>
      </c>
      <c r="C758" s="1" t="s">
        <v>10</v>
      </c>
      <c r="D758" s="1" t="s">
        <v>36</v>
      </c>
      <c r="E758" s="1" t="s">
        <v>13</v>
      </c>
      <c r="F758" s="1" t="s">
        <v>14</v>
      </c>
      <c r="G758" s="4">
        <v>9</v>
      </c>
      <c r="H758" s="4">
        <v>38801</v>
      </c>
      <c r="I758" s="6">
        <v>38321.600782544556</v>
      </c>
      <c r="J758" s="6">
        <f>表1[[#This Row],[销售金额]]-表1[[#This Row],[退款金额]]</f>
        <v>479.39921745544416</v>
      </c>
      <c r="K758" s="1">
        <v>419</v>
      </c>
      <c r="L758" s="1">
        <v>399</v>
      </c>
    </row>
    <row r="759" spans="1:12" x14ac:dyDescent="0.3">
      <c r="A759" s="2">
        <v>45913</v>
      </c>
      <c r="B759" s="1" t="s">
        <v>11</v>
      </c>
      <c r="C759" s="1" t="s">
        <v>10</v>
      </c>
      <c r="D759" s="1" t="s">
        <v>221</v>
      </c>
      <c r="E759" s="1" t="s">
        <v>13</v>
      </c>
      <c r="F759" s="1" t="s">
        <v>14</v>
      </c>
      <c r="G759" s="4">
        <v>9</v>
      </c>
      <c r="H759" s="4">
        <v>48903</v>
      </c>
      <c r="I759" s="6">
        <v>44476.599899570698</v>
      </c>
      <c r="J759" s="6">
        <f>表1[[#This Row],[销售金额]]-表1[[#This Row],[退款金额]]</f>
        <v>4426.4001004293023</v>
      </c>
      <c r="K759" s="1">
        <v>797</v>
      </c>
      <c r="L759" s="1">
        <v>554</v>
      </c>
    </row>
    <row r="760" spans="1:12" x14ac:dyDescent="0.3">
      <c r="A760" s="2">
        <v>45913</v>
      </c>
      <c r="B760" s="1" t="s">
        <v>250</v>
      </c>
      <c r="C760" s="1" t="s">
        <v>10</v>
      </c>
      <c r="D760" s="1" t="s">
        <v>36</v>
      </c>
      <c r="E760" s="1" t="s">
        <v>13</v>
      </c>
      <c r="F760" s="1" t="s">
        <v>14</v>
      </c>
      <c r="G760" s="4">
        <v>9</v>
      </c>
      <c r="H760" s="4">
        <v>40806</v>
      </c>
      <c r="I760" s="6">
        <v>38321.600782544556</v>
      </c>
      <c r="J760" s="6">
        <f>表1[[#This Row],[销售金额]]-表1[[#This Row],[退款金额]]</f>
        <v>2484.3992174554442</v>
      </c>
      <c r="K760" s="1">
        <v>419</v>
      </c>
      <c r="L760" s="1">
        <v>399</v>
      </c>
    </row>
    <row r="761" spans="1:12" x14ac:dyDescent="0.3">
      <c r="A761" s="2">
        <v>45913</v>
      </c>
      <c r="B761" s="1" t="s">
        <v>11</v>
      </c>
      <c r="C761" s="1" t="s">
        <v>10</v>
      </c>
      <c r="D761" s="1" t="s">
        <v>221</v>
      </c>
      <c r="E761" s="1" t="s">
        <v>13</v>
      </c>
      <c r="F761" s="1" t="s">
        <v>14</v>
      </c>
      <c r="G761" s="4">
        <v>9</v>
      </c>
      <c r="H761" s="4">
        <v>46955</v>
      </c>
      <c r="I761" s="6">
        <v>44476.599899570698</v>
      </c>
      <c r="J761" s="6">
        <f>表1[[#This Row],[销售金额]]-表1[[#This Row],[退款金额]]</f>
        <v>2478.4001004293023</v>
      </c>
      <c r="K761" s="1">
        <v>797</v>
      </c>
      <c r="L761" s="1">
        <v>554</v>
      </c>
    </row>
    <row r="762" spans="1:12" x14ac:dyDescent="0.3">
      <c r="A762" s="2">
        <v>45913</v>
      </c>
      <c r="B762" s="1" t="s">
        <v>250</v>
      </c>
      <c r="C762" s="1" t="s">
        <v>10</v>
      </c>
      <c r="D762" s="1" t="s">
        <v>36</v>
      </c>
      <c r="E762" s="1" t="s">
        <v>13</v>
      </c>
      <c r="F762" s="1" t="s">
        <v>14</v>
      </c>
      <c r="G762" s="4">
        <v>9</v>
      </c>
      <c r="H762" s="4">
        <v>39862</v>
      </c>
      <c r="I762" s="6">
        <v>38321.600782544556</v>
      </c>
      <c r="J762" s="6">
        <f>表1[[#This Row],[销售金额]]-表1[[#This Row],[退款金额]]</f>
        <v>1540.3992174554442</v>
      </c>
      <c r="K762" s="1">
        <v>419</v>
      </c>
      <c r="L762" s="1">
        <v>399</v>
      </c>
    </row>
    <row r="763" spans="1:12" x14ac:dyDescent="0.3">
      <c r="A763" s="2">
        <v>45913</v>
      </c>
      <c r="B763" s="1" t="s">
        <v>11</v>
      </c>
      <c r="C763" s="1" t="s">
        <v>10</v>
      </c>
      <c r="D763" s="1" t="s">
        <v>221</v>
      </c>
      <c r="E763" s="1" t="s">
        <v>13</v>
      </c>
      <c r="F763" s="1" t="s">
        <v>14</v>
      </c>
      <c r="G763" s="4">
        <v>9</v>
      </c>
      <c r="H763" s="4">
        <v>45896</v>
      </c>
      <c r="I763" s="6">
        <v>44476.599899570698</v>
      </c>
      <c r="J763" s="6">
        <f>表1[[#This Row],[销售金额]]-表1[[#This Row],[退款金额]]</f>
        <v>1419.4001004293023</v>
      </c>
      <c r="K763" s="1">
        <v>797</v>
      </c>
      <c r="L763" s="1">
        <v>554</v>
      </c>
    </row>
    <row r="764" spans="1:12" x14ac:dyDescent="0.3">
      <c r="A764" s="2">
        <v>45913</v>
      </c>
      <c r="B764" s="1" t="s">
        <v>250</v>
      </c>
      <c r="C764" s="1" t="s">
        <v>10</v>
      </c>
      <c r="D764" s="1" t="s">
        <v>36</v>
      </c>
      <c r="E764" s="1" t="s">
        <v>13</v>
      </c>
      <c r="F764" s="1" t="s">
        <v>14</v>
      </c>
      <c r="G764" s="4">
        <v>9</v>
      </c>
      <c r="H764" s="4">
        <v>42709</v>
      </c>
      <c r="I764" s="6">
        <v>38321.600782544556</v>
      </c>
      <c r="J764" s="6">
        <f>表1[[#This Row],[销售金额]]-表1[[#This Row],[退款金额]]</f>
        <v>4387.3992174554442</v>
      </c>
      <c r="K764" s="1">
        <v>419</v>
      </c>
      <c r="L764" s="1">
        <v>399</v>
      </c>
    </row>
    <row r="765" spans="1:12" x14ac:dyDescent="0.3">
      <c r="A765" s="2">
        <v>45913</v>
      </c>
      <c r="B765" s="1" t="s">
        <v>11</v>
      </c>
      <c r="C765" s="1" t="s">
        <v>10</v>
      </c>
      <c r="D765" s="1" t="s">
        <v>221</v>
      </c>
      <c r="E765" s="1" t="s">
        <v>13</v>
      </c>
      <c r="F765" s="1" t="s">
        <v>14</v>
      </c>
      <c r="G765" s="4">
        <v>9</v>
      </c>
      <c r="H765" s="4">
        <v>48651</v>
      </c>
      <c r="I765" s="6">
        <v>44476.599899570698</v>
      </c>
      <c r="J765" s="6">
        <f>表1[[#This Row],[销售金额]]-表1[[#This Row],[退款金额]]</f>
        <v>4174.4001004293023</v>
      </c>
      <c r="K765" s="1">
        <v>797</v>
      </c>
      <c r="L765" s="1">
        <v>554</v>
      </c>
    </row>
    <row r="766" spans="1:12" x14ac:dyDescent="0.3">
      <c r="A766" s="2">
        <v>45913</v>
      </c>
      <c r="B766" s="1" t="s">
        <v>25</v>
      </c>
      <c r="C766" s="1" t="s">
        <v>32</v>
      </c>
      <c r="D766" s="1" t="s">
        <v>124</v>
      </c>
      <c r="E766" s="1" t="s">
        <v>30</v>
      </c>
      <c r="F766" s="1" t="s">
        <v>31</v>
      </c>
      <c r="G766" s="4">
        <v>11</v>
      </c>
      <c r="H766" s="4">
        <v>4885</v>
      </c>
      <c r="I766" s="6">
        <v>3850.7012323889699</v>
      </c>
      <c r="J766" s="6">
        <f>表1[[#This Row],[销售金额]]-表1[[#This Row],[退款金额]]</f>
        <v>1034.2987676110301</v>
      </c>
      <c r="K766" s="1">
        <v>747</v>
      </c>
      <c r="L766" s="1">
        <v>307</v>
      </c>
    </row>
    <row r="767" spans="1:12" x14ac:dyDescent="0.3">
      <c r="A767" s="2">
        <v>45913</v>
      </c>
      <c r="B767" s="1" t="s">
        <v>11</v>
      </c>
      <c r="C767" s="1" t="s">
        <v>10</v>
      </c>
      <c r="D767" s="1" t="s">
        <v>139</v>
      </c>
      <c r="E767" s="1" t="s">
        <v>42</v>
      </c>
      <c r="F767" s="1" t="s">
        <v>43</v>
      </c>
      <c r="G767" s="4">
        <v>11</v>
      </c>
      <c r="H767" s="4">
        <v>22833</v>
      </c>
      <c r="I767" s="6">
        <v>22333.537195841542</v>
      </c>
      <c r="J767" s="6">
        <f>表1[[#This Row],[销售金额]]-表1[[#This Row],[退款金额]]</f>
        <v>499.46280415845831</v>
      </c>
      <c r="K767" s="1">
        <v>513</v>
      </c>
      <c r="L767" s="1">
        <v>38</v>
      </c>
    </row>
    <row r="768" spans="1:12" x14ac:dyDescent="0.3">
      <c r="A768" s="2">
        <v>45913</v>
      </c>
      <c r="B768" s="1" t="s">
        <v>25</v>
      </c>
      <c r="C768" s="1" t="s">
        <v>19</v>
      </c>
      <c r="D768" s="1" t="s">
        <v>225</v>
      </c>
      <c r="E768" s="1" t="s">
        <v>27</v>
      </c>
      <c r="F768" s="1" t="s">
        <v>28</v>
      </c>
      <c r="G768" s="4">
        <v>11</v>
      </c>
      <c r="H768" s="4">
        <v>4659</v>
      </c>
      <c r="I768" s="6">
        <v>1408.9679025736175</v>
      </c>
      <c r="J768" s="6">
        <f>表1[[#This Row],[销售金额]]-表1[[#This Row],[退款金额]]</f>
        <v>3250.0320974263823</v>
      </c>
      <c r="K768" s="1">
        <v>757</v>
      </c>
      <c r="L768" s="1">
        <v>77</v>
      </c>
    </row>
    <row r="769" spans="1:12" x14ac:dyDescent="0.3">
      <c r="A769" s="2">
        <v>45913</v>
      </c>
      <c r="B769" s="1" t="s">
        <v>25</v>
      </c>
      <c r="C769" s="1" t="s">
        <v>32</v>
      </c>
      <c r="D769" s="1" t="s">
        <v>124</v>
      </c>
      <c r="E769" s="1" t="s">
        <v>30</v>
      </c>
      <c r="F769" s="1" t="s">
        <v>31</v>
      </c>
      <c r="G769" s="4">
        <v>11</v>
      </c>
      <c r="H769" s="4">
        <v>8112</v>
      </c>
      <c r="I769" s="6">
        <v>3850.7012323889699</v>
      </c>
      <c r="J769" s="6">
        <f>表1[[#This Row],[销售金额]]-表1[[#This Row],[退款金额]]</f>
        <v>4261.2987676110297</v>
      </c>
      <c r="K769" s="1">
        <v>747</v>
      </c>
      <c r="L769" s="1">
        <v>307</v>
      </c>
    </row>
    <row r="770" spans="1:12" x14ac:dyDescent="0.3">
      <c r="A770" s="2">
        <v>45913</v>
      </c>
      <c r="B770" s="1" t="s">
        <v>11</v>
      </c>
      <c r="C770" s="1" t="s">
        <v>10</v>
      </c>
      <c r="D770" s="1" t="s">
        <v>139</v>
      </c>
      <c r="E770" s="1" t="s">
        <v>42</v>
      </c>
      <c r="F770" s="1" t="s">
        <v>43</v>
      </c>
      <c r="G770" s="4">
        <v>11</v>
      </c>
      <c r="H770" s="4">
        <v>26929</v>
      </c>
      <c r="I770" s="6">
        <v>22333.537195841542</v>
      </c>
      <c r="J770" s="6">
        <f>表1[[#This Row],[销售金额]]-表1[[#This Row],[退款金额]]</f>
        <v>4595.4628041584583</v>
      </c>
      <c r="K770" s="1">
        <v>513</v>
      </c>
      <c r="L770" s="1">
        <v>38</v>
      </c>
    </row>
    <row r="771" spans="1:12" x14ac:dyDescent="0.3">
      <c r="A771" s="2">
        <v>45913</v>
      </c>
      <c r="B771" s="1" t="s">
        <v>25</v>
      </c>
      <c r="C771" s="1" t="s">
        <v>19</v>
      </c>
      <c r="D771" s="1" t="s">
        <v>225</v>
      </c>
      <c r="E771" s="1" t="s">
        <v>27</v>
      </c>
      <c r="F771" s="1" t="s">
        <v>28</v>
      </c>
      <c r="G771" s="4">
        <v>11</v>
      </c>
      <c r="H771" s="4">
        <v>5711</v>
      </c>
      <c r="I771" s="6">
        <v>1408.9679025736175</v>
      </c>
      <c r="J771" s="6">
        <f>表1[[#This Row],[销售金额]]-表1[[#This Row],[退款金额]]</f>
        <v>4302.0320974263823</v>
      </c>
      <c r="K771" s="1">
        <v>757</v>
      </c>
      <c r="L771" s="1">
        <v>77</v>
      </c>
    </row>
    <row r="772" spans="1:12" x14ac:dyDescent="0.3">
      <c r="A772" s="2">
        <v>45913</v>
      </c>
      <c r="B772" s="1" t="s">
        <v>25</v>
      </c>
      <c r="C772" s="1" t="s">
        <v>32</v>
      </c>
      <c r="D772" s="1" t="s">
        <v>124</v>
      </c>
      <c r="E772" s="1" t="s">
        <v>30</v>
      </c>
      <c r="F772" s="1" t="s">
        <v>31</v>
      </c>
      <c r="G772" s="4">
        <v>11</v>
      </c>
      <c r="H772" s="4">
        <v>8398</v>
      </c>
      <c r="I772" s="6">
        <v>3850.7012323889699</v>
      </c>
      <c r="J772" s="6">
        <f>表1[[#This Row],[销售金额]]-表1[[#This Row],[退款金额]]</f>
        <v>4547.2987676110297</v>
      </c>
      <c r="K772" s="1">
        <v>747</v>
      </c>
      <c r="L772" s="1">
        <v>307</v>
      </c>
    </row>
    <row r="773" spans="1:12" x14ac:dyDescent="0.3">
      <c r="A773" s="2">
        <v>45913</v>
      </c>
      <c r="B773" s="1" t="s">
        <v>11</v>
      </c>
      <c r="C773" s="1" t="s">
        <v>10</v>
      </c>
      <c r="D773" s="1" t="s">
        <v>139</v>
      </c>
      <c r="E773" s="1" t="s">
        <v>42</v>
      </c>
      <c r="F773" s="1" t="s">
        <v>43</v>
      </c>
      <c r="G773" s="4">
        <v>11</v>
      </c>
      <c r="H773" s="4">
        <v>22684</v>
      </c>
      <c r="I773" s="6">
        <v>22333.537195841542</v>
      </c>
      <c r="J773" s="6">
        <f>表1[[#This Row],[销售金额]]-表1[[#This Row],[退款金额]]</f>
        <v>350.46280415845831</v>
      </c>
      <c r="K773" s="1">
        <v>513</v>
      </c>
      <c r="L773" s="1">
        <v>38</v>
      </c>
    </row>
    <row r="774" spans="1:12" x14ac:dyDescent="0.3">
      <c r="A774" s="2">
        <v>45913</v>
      </c>
      <c r="B774" s="1" t="s">
        <v>25</v>
      </c>
      <c r="C774" s="1" t="s">
        <v>19</v>
      </c>
      <c r="D774" s="1" t="s">
        <v>225</v>
      </c>
      <c r="E774" s="1" t="s">
        <v>27</v>
      </c>
      <c r="F774" s="1" t="s">
        <v>28</v>
      </c>
      <c r="G774" s="4">
        <v>11</v>
      </c>
      <c r="H774" s="4">
        <v>5785</v>
      </c>
      <c r="I774" s="6">
        <v>1408.9679025736175</v>
      </c>
      <c r="J774" s="6">
        <f>表1[[#This Row],[销售金额]]-表1[[#This Row],[退款金额]]</f>
        <v>4376.0320974263823</v>
      </c>
      <c r="K774" s="1">
        <v>757</v>
      </c>
      <c r="L774" s="1">
        <v>77</v>
      </c>
    </row>
    <row r="775" spans="1:12" x14ac:dyDescent="0.3">
      <c r="A775" s="2">
        <v>45913</v>
      </c>
      <c r="B775" s="1" t="s">
        <v>25</v>
      </c>
      <c r="C775" s="1" t="s">
        <v>32</v>
      </c>
      <c r="D775" s="1" t="s">
        <v>124</v>
      </c>
      <c r="E775" s="1" t="s">
        <v>30</v>
      </c>
      <c r="F775" s="1" t="s">
        <v>31</v>
      </c>
      <c r="G775" s="4">
        <v>11</v>
      </c>
      <c r="H775" s="4">
        <v>5899</v>
      </c>
      <c r="I775" s="6">
        <v>3850.7012323889699</v>
      </c>
      <c r="J775" s="6">
        <f>表1[[#This Row],[销售金额]]-表1[[#This Row],[退款金额]]</f>
        <v>2048.2987676110301</v>
      </c>
      <c r="K775" s="1">
        <v>747</v>
      </c>
      <c r="L775" s="1">
        <v>307</v>
      </c>
    </row>
    <row r="776" spans="1:12" x14ac:dyDescent="0.3">
      <c r="A776" s="2">
        <v>45913</v>
      </c>
      <c r="B776" s="1" t="s">
        <v>11</v>
      </c>
      <c r="C776" s="1" t="s">
        <v>10</v>
      </c>
      <c r="D776" s="1" t="s">
        <v>139</v>
      </c>
      <c r="E776" s="1" t="s">
        <v>42</v>
      </c>
      <c r="F776" s="1" t="s">
        <v>43</v>
      </c>
      <c r="G776" s="4">
        <v>11</v>
      </c>
      <c r="H776" s="4">
        <v>24339</v>
      </c>
      <c r="I776" s="6">
        <v>22333.537195841542</v>
      </c>
      <c r="J776" s="6">
        <f>表1[[#This Row],[销售金额]]-表1[[#This Row],[退款金额]]</f>
        <v>2005.4628041584583</v>
      </c>
      <c r="K776" s="1">
        <v>513</v>
      </c>
      <c r="L776" s="1">
        <v>38</v>
      </c>
    </row>
    <row r="777" spans="1:12" x14ac:dyDescent="0.3">
      <c r="A777" s="2">
        <v>45913</v>
      </c>
      <c r="B777" s="1" t="s">
        <v>25</v>
      </c>
      <c r="C777" s="1" t="s">
        <v>19</v>
      </c>
      <c r="D777" s="1" t="s">
        <v>225</v>
      </c>
      <c r="E777" s="1" t="s">
        <v>27</v>
      </c>
      <c r="F777" s="1" t="s">
        <v>28</v>
      </c>
      <c r="G777" s="4">
        <v>11</v>
      </c>
      <c r="H777" s="4">
        <v>3592</v>
      </c>
      <c r="I777" s="6">
        <v>1408.9679025736175</v>
      </c>
      <c r="J777" s="6">
        <f>表1[[#This Row],[销售金额]]-表1[[#This Row],[退款金额]]</f>
        <v>2183.0320974263823</v>
      </c>
      <c r="K777" s="1">
        <v>757</v>
      </c>
      <c r="L777" s="1">
        <v>77</v>
      </c>
    </row>
    <row r="778" spans="1:12" x14ac:dyDescent="0.3">
      <c r="A778" s="2">
        <v>45913</v>
      </c>
      <c r="B778" s="1" t="s">
        <v>25</v>
      </c>
      <c r="C778" s="1" t="s">
        <v>32</v>
      </c>
      <c r="D778" s="1" t="s">
        <v>124</v>
      </c>
      <c r="E778" s="1" t="s">
        <v>30</v>
      </c>
      <c r="F778" s="1" t="s">
        <v>31</v>
      </c>
      <c r="G778" s="4">
        <v>11</v>
      </c>
      <c r="H778" s="4">
        <v>5081</v>
      </c>
      <c r="I778" s="6">
        <v>3850.7012323889699</v>
      </c>
      <c r="J778" s="6">
        <f>表1[[#This Row],[销售金额]]-表1[[#This Row],[退款金额]]</f>
        <v>1230.2987676110301</v>
      </c>
      <c r="K778" s="1">
        <v>747</v>
      </c>
      <c r="L778" s="1">
        <v>307</v>
      </c>
    </row>
    <row r="779" spans="1:12" x14ac:dyDescent="0.3">
      <c r="A779" s="2">
        <v>45913</v>
      </c>
      <c r="B779" s="1" t="s">
        <v>11</v>
      </c>
      <c r="C779" s="1" t="s">
        <v>10</v>
      </c>
      <c r="D779" s="1" t="s">
        <v>139</v>
      </c>
      <c r="E779" s="1" t="s">
        <v>42</v>
      </c>
      <c r="F779" s="1" t="s">
        <v>43</v>
      </c>
      <c r="G779" s="4">
        <v>11</v>
      </c>
      <c r="H779" s="4">
        <v>24985</v>
      </c>
      <c r="I779" s="6">
        <v>22333.537195841542</v>
      </c>
      <c r="J779" s="6">
        <f>表1[[#This Row],[销售金额]]-表1[[#This Row],[退款金额]]</f>
        <v>2651.4628041584583</v>
      </c>
      <c r="K779" s="1">
        <v>513</v>
      </c>
      <c r="L779" s="1">
        <v>38</v>
      </c>
    </row>
    <row r="780" spans="1:12" x14ac:dyDescent="0.3">
      <c r="A780" s="2">
        <v>45913</v>
      </c>
      <c r="B780" s="1" t="s">
        <v>25</v>
      </c>
      <c r="C780" s="1" t="s">
        <v>19</v>
      </c>
      <c r="D780" s="1" t="s">
        <v>225</v>
      </c>
      <c r="E780" s="1" t="s">
        <v>27</v>
      </c>
      <c r="F780" s="1" t="s">
        <v>28</v>
      </c>
      <c r="G780" s="4">
        <v>11</v>
      </c>
      <c r="H780" s="4">
        <v>6024</v>
      </c>
      <c r="I780" s="6">
        <v>1408.9679025736175</v>
      </c>
      <c r="J780" s="6">
        <f>表1[[#This Row],[销售金额]]-表1[[#This Row],[退款金额]]</f>
        <v>4615.0320974263823</v>
      </c>
      <c r="K780" s="1">
        <v>757</v>
      </c>
      <c r="L780" s="1">
        <v>77</v>
      </c>
    </row>
    <row r="781" spans="1:12" x14ac:dyDescent="0.3">
      <c r="A781" s="2">
        <v>45913</v>
      </c>
      <c r="B781" s="1" t="s">
        <v>25</v>
      </c>
      <c r="C781" s="1" t="s">
        <v>32</v>
      </c>
      <c r="D781" s="1" t="s">
        <v>124</v>
      </c>
      <c r="E781" s="1" t="s">
        <v>30</v>
      </c>
      <c r="F781" s="1" t="s">
        <v>31</v>
      </c>
      <c r="G781" s="4">
        <v>11</v>
      </c>
      <c r="H781" s="4">
        <v>7966</v>
      </c>
      <c r="I781" s="6">
        <v>3850.7012323889699</v>
      </c>
      <c r="J781" s="6">
        <f>表1[[#This Row],[销售金额]]-表1[[#This Row],[退款金额]]</f>
        <v>4115.2987676110297</v>
      </c>
      <c r="K781" s="1">
        <v>747</v>
      </c>
      <c r="L781" s="1">
        <v>307</v>
      </c>
    </row>
    <row r="782" spans="1:12" x14ac:dyDescent="0.3">
      <c r="A782" s="2">
        <v>45913</v>
      </c>
      <c r="B782" s="1" t="s">
        <v>11</v>
      </c>
      <c r="C782" s="1" t="s">
        <v>10</v>
      </c>
      <c r="D782" s="1" t="s">
        <v>139</v>
      </c>
      <c r="E782" s="1" t="s">
        <v>42</v>
      </c>
      <c r="F782" s="1" t="s">
        <v>43</v>
      </c>
      <c r="G782" s="4">
        <v>11</v>
      </c>
      <c r="H782" s="4">
        <v>24623</v>
      </c>
      <c r="I782" s="6">
        <v>22333.537195841542</v>
      </c>
      <c r="J782" s="6">
        <f>表1[[#This Row],[销售金额]]-表1[[#This Row],[退款金额]]</f>
        <v>2289.4628041584583</v>
      </c>
      <c r="K782" s="1">
        <v>513</v>
      </c>
      <c r="L782" s="1">
        <v>38</v>
      </c>
    </row>
    <row r="783" spans="1:12" x14ac:dyDescent="0.3">
      <c r="A783" s="2">
        <v>45913</v>
      </c>
      <c r="B783" s="1" t="s">
        <v>25</v>
      </c>
      <c r="C783" s="1" t="s">
        <v>19</v>
      </c>
      <c r="D783" s="1" t="s">
        <v>225</v>
      </c>
      <c r="E783" s="1" t="s">
        <v>27</v>
      </c>
      <c r="F783" s="1" t="s">
        <v>28</v>
      </c>
      <c r="G783" s="4">
        <v>11</v>
      </c>
      <c r="H783" s="4">
        <v>2997</v>
      </c>
      <c r="I783" s="6">
        <v>1408.9679025736175</v>
      </c>
      <c r="J783" s="6">
        <f>表1[[#This Row],[销售金额]]-表1[[#This Row],[退款金额]]</f>
        <v>1588.0320974263825</v>
      </c>
      <c r="K783" s="1">
        <v>757</v>
      </c>
      <c r="L783" s="1">
        <v>77</v>
      </c>
    </row>
    <row r="784" spans="1:12" x14ac:dyDescent="0.3">
      <c r="A784" s="2">
        <v>45913</v>
      </c>
      <c r="B784" s="1" t="s">
        <v>25</v>
      </c>
      <c r="C784" s="1" t="s">
        <v>32</v>
      </c>
      <c r="D784" s="1" t="s">
        <v>124</v>
      </c>
      <c r="E784" s="1" t="s">
        <v>30</v>
      </c>
      <c r="F784" s="1" t="s">
        <v>31</v>
      </c>
      <c r="G784" s="4">
        <v>11</v>
      </c>
      <c r="H784" s="4">
        <v>7817</v>
      </c>
      <c r="I784" s="6">
        <v>3850.7012323889699</v>
      </c>
      <c r="J784" s="6">
        <f>表1[[#This Row],[销售金额]]-表1[[#This Row],[退款金额]]</f>
        <v>3966.2987676110301</v>
      </c>
      <c r="K784" s="1">
        <v>747</v>
      </c>
      <c r="L784" s="1">
        <v>307</v>
      </c>
    </row>
    <row r="785" spans="1:12" x14ac:dyDescent="0.3">
      <c r="A785" s="2">
        <v>45913</v>
      </c>
      <c r="B785" s="1" t="s">
        <v>11</v>
      </c>
      <c r="C785" s="1" t="s">
        <v>10</v>
      </c>
      <c r="D785" s="1" t="s">
        <v>139</v>
      </c>
      <c r="E785" s="1" t="s">
        <v>42</v>
      </c>
      <c r="F785" s="1" t="s">
        <v>43</v>
      </c>
      <c r="G785" s="4">
        <v>11</v>
      </c>
      <c r="H785" s="4">
        <v>25728</v>
      </c>
      <c r="I785" s="6">
        <v>22333.537195841542</v>
      </c>
      <c r="J785" s="6">
        <f>表1[[#This Row],[销售金额]]-表1[[#This Row],[退款金额]]</f>
        <v>3394.4628041584583</v>
      </c>
      <c r="K785" s="1">
        <v>513</v>
      </c>
      <c r="L785" s="1">
        <v>38</v>
      </c>
    </row>
    <row r="786" spans="1:12" x14ac:dyDescent="0.3">
      <c r="A786" s="2">
        <v>45913</v>
      </c>
      <c r="B786" s="1" t="s">
        <v>25</v>
      </c>
      <c r="C786" s="1" t="s">
        <v>19</v>
      </c>
      <c r="D786" s="1" t="s">
        <v>225</v>
      </c>
      <c r="E786" s="1" t="s">
        <v>27</v>
      </c>
      <c r="F786" s="1" t="s">
        <v>28</v>
      </c>
      <c r="G786" s="4">
        <v>11</v>
      </c>
      <c r="H786" s="4">
        <v>5811</v>
      </c>
      <c r="I786" s="6">
        <v>1408.9679025736175</v>
      </c>
      <c r="J786" s="6">
        <f>表1[[#This Row],[销售金额]]-表1[[#This Row],[退款金额]]</f>
        <v>4402.0320974263823</v>
      </c>
      <c r="K786" s="1">
        <v>757</v>
      </c>
      <c r="L786" s="1">
        <v>77</v>
      </c>
    </row>
    <row r="787" spans="1:12" x14ac:dyDescent="0.3">
      <c r="A787" s="2">
        <v>45913</v>
      </c>
      <c r="B787" s="1" t="s">
        <v>25</v>
      </c>
      <c r="C787" s="1" t="s">
        <v>32</v>
      </c>
      <c r="D787" s="1" t="s">
        <v>124</v>
      </c>
      <c r="E787" s="1" t="s">
        <v>30</v>
      </c>
      <c r="F787" s="1" t="s">
        <v>31</v>
      </c>
      <c r="G787" s="4">
        <v>11</v>
      </c>
      <c r="H787" s="4">
        <v>5854</v>
      </c>
      <c r="I787" s="6">
        <v>3850.7012323889699</v>
      </c>
      <c r="J787" s="6">
        <f>表1[[#This Row],[销售金额]]-表1[[#This Row],[退款金额]]</f>
        <v>2003.2987676110301</v>
      </c>
      <c r="K787" s="1">
        <v>747</v>
      </c>
      <c r="L787" s="1">
        <v>307</v>
      </c>
    </row>
    <row r="788" spans="1:12" x14ac:dyDescent="0.3">
      <c r="A788" s="2">
        <v>45913</v>
      </c>
      <c r="B788" s="1" t="s">
        <v>11</v>
      </c>
      <c r="C788" s="1" t="s">
        <v>10</v>
      </c>
      <c r="D788" s="1" t="s">
        <v>139</v>
      </c>
      <c r="E788" s="1" t="s">
        <v>42</v>
      </c>
      <c r="F788" s="1" t="s">
        <v>43</v>
      </c>
      <c r="G788" s="4">
        <v>11</v>
      </c>
      <c r="H788" s="4">
        <v>26829</v>
      </c>
      <c r="I788" s="6">
        <v>22333.537195841542</v>
      </c>
      <c r="J788" s="6">
        <f>表1[[#This Row],[销售金额]]-表1[[#This Row],[退款金额]]</f>
        <v>4495.4628041584583</v>
      </c>
      <c r="K788" s="1">
        <v>513</v>
      </c>
      <c r="L788" s="1">
        <v>38</v>
      </c>
    </row>
    <row r="789" spans="1:12" x14ac:dyDescent="0.3">
      <c r="A789" s="2">
        <v>45913</v>
      </c>
      <c r="B789" s="1" t="s">
        <v>25</v>
      </c>
      <c r="C789" s="1" t="s">
        <v>19</v>
      </c>
      <c r="D789" s="1" t="s">
        <v>225</v>
      </c>
      <c r="E789" s="1" t="s">
        <v>27</v>
      </c>
      <c r="F789" s="1" t="s">
        <v>28</v>
      </c>
      <c r="G789" s="4">
        <v>11</v>
      </c>
      <c r="H789" s="4">
        <v>4773</v>
      </c>
      <c r="I789" s="6">
        <v>1408.9679025736175</v>
      </c>
      <c r="J789" s="6">
        <f>表1[[#This Row],[销售金额]]-表1[[#This Row],[退款金额]]</f>
        <v>3364.0320974263823</v>
      </c>
      <c r="K789" s="1">
        <v>757</v>
      </c>
      <c r="L789" s="1">
        <v>77</v>
      </c>
    </row>
    <row r="790" spans="1:12" x14ac:dyDescent="0.3">
      <c r="A790" s="2">
        <v>45913</v>
      </c>
      <c r="B790" s="1" t="s">
        <v>25</v>
      </c>
      <c r="C790" s="1" t="s">
        <v>32</v>
      </c>
      <c r="D790" s="1" t="s">
        <v>124</v>
      </c>
      <c r="E790" s="1" t="s">
        <v>30</v>
      </c>
      <c r="F790" s="1" t="s">
        <v>31</v>
      </c>
      <c r="G790" s="4">
        <v>11</v>
      </c>
      <c r="H790" s="4">
        <v>7292</v>
      </c>
      <c r="I790" s="6">
        <v>3850.7012323889699</v>
      </c>
      <c r="J790" s="6">
        <f>表1[[#This Row],[销售金额]]-表1[[#This Row],[退款金额]]</f>
        <v>3441.2987676110301</v>
      </c>
      <c r="K790" s="1">
        <v>747</v>
      </c>
      <c r="L790" s="1">
        <v>307</v>
      </c>
    </row>
    <row r="791" spans="1:12" x14ac:dyDescent="0.3">
      <c r="A791" s="2">
        <v>45913</v>
      </c>
      <c r="B791" s="1" t="s">
        <v>11</v>
      </c>
      <c r="C791" s="1" t="s">
        <v>10</v>
      </c>
      <c r="D791" s="1" t="s">
        <v>139</v>
      </c>
      <c r="E791" s="1" t="s">
        <v>42</v>
      </c>
      <c r="F791" s="1" t="s">
        <v>43</v>
      </c>
      <c r="G791" s="4">
        <v>11</v>
      </c>
      <c r="H791" s="4">
        <v>22723</v>
      </c>
      <c r="I791" s="6">
        <v>22333.537195841542</v>
      </c>
      <c r="J791" s="6">
        <f>表1[[#This Row],[销售金额]]-表1[[#This Row],[退款金额]]</f>
        <v>389.46280415845831</v>
      </c>
      <c r="K791" s="1">
        <v>513</v>
      </c>
      <c r="L791" s="1">
        <v>38</v>
      </c>
    </row>
    <row r="792" spans="1:12" x14ac:dyDescent="0.3">
      <c r="A792" s="2">
        <v>45913</v>
      </c>
      <c r="B792" s="1" t="s">
        <v>25</v>
      </c>
      <c r="C792" s="1" t="s">
        <v>19</v>
      </c>
      <c r="D792" s="1" t="s">
        <v>225</v>
      </c>
      <c r="E792" s="1" t="s">
        <v>27</v>
      </c>
      <c r="F792" s="1" t="s">
        <v>28</v>
      </c>
      <c r="G792" s="4">
        <v>11</v>
      </c>
      <c r="H792" s="4">
        <v>6278</v>
      </c>
      <c r="I792" s="6">
        <v>1408.9679025736175</v>
      </c>
      <c r="J792" s="6">
        <f>表1[[#This Row],[销售金额]]-表1[[#This Row],[退款金额]]</f>
        <v>4869.0320974263823</v>
      </c>
      <c r="K792" s="1">
        <v>757</v>
      </c>
      <c r="L792" s="1">
        <v>77</v>
      </c>
    </row>
    <row r="793" spans="1:12" x14ac:dyDescent="0.3">
      <c r="A793" s="2">
        <v>45913</v>
      </c>
      <c r="B793" s="1" t="s">
        <v>250</v>
      </c>
      <c r="C793" s="1" t="s">
        <v>32</v>
      </c>
      <c r="D793" s="1" t="s">
        <v>77</v>
      </c>
      <c r="E793" s="1" t="s">
        <v>60</v>
      </c>
      <c r="F793" s="1" t="s">
        <v>61</v>
      </c>
      <c r="G793" s="4">
        <v>13</v>
      </c>
      <c r="H793" s="4">
        <v>25538</v>
      </c>
      <c r="I793" s="6">
        <v>21520.413737724724</v>
      </c>
      <c r="J793" s="6">
        <f>表1[[#This Row],[销售金额]]-表1[[#This Row],[退款金额]]</f>
        <v>4017.5862622752757</v>
      </c>
      <c r="K793" s="1">
        <v>773</v>
      </c>
      <c r="L793" s="1">
        <v>995</v>
      </c>
    </row>
    <row r="794" spans="1:12" x14ac:dyDescent="0.3">
      <c r="A794" s="2">
        <v>45913</v>
      </c>
      <c r="B794" s="1" t="s">
        <v>25</v>
      </c>
      <c r="C794" s="1" t="s">
        <v>32</v>
      </c>
      <c r="D794" s="1" t="s">
        <v>201</v>
      </c>
      <c r="E794" s="1" t="s">
        <v>30</v>
      </c>
      <c r="F794" s="1" t="s">
        <v>31</v>
      </c>
      <c r="G794" s="4">
        <v>13</v>
      </c>
      <c r="H794" s="4">
        <v>6088</v>
      </c>
      <c r="I794" s="6">
        <v>1986.6320047789752</v>
      </c>
      <c r="J794" s="6">
        <f>表1[[#This Row],[销售金额]]-表1[[#This Row],[退款金额]]</f>
        <v>4101.367995221025</v>
      </c>
      <c r="K794" s="1">
        <v>31</v>
      </c>
      <c r="L794" s="1">
        <v>737</v>
      </c>
    </row>
    <row r="795" spans="1:12" x14ac:dyDescent="0.3">
      <c r="A795" s="2">
        <v>45913</v>
      </c>
      <c r="B795" s="1" t="s">
        <v>250</v>
      </c>
      <c r="C795" s="1" t="s">
        <v>32</v>
      </c>
      <c r="D795" s="1" t="s">
        <v>77</v>
      </c>
      <c r="E795" s="1" t="s">
        <v>60</v>
      </c>
      <c r="F795" s="1" t="s">
        <v>61</v>
      </c>
      <c r="G795" s="4">
        <v>13</v>
      </c>
      <c r="H795" s="4">
        <v>24813</v>
      </c>
      <c r="I795" s="6">
        <v>21520.413737724724</v>
      </c>
      <c r="J795" s="6">
        <f>表1[[#This Row],[销售金额]]-表1[[#This Row],[退款金额]]</f>
        <v>3292.5862622752757</v>
      </c>
      <c r="K795" s="1">
        <v>773</v>
      </c>
      <c r="L795" s="1">
        <v>995</v>
      </c>
    </row>
    <row r="796" spans="1:12" x14ac:dyDescent="0.3">
      <c r="A796" s="2">
        <v>45913</v>
      </c>
      <c r="B796" s="1" t="s">
        <v>25</v>
      </c>
      <c r="C796" s="1" t="s">
        <v>32</v>
      </c>
      <c r="D796" s="1" t="s">
        <v>201</v>
      </c>
      <c r="E796" s="1" t="s">
        <v>30</v>
      </c>
      <c r="F796" s="1" t="s">
        <v>31</v>
      </c>
      <c r="G796" s="4">
        <v>13</v>
      </c>
      <c r="H796" s="4">
        <v>3475</v>
      </c>
      <c r="I796" s="6">
        <v>1986.6320047789752</v>
      </c>
      <c r="J796" s="6">
        <f>表1[[#This Row],[销售金额]]-表1[[#This Row],[退款金额]]</f>
        <v>1488.3679952210248</v>
      </c>
      <c r="K796" s="1">
        <v>31</v>
      </c>
      <c r="L796" s="1">
        <v>737</v>
      </c>
    </row>
    <row r="797" spans="1:12" x14ac:dyDescent="0.3">
      <c r="A797" s="2">
        <v>45913</v>
      </c>
      <c r="B797" s="1" t="s">
        <v>250</v>
      </c>
      <c r="C797" s="1" t="s">
        <v>32</v>
      </c>
      <c r="D797" s="1" t="s">
        <v>77</v>
      </c>
      <c r="E797" s="1" t="s">
        <v>60</v>
      </c>
      <c r="F797" s="1" t="s">
        <v>61</v>
      </c>
      <c r="G797" s="4">
        <v>13</v>
      </c>
      <c r="H797" s="4">
        <v>22942</v>
      </c>
      <c r="I797" s="6">
        <v>21520.413737724724</v>
      </c>
      <c r="J797" s="6">
        <f>表1[[#This Row],[销售金额]]-表1[[#This Row],[退款金额]]</f>
        <v>1421.5862622752757</v>
      </c>
      <c r="K797" s="1">
        <v>773</v>
      </c>
      <c r="L797" s="1">
        <v>995</v>
      </c>
    </row>
    <row r="798" spans="1:12" x14ac:dyDescent="0.3">
      <c r="A798" s="2">
        <v>45913</v>
      </c>
      <c r="B798" s="1" t="s">
        <v>25</v>
      </c>
      <c r="C798" s="1" t="s">
        <v>32</v>
      </c>
      <c r="D798" s="1" t="s">
        <v>201</v>
      </c>
      <c r="E798" s="1" t="s">
        <v>30</v>
      </c>
      <c r="F798" s="1" t="s">
        <v>31</v>
      </c>
      <c r="G798" s="4">
        <v>13</v>
      </c>
      <c r="H798" s="4">
        <v>4744</v>
      </c>
      <c r="I798" s="6">
        <v>1986.6320047789752</v>
      </c>
      <c r="J798" s="6">
        <f>表1[[#This Row],[销售金额]]-表1[[#This Row],[退款金额]]</f>
        <v>2757.367995221025</v>
      </c>
      <c r="K798" s="1">
        <v>31</v>
      </c>
      <c r="L798" s="1">
        <v>737</v>
      </c>
    </row>
    <row r="799" spans="1:12" x14ac:dyDescent="0.3">
      <c r="A799" s="2">
        <v>45913</v>
      </c>
      <c r="B799" s="1" t="s">
        <v>250</v>
      </c>
      <c r="C799" s="1" t="s">
        <v>32</v>
      </c>
      <c r="D799" s="1" t="s">
        <v>77</v>
      </c>
      <c r="E799" s="1" t="s">
        <v>60</v>
      </c>
      <c r="F799" s="1" t="s">
        <v>61</v>
      </c>
      <c r="G799" s="4">
        <v>13</v>
      </c>
      <c r="H799" s="4">
        <v>22365</v>
      </c>
      <c r="I799" s="6">
        <v>21520.413737724724</v>
      </c>
      <c r="J799" s="6">
        <f>表1[[#This Row],[销售金额]]-表1[[#This Row],[退款金额]]</f>
        <v>844.58626227527566</v>
      </c>
      <c r="K799" s="1">
        <v>773</v>
      </c>
      <c r="L799" s="1">
        <v>995</v>
      </c>
    </row>
    <row r="800" spans="1:12" x14ac:dyDescent="0.3">
      <c r="A800" s="2">
        <v>45913</v>
      </c>
      <c r="B800" s="1" t="s">
        <v>25</v>
      </c>
      <c r="C800" s="1" t="s">
        <v>32</v>
      </c>
      <c r="D800" s="1" t="s">
        <v>201</v>
      </c>
      <c r="E800" s="1" t="s">
        <v>30</v>
      </c>
      <c r="F800" s="1" t="s">
        <v>31</v>
      </c>
      <c r="G800" s="4">
        <v>13</v>
      </c>
      <c r="H800" s="4">
        <v>3193</v>
      </c>
      <c r="I800" s="6">
        <v>1986.6320047789752</v>
      </c>
      <c r="J800" s="6">
        <f>表1[[#This Row],[销售金额]]-表1[[#This Row],[退款金额]]</f>
        <v>1206.3679952210248</v>
      </c>
      <c r="K800" s="1">
        <v>31</v>
      </c>
      <c r="L800" s="1">
        <v>737</v>
      </c>
    </row>
    <row r="801" spans="1:12" x14ac:dyDescent="0.3">
      <c r="A801" s="2">
        <v>45913</v>
      </c>
      <c r="B801" s="1" t="s">
        <v>250</v>
      </c>
      <c r="C801" s="1" t="s">
        <v>32</v>
      </c>
      <c r="D801" s="1" t="s">
        <v>77</v>
      </c>
      <c r="E801" s="1" t="s">
        <v>60</v>
      </c>
      <c r="F801" s="1" t="s">
        <v>61</v>
      </c>
      <c r="G801" s="4">
        <v>13</v>
      </c>
      <c r="H801" s="4">
        <v>26089</v>
      </c>
      <c r="I801" s="6">
        <v>21520.413737724724</v>
      </c>
      <c r="J801" s="6">
        <f>表1[[#This Row],[销售金额]]-表1[[#This Row],[退款金额]]</f>
        <v>4568.5862622752757</v>
      </c>
      <c r="K801" s="1">
        <v>773</v>
      </c>
      <c r="L801" s="1">
        <v>995</v>
      </c>
    </row>
    <row r="802" spans="1:12" x14ac:dyDescent="0.3">
      <c r="A802" s="2">
        <v>45913</v>
      </c>
      <c r="B802" s="1" t="s">
        <v>25</v>
      </c>
      <c r="C802" s="1" t="s">
        <v>32</v>
      </c>
      <c r="D802" s="1" t="s">
        <v>201</v>
      </c>
      <c r="E802" s="1" t="s">
        <v>30</v>
      </c>
      <c r="F802" s="1" t="s">
        <v>31</v>
      </c>
      <c r="G802" s="4">
        <v>13</v>
      </c>
      <c r="H802" s="4">
        <v>6139</v>
      </c>
      <c r="I802" s="6">
        <v>1986.6320047789752</v>
      </c>
      <c r="J802" s="6">
        <f>表1[[#This Row],[销售金额]]-表1[[#This Row],[退款金额]]</f>
        <v>4152.367995221025</v>
      </c>
      <c r="K802" s="1">
        <v>31</v>
      </c>
      <c r="L802" s="1">
        <v>737</v>
      </c>
    </row>
    <row r="803" spans="1:12" x14ac:dyDescent="0.3">
      <c r="A803" s="2">
        <v>45913</v>
      </c>
      <c r="B803" s="1" t="s">
        <v>250</v>
      </c>
      <c r="C803" s="1" t="s">
        <v>32</v>
      </c>
      <c r="D803" s="1" t="s">
        <v>77</v>
      </c>
      <c r="E803" s="1" t="s">
        <v>60</v>
      </c>
      <c r="F803" s="1" t="s">
        <v>61</v>
      </c>
      <c r="G803" s="4">
        <v>13</v>
      </c>
      <c r="H803" s="4">
        <v>25631</v>
      </c>
      <c r="I803" s="6">
        <v>21520.413737724724</v>
      </c>
      <c r="J803" s="6">
        <f>表1[[#This Row],[销售金额]]-表1[[#This Row],[退款金额]]</f>
        <v>4110.5862622752757</v>
      </c>
      <c r="K803" s="1">
        <v>773</v>
      </c>
      <c r="L803" s="1">
        <v>995</v>
      </c>
    </row>
    <row r="804" spans="1:12" x14ac:dyDescent="0.3">
      <c r="A804" s="2">
        <v>45913</v>
      </c>
      <c r="B804" s="1" t="s">
        <v>25</v>
      </c>
      <c r="C804" s="1" t="s">
        <v>32</v>
      </c>
      <c r="D804" s="1" t="s">
        <v>201</v>
      </c>
      <c r="E804" s="1" t="s">
        <v>30</v>
      </c>
      <c r="F804" s="1" t="s">
        <v>31</v>
      </c>
      <c r="G804" s="4">
        <v>13</v>
      </c>
      <c r="H804" s="4">
        <v>4267</v>
      </c>
      <c r="I804" s="6">
        <v>1986.6320047789752</v>
      </c>
      <c r="J804" s="6">
        <f>表1[[#This Row],[销售金额]]-表1[[#This Row],[退款金额]]</f>
        <v>2280.367995221025</v>
      </c>
      <c r="K804" s="1">
        <v>31</v>
      </c>
      <c r="L804" s="1">
        <v>737</v>
      </c>
    </row>
    <row r="805" spans="1:12" x14ac:dyDescent="0.3">
      <c r="A805" s="2">
        <v>45913</v>
      </c>
      <c r="B805" s="1" t="s">
        <v>250</v>
      </c>
      <c r="C805" s="1" t="s">
        <v>32</v>
      </c>
      <c r="D805" s="1" t="s">
        <v>77</v>
      </c>
      <c r="E805" s="1" t="s">
        <v>60</v>
      </c>
      <c r="F805" s="1" t="s">
        <v>61</v>
      </c>
      <c r="G805" s="4">
        <v>13</v>
      </c>
      <c r="H805" s="4">
        <v>22645</v>
      </c>
      <c r="I805" s="6">
        <v>21520.413737724724</v>
      </c>
      <c r="J805" s="6">
        <f>表1[[#This Row],[销售金额]]-表1[[#This Row],[退款金额]]</f>
        <v>1124.5862622752757</v>
      </c>
      <c r="K805" s="1">
        <v>773</v>
      </c>
      <c r="L805" s="1">
        <v>995</v>
      </c>
    </row>
    <row r="806" spans="1:12" x14ac:dyDescent="0.3">
      <c r="A806" s="2">
        <v>45913</v>
      </c>
      <c r="B806" s="1" t="s">
        <v>25</v>
      </c>
      <c r="C806" s="1" t="s">
        <v>32</v>
      </c>
      <c r="D806" s="1" t="s">
        <v>201</v>
      </c>
      <c r="E806" s="1" t="s">
        <v>30</v>
      </c>
      <c r="F806" s="1" t="s">
        <v>31</v>
      </c>
      <c r="G806" s="4">
        <v>13</v>
      </c>
      <c r="H806" s="4">
        <v>3066</v>
      </c>
      <c r="I806" s="6">
        <v>1986.6320047789752</v>
      </c>
      <c r="J806" s="6">
        <f>表1[[#This Row],[销售金额]]-表1[[#This Row],[退款金额]]</f>
        <v>1079.3679952210248</v>
      </c>
      <c r="K806" s="1">
        <v>31</v>
      </c>
      <c r="L806" s="1">
        <v>737</v>
      </c>
    </row>
    <row r="807" spans="1:12" x14ac:dyDescent="0.3">
      <c r="A807" s="2">
        <v>45913</v>
      </c>
      <c r="B807" s="1" t="s">
        <v>250</v>
      </c>
      <c r="C807" s="1" t="s">
        <v>32</v>
      </c>
      <c r="D807" s="1" t="s">
        <v>77</v>
      </c>
      <c r="E807" s="1" t="s">
        <v>60</v>
      </c>
      <c r="F807" s="1" t="s">
        <v>61</v>
      </c>
      <c r="G807" s="4">
        <v>13</v>
      </c>
      <c r="H807" s="4">
        <v>24308</v>
      </c>
      <c r="I807" s="6">
        <v>21520.413737724724</v>
      </c>
      <c r="J807" s="6">
        <f>表1[[#This Row],[销售金额]]-表1[[#This Row],[退款金额]]</f>
        <v>2787.5862622752757</v>
      </c>
      <c r="K807" s="1">
        <v>773</v>
      </c>
      <c r="L807" s="1">
        <v>995</v>
      </c>
    </row>
    <row r="808" spans="1:12" x14ac:dyDescent="0.3">
      <c r="A808" s="2">
        <v>45913</v>
      </c>
      <c r="B808" s="1" t="s">
        <v>25</v>
      </c>
      <c r="C808" s="1" t="s">
        <v>32</v>
      </c>
      <c r="D808" s="1" t="s">
        <v>201</v>
      </c>
      <c r="E808" s="1" t="s">
        <v>30</v>
      </c>
      <c r="F808" s="1" t="s">
        <v>31</v>
      </c>
      <c r="G808" s="4">
        <v>13</v>
      </c>
      <c r="H808" s="4">
        <v>5665</v>
      </c>
      <c r="I808" s="6">
        <v>1986.6320047789752</v>
      </c>
      <c r="J808" s="6">
        <f>表1[[#This Row],[销售金额]]-表1[[#This Row],[退款金额]]</f>
        <v>3678.367995221025</v>
      </c>
      <c r="K808" s="1">
        <v>31</v>
      </c>
      <c r="L808" s="1">
        <v>737</v>
      </c>
    </row>
    <row r="809" spans="1:12" x14ac:dyDescent="0.3">
      <c r="A809" s="2">
        <v>45913</v>
      </c>
      <c r="B809" s="1" t="s">
        <v>250</v>
      </c>
      <c r="C809" s="1" t="s">
        <v>32</v>
      </c>
      <c r="D809" s="1" t="s">
        <v>77</v>
      </c>
      <c r="E809" s="1" t="s">
        <v>60</v>
      </c>
      <c r="F809" s="1" t="s">
        <v>61</v>
      </c>
      <c r="G809" s="4">
        <v>13</v>
      </c>
      <c r="H809" s="4">
        <v>21595</v>
      </c>
      <c r="I809" s="6">
        <v>21520.413737724724</v>
      </c>
      <c r="J809" s="6">
        <f>表1[[#This Row],[销售金额]]-表1[[#This Row],[退款金额]]</f>
        <v>74.586262275275658</v>
      </c>
      <c r="K809" s="1">
        <v>773</v>
      </c>
      <c r="L809" s="1">
        <v>995</v>
      </c>
    </row>
    <row r="810" spans="1:12" x14ac:dyDescent="0.3">
      <c r="A810" s="2">
        <v>45913</v>
      </c>
      <c r="B810" s="1" t="s">
        <v>25</v>
      </c>
      <c r="C810" s="1" t="s">
        <v>32</v>
      </c>
      <c r="D810" s="1" t="s">
        <v>201</v>
      </c>
      <c r="E810" s="1" t="s">
        <v>30</v>
      </c>
      <c r="F810" s="1" t="s">
        <v>31</v>
      </c>
      <c r="G810" s="4">
        <v>13</v>
      </c>
      <c r="H810" s="4">
        <v>4292</v>
      </c>
      <c r="I810" s="6">
        <v>1986.6320047789752</v>
      </c>
      <c r="J810" s="6">
        <f>表1[[#This Row],[销售金额]]-表1[[#This Row],[退款金额]]</f>
        <v>2305.367995221025</v>
      </c>
      <c r="K810" s="1">
        <v>31</v>
      </c>
      <c r="L810" s="1">
        <v>737</v>
      </c>
    </row>
    <row r="811" spans="1:12" x14ac:dyDescent="0.3">
      <c r="A811" s="2">
        <v>45913</v>
      </c>
      <c r="B811" s="1" t="s">
        <v>25</v>
      </c>
      <c r="C811" s="1" t="s">
        <v>19</v>
      </c>
      <c r="D811" s="1" t="s">
        <v>121</v>
      </c>
      <c r="E811" s="1" t="s">
        <v>75</v>
      </c>
      <c r="F811" s="1" t="s">
        <v>76</v>
      </c>
      <c r="G811" s="4">
        <v>18</v>
      </c>
      <c r="H811" s="4">
        <v>3813</v>
      </c>
      <c r="I811" s="6">
        <v>898.94957947858938</v>
      </c>
      <c r="J811" s="6">
        <f>表1[[#This Row],[销售金额]]-表1[[#This Row],[退款金额]]</f>
        <v>2914.0504205214106</v>
      </c>
      <c r="K811" s="1">
        <v>564</v>
      </c>
      <c r="L811" s="1">
        <v>868</v>
      </c>
    </row>
    <row r="812" spans="1:12" x14ac:dyDescent="0.3">
      <c r="A812" s="2">
        <v>45913</v>
      </c>
      <c r="B812" s="1" t="s">
        <v>25</v>
      </c>
      <c r="C812" s="1" t="s">
        <v>19</v>
      </c>
      <c r="D812" s="1" t="s">
        <v>121</v>
      </c>
      <c r="E812" s="1" t="s">
        <v>75</v>
      </c>
      <c r="F812" s="1" t="s">
        <v>76</v>
      </c>
      <c r="G812" s="4">
        <v>18</v>
      </c>
      <c r="H812" s="4">
        <v>3586</v>
      </c>
      <c r="I812" s="6">
        <v>898.94957947858938</v>
      </c>
      <c r="J812" s="6">
        <f>表1[[#This Row],[销售金额]]-表1[[#This Row],[退款金额]]</f>
        <v>2687.0504205214106</v>
      </c>
      <c r="K812" s="1">
        <v>564</v>
      </c>
      <c r="L812" s="1">
        <v>868</v>
      </c>
    </row>
    <row r="813" spans="1:12" x14ac:dyDescent="0.3">
      <c r="A813" s="2">
        <v>45913</v>
      </c>
      <c r="B813" s="1" t="s">
        <v>25</v>
      </c>
      <c r="C813" s="1" t="s">
        <v>19</v>
      </c>
      <c r="D813" s="1" t="s">
        <v>121</v>
      </c>
      <c r="E813" s="1" t="s">
        <v>75</v>
      </c>
      <c r="F813" s="1" t="s">
        <v>76</v>
      </c>
      <c r="G813" s="4">
        <v>18</v>
      </c>
      <c r="H813" s="4">
        <v>2308</v>
      </c>
      <c r="I813" s="6">
        <v>898.94957947858938</v>
      </c>
      <c r="J813" s="6">
        <f>表1[[#This Row],[销售金额]]-表1[[#This Row],[退款金额]]</f>
        <v>1409.0504205214106</v>
      </c>
      <c r="K813" s="1">
        <v>564</v>
      </c>
      <c r="L813" s="1">
        <v>868</v>
      </c>
    </row>
    <row r="814" spans="1:12" x14ac:dyDescent="0.3">
      <c r="A814" s="2">
        <v>45913</v>
      </c>
      <c r="B814" s="1" t="s">
        <v>25</v>
      </c>
      <c r="C814" s="1" t="s">
        <v>19</v>
      </c>
      <c r="D814" s="1" t="s">
        <v>121</v>
      </c>
      <c r="E814" s="1" t="s">
        <v>75</v>
      </c>
      <c r="F814" s="1" t="s">
        <v>76</v>
      </c>
      <c r="G814" s="4">
        <v>18</v>
      </c>
      <c r="H814" s="4">
        <v>2567</v>
      </c>
      <c r="I814" s="6">
        <v>898.94957947858938</v>
      </c>
      <c r="J814" s="6">
        <f>表1[[#This Row],[销售金额]]-表1[[#This Row],[退款金额]]</f>
        <v>1668.0504205214106</v>
      </c>
      <c r="K814" s="1">
        <v>564</v>
      </c>
      <c r="L814" s="1">
        <v>868</v>
      </c>
    </row>
    <row r="815" spans="1:12" x14ac:dyDescent="0.3">
      <c r="A815" s="2">
        <v>45913</v>
      </c>
      <c r="B815" s="1" t="s">
        <v>25</v>
      </c>
      <c r="C815" s="1" t="s">
        <v>19</v>
      </c>
      <c r="D815" s="1" t="s">
        <v>121</v>
      </c>
      <c r="E815" s="1" t="s">
        <v>75</v>
      </c>
      <c r="F815" s="1" t="s">
        <v>76</v>
      </c>
      <c r="G815" s="4">
        <v>18</v>
      </c>
      <c r="H815" s="4">
        <v>3766</v>
      </c>
      <c r="I815" s="6">
        <v>898.94957947858938</v>
      </c>
      <c r="J815" s="6">
        <f>表1[[#This Row],[销售金额]]-表1[[#This Row],[退款金额]]</f>
        <v>2867.0504205214106</v>
      </c>
      <c r="K815" s="1">
        <v>564</v>
      </c>
      <c r="L815" s="1">
        <v>868</v>
      </c>
    </row>
    <row r="816" spans="1:12" x14ac:dyDescent="0.3">
      <c r="A816" s="2">
        <v>45913</v>
      </c>
      <c r="B816" s="1" t="s">
        <v>25</v>
      </c>
      <c r="C816" s="1" t="s">
        <v>19</v>
      </c>
      <c r="D816" s="1" t="s">
        <v>121</v>
      </c>
      <c r="E816" s="1" t="s">
        <v>75</v>
      </c>
      <c r="F816" s="1" t="s">
        <v>76</v>
      </c>
      <c r="G816" s="4">
        <v>18</v>
      </c>
      <c r="H816" s="4">
        <v>4869</v>
      </c>
      <c r="I816" s="6">
        <v>898.94957947858938</v>
      </c>
      <c r="J816" s="6">
        <f>表1[[#This Row],[销售金额]]-表1[[#This Row],[退款金额]]</f>
        <v>3970.0504205214106</v>
      </c>
      <c r="K816" s="1">
        <v>564</v>
      </c>
      <c r="L816" s="1">
        <v>868</v>
      </c>
    </row>
    <row r="817" spans="1:12" x14ac:dyDescent="0.3">
      <c r="A817" s="2">
        <v>45913</v>
      </c>
      <c r="B817" s="1" t="s">
        <v>25</v>
      </c>
      <c r="C817" s="1" t="s">
        <v>19</v>
      </c>
      <c r="D817" s="1" t="s">
        <v>121</v>
      </c>
      <c r="E817" s="1" t="s">
        <v>75</v>
      </c>
      <c r="F817" s="1" t="s">
        <v>76</v>
      </c>
      <c r="G817" s="4">
        <v>18</v>
      </c>
      <c r="H817" s="4">
        <v>1629</v>
      </c>
      <c r="I817" s="6">
        <v>898.94957947858938</v>
      </c>
      <c r="J817" s="6">
        <f>表1[[#This Row],[销售金额]]-表1[[#This Row],[退款金额]]</f>
        <v>730.05042052141062</v>
      </c>
      <c r="K817" s="1">
        <v>564</v>
      </c>
      <c r="L817" s="1">
        <v>868</v>
      </c>
    </row>
    <row r="818" spans="1:12" x14ac:dyDescent="0.3">
      <c r="A818" s="2">
        <v>45913</v>
      </c>
      <c r="B818" s="1" t="s">
        <v>25</v>
      </c>
      <c r="C818" s="1" t="s">
        <v>19</v>
      </c>
      <c r="D818" s="1" t="s">
        <v>121</v>
      </c>
      <c r="E818" s="1" t="s">
        <v>75</v>
      </c>
      <c r="F818" s="1" t="s">
        <v>76</v>
      </c>
      <c r="G818" s="4">
        <v>18</v>
      </c>
      <c r="H818" s="4">
        <v>3843</v>
      </c>
      <c r="I818" s="6">
        <v>898.94957947858938</v>
      </c>
      <c r="J818" s="6">
        <f>表1[[#This Row],[销售金额]]-表1[[#This Row],[退款金额]]</f>
        <v>2944.0504205214106</v>
      </c>
      <c r="K818" s="1">
        <v>564</v>
      </c>
      <c r="L818" s="1">
        <v>868</v>
      </c>
    </row>
    <row r="819" spans="1:12" x14ac:dyDescent="0.3">
      <c r="A819" s="2">
        <v>45913</v>
      </c>
      <c r="B819" s="1" t="s">
        <v>25</v>
      </c>
      <c r="C819" s="1" t="s">
        <v>19</v>
      </c>
      <c r="D819" s="1" t="s">
        <v>121</v>
      </c>
      <c r="E819" s="1" t="s">
        <v>75</v>
      </c>
      <c r="F819" s="1" t="s">
        <v>76</v>
      </c>
      <c r="G819" s="4">
        <v>18</v>
      </c>
      <c r="H819" s="4">
        <v>1937</v>
      </c>
      <c r="I819" s="6">
        <v>898.94957947858938</v>
      </c>
      <c r="J819" s="6">
        <f>表1[[#This Row],[销售金额]]-表1[[#This Row],[退款金额]]</f>
        <v>1038.0504205214106</v>
      </c>
      <c r="K819" s="1">
        <v>564</v>
      </c>
      <c r="L819" s="1">
        <v>868</v>
      </c>
    </row>
    <row r="820" spans="1:12" x14ac:dyDescent="0.3">
      <c r="A820" s="2">
        <v>45913</v>
      </c>
      <c r="B820" s="1" t="s">
        <v>248</v>
      </c>
      <c r="C820" s="1" t="s">
        <v>19</v>
      </c>
      <c r="D820" s="1" t="s">
        <v>188</v>
      </c>
      <c r="E820" s="1" t="s">
        <v>75</v>
      </c>
      <c r="F820" s="1" t="s">
        <v>76</v>
      </c>
      <c r="G820" s="4">
        <v>19</v>
      </c>
      <c r="H820" s="4">
        <v>4905</v>
      </c>
      <c r="I820" s="6">
        <v>43.274599542600406</v>
      </c>
      <c r="J820" s="6">
        <f>表1[[#This Row],[销售金额]]-表1[[#This Row],[退款金额]]</f>
        <v>4861.7254004573997</v>
      </c>
      <c r="K820" s="1">
        <v>895</v>
      </c>
      <c r="L820" s="1">
        <v>8</v>
      </c>
    </row>
    <row r="821" spans="1:12" x14ac:dyDescent="0.3">
      <c r="A821" s="2">
        <v>45913</v>
      </c>
      <c r="B821" s="1" t="s">
        <v>248</v>
      </c>
      <c r="C821" s="1" t="s">
        <v>19</v>
      </c>
      <c r="D821" s="1" t="s">
        <v>188</v>
      </c>
      <c r="E821" s="1" t="s">
        <v>75</v>
      </c>
      <c r="F821" s="1" t="s">
        <v>76</v>
      </c>
      <c r="G821" s="4">
        <v>19</v>
      </c>
      <c r="H821" s="4">
        <v>1293</v>
      </c>
      <c r="I821" s="6">
        <v>43.274599542600406</v>
      </c>
      <c r="J821" s="6">
        <f>表1[[#This Row],[销售金额]]-表1[[#This Row],[退款金额]]</f>
        <v>1249.7254004573997</v>
      </c>
      <c r="K821" s="1">
        <v>895</v>
      </c>
      <c r="L821" s="1">
        <v>8</v>
      </c>
    </row>
    <row r="822" spans="1:12" x14ac:dyDescent="0.3">
      <c r="A822" s="2">
        <v>45913</v>
      </c>
      <c r="B822" s="1" t="s">
        <v>248</v>
      </c>
      <c r="C822" s="1" t="s">
        <v>19</v>
      </c>
      <c r="D822" s="1" t="s">
        <v>188</v>
      </c>
      <c r="E822" s="1" t="s">
        <v>75</v>
      </c>
      <c r="F822" s="1" t="s">
        <v>76</v>
      </c>
      <c r="G822" s="4">
        <v>19</v>
      </c>
      <c r="H822" s="4">
        <v>3829</v>
      </c>
      <c r="I822" s="6">
        <v>43.274599542600406</v>
      </c>
      <c r="J822" s="6">
        <f>表1[[#This Row],[销售金额]]-表1[[#This Row],[退款金额]]</f>
        <v>3785.7254004573997</v>
      </c>
      <c r="K822" s="1">
        <v>895</v>
      </c>
      <c r="L822" s="1">
        <v>8</v>
      </c>
    </row>
    <row r="823" spans="1:12" x14ac:dyDescent="0.3">
      <c r="A823" s="2">
        <v>45913</v>
      </c>
      <c r="B823" s="1" t="s">
        <v>248</v>
      </c>
      <c r="C823" s="1" t="s">
        <v>19</v>
      </c>
      <c r="D823" s="1" t="s">
        <v>188</v>
      </c>
      <c r="E823" s="1" t="s">
        <v>75</v>
      </c>
      <c r="F823" s="1" t="s">
        <v>76</v>
      </c>
      <c r="G823" s="4">
        <v>19</v>
      </c>
      <c r="H823" s="4">
        <v>3762</v>
      </c>
      <c r="I823" s="6">
        <v>43.274599542600406</v>
      </c>
      <c r="J823" s="6">
        <f>表1[[#This Row],[销售金额]]-表1[[#This Row],[退款金额]]</f>
        <v>3718.7254004573997</v>
      </c>
      <c r="K823" s="1">
        <v>895</v>
      </c>
      <c r="L823" s="1">
        <v>8</v>
      </c>
    </row>
    <row r="824" spans="1:12" x14ac:dyDescent="0.3">
      <c r="A824" s="2">
        <v>45913</v>
      </c>
      <c r="B824" s="1" t="s">
        <v>248</v>
      </c>
      <c r="C824" s="1" t="s">
        <v>19</v>
      </c>
      <c r="D824" s="1" t="s">
        <v>188</v>
      </c>
      <c r="E824" s="1" t="s">
        <v>75</v>
      </c>
      <c r="F824" s="1" t="s">
        <v>76</v>
      </c>
      <c r="G824" s="4">
        <v>19</v>
      </c>
      <c r="H824" s="4">
        <v>4895</v>
      </c>
      <c r="I824" s="6">
        <v>43.274599542600406</v>
      </c>
      <c r="J824" s="6">
        <f>表1[[#This Row],[销售金额]]-表1[[#This Row],[退款金额]]</f>
        <v>4851.7254004573997</v>
      </c>
      <c r="K824" s="1">
        <v>895</v>
      </c>
      <c r="L824" s="1">
        <v>8</v>
      </c>
    </row>
    <row r="825" spans="1:12" x14ac:dyDescent="0.3">
      <c r="A825" s="2">
        <v>45913</v>
      </c>
      <c r="B825" s="1" t="s">
        <v>248</v>
      </c>
      <c r="C825" s="1" t="s">
        <v>19</v>
      </c>
      <c r="D825" s="1" t="s">
        <v>188</v>
      </c>
      <c r="E825" s="1" t="s">
        <v>75</v>
      </c>
      <c r="F825" s="1" t="s">
        <v>76</v>
      </c>
      <c r="G825" s="4">
        <v>19</v>
      </c>
      <c r="H825" s="4">
        <v>1941</v>
      </c>
      <c r="I825" s="6">
        <v>43.274599542600406</v>
      </c>
      <c r="J825" s="6">
        <f>表1[[#This Row],[销售金额]]-表1[[#This Row],[退款金额]]</f>
        <v>1897.7254004573997</v>
      </c>
      <c r="K825" s="1">
        <v>895</v>
      </c>
      <c r="L825" s="1">
        <v>8</v>
      </c>
    </row>
    <row r="826" spans="1:12" x14ac:dyDescent="0.3">
      <c r="A826" s="2">
        <v>45913</v>
      </c>
      <c r="B826" s="1" t="s">
        <v>248</v>
      </c>
      <c r="C826" s="1" t="s">
        <v>19</v>
      </c>
      <c r="D826" s="1" t="s">
        <v>188</v>
      </c>
      <c r="E826" s="1" t="s">
        <v>75</v>
      </c>
      <c r="F826" s="1" t="s">
        <v>76</v>
      </c>
      <c r="G826" s="4">
        <v>19</v>
      </c>
      <c r="H826" s="4">
        <v>4290</v>
      </c>
      <c r="I826" s="6">
        <v>43.274599542600406</v>
      </c>
      <c r="J826" s="6">
        <f>表1[[#This Row],[销售金额]]-表1[[#This Row],[退款金额]]</f>
        <v>4246.7254004573997</v>
      </c>
      <c r="K826" s="1">
        <v>895</v>
      </c>
      <c r="L826" s="1">
        <v>8</v>
      </c>
    </row>
    <row r="827" spans="1:12" x14ac:dyDescent="0.3">
      <c r="A827" s="2">
        <v>45913</v>
      </c>
      <c r="B827" s="1" t="s">
        <v>248</v>
      </c>
      <c r="C827" s="1" t="s">
        <v>19</v>
      </c>
      <c r="D827" s="1" t="s">
        <v>188</v>
      </c>
      <c r="E827" s="1" t="s">
        <v>75</v>
      </c>
      <c r="F827" s="1" t="s">
        <v>76</v>
      </c>
      <c r="G827" s="4">
        <v>19</v>
      </c>
      <c r="H827" s="4">
        <v>616</v>
      </c>
      <c r="I827" s="6">
        <v>43.274599542600406</v>
      </c>
      <c r="J827" s="6">
        <f>表1[[#This Row],[销售金额]]-表1[[#This Row],[退款金额]]</f>
        <v>572.72540045739959</v>
      </c>
      <c r="K827" s="1">
        <v>895</v>
      </c>
      <c r="L827" s="1">
        <v>8</v>
      </c>
    </row>
    <row r="828" spans="1:12" x14ac:dyDescent="0.3">
      <c r="A828" s="2">
        <v>45913</v>
      </c>
      <c r="B828" s="1" t="s">
        <v>248</v>
      </c>
      <c r="C828" s="1" t="s">
        <v>19</v>
      </c>
      <c r="D828" s="1" t="s">
        <v>188</v>
      </c>
      <c r="E828" s="1" t="s">
        <v>75</v>
      </c>
      <c r="F828" s="1" t="s">
        <v>76</v>
      </c>
      <c r="G828" s="4">
        <v>19</v>
      </c>
      <c r="H828" s="4">
        <v>1352</v>
      </c>
      <c r="I828" s="6">
        <v>43.274599542600406</v>
      </c>
      <c r="J828" s="6">
        <f>表1[[#This Row],[销售金额]]-表1[[#This Row],[退款金额]]</f>
        <v>1308.7254004573997</v>
      </c>
      <c r="K828" s="1">
        <v>895</v>
      </c>
      <c r="L828" s="1">
        <v>8</v>
      </c>
    </row>
    <row r="829" spans="1:12" x14ac:dyDescent="0.3">
      <c r="A829" s="2">
        <v>45914</v>
      </c>
      <c r="B829" s="1" t="s">
        <v>11</v>
      </c>
      <c r="C829" s="1" t="s">
        <v>19</v>
      </c>
      <c r="D829" s="1" t="s">
        <v>109</v>
      </c>
      <c r="E829" s="1" t="s">
        <v>27</v>
      </c>
      <c r="F829" s="1" t="s">
        <v>28</v>
      </c>
      <c r="G829" s="4">
        <v>12</v>
      </c>
      <c r="H829" s="4">
        <v>4804</v>
      </c>
      <c r="I829" s="6">
        <v>669.85494742036747</v>
      </c>
      <c r="J829" s="6">
        <f>表1[[#This Row],[销售金额]]-表1[[#This Row],[退款金额]]</f>
        <v>4134.1450525796326</v>
      </c>
      <c r="K829" s="1">
        <v>314</v>
      </c>
      <c r="L829" s="1">
        <v>93</v>
      </c>
    </row>
    <row r="830" spans="1:12" x14ac:dyDescent="0.3">
      <c r="A830" s="2">
        <v>45914</v>
      </c>
      <c r="B830" s="1" t="s">
        <v>11</v>
      </c>
      <c r="C830" s="1" t="s">
        <v>19</v>
      </c>
      <c r="D830" s="1" t="s">
        <v>109</v>
      </c>
      <c r="E830" s="1" t="s">
        <v>27</v>
      </c>
      <c r="F830" s="1" t="s">
        <v>28</v>
      </c>
      <c r="G830" s="4">
        <v>12</v>
      </c>
      <c r="H830" s="4">
        <v>2669</v>
      </c>
      <c r="I830" s="6">
        <v>669.85494742036747</v>
      </c>
      <c r="J830" s="6">
        <f>表1[[#This Row],[销售金额]]-表1[[#This Row],[退款金额]]</f>
        <v>1999.1450525796326</v>
      </c>
      <c r="K830" s="1">
        <v>314</v>
      </c>
      <c r="L830" s="1">
        <v>93</v>
      </c>
    </row>
    <row r="831" spans="1:12" x14ac:dyDescent="0.3">
      <c r="A831" s="2">
        <v>45914</v>
      </c>
      <c r="B831" s="1" t="s">
        <v>11</v>
      </c>
      <c r="C831" s="1" t="s">
        <v>19</v>
      </c>
      <c r="D831" s="1" t="s">
        <v>109</v>
      </c>
      <c r="E831" s="1" t="s">
        <v>27</v>
      </c>
      <c r="F831" s="1" t="s">
        <v>28</v>
      </c>
      <c r="G831" s="4">
        <v>12</v>
      </c>
      <c r="H831" s="4">
        <v>5163</v>
      </c>
      <c r="I831" s="6">
        <v>669.85494742036747</v>
      </c>
      <c r="J831" s="6">
        <f>表1[[#This Row],[销售金额]]-表1[[#This Row],[退款金额]]</f>
        <v>4493.1450525796326</v>
      </c>
      <c r="K831" s="1">
        <v>314</v>
      </c>
      <c r="L831" s="1">
        <v>93</v>
      </c>
    </row>
    <row r="832" spans="1:12" x14ac:dyDescent="0.3">
      <c r="A832" s="2">
        <v>45914</v>
      </c>
      <c r="B832" s="1" t="s">
        <v>11</v>
      </c>
      <c r="C832" s="1" t="s">
        <v>19</v>
      </c>
      <c r="D832" s="1" t="s">
        <v>109</v>
      </c>
      <c r="E832" s="1" t="s">
        <v>27</v>
      </c>
      <c r="F832" s="1" t="s">
        <v>28</v>
      </c>
      <c r="G832" s="4">
        <v>12</v>
      </c>
      <c r="H832" s="4">
        <v>2214</v>
      </c>
      <c r="I832" s="6">
        <v>669.85494742036747</v>
      </c>
      <c r="J832" s="6">
        <f>表1[[#This Row],[销售金额]]-表1[[#This Row],[退款金额]]</f>
        <v>1544.1450525796326</v>
      </c>
      <c r="K832" s="1">
        <v>314</v>
      </c>
      <c r="L832" s="1">
        <v>93</v>
      </c>
    </row>
    <row r="833" spans="1:12" x14ac:dyDescent="0.3">
      <c r="A833" s="2">
        <v>45914</v>
      </c>
      <c r="B833" s="1" t="s">
        <v>11</v>
      </c>
      <c r="C833" s="1" t="s">
        <v>19</v>
      </c>
      <c r="D833" s="1" t="s">
        <v>109</v>
      </c>
      <c r="E833" s="1" t="s">
        <v>27</v>
      </c>
      <c r="F833" s="1" t="s">
        <v>28</v>
      </c>
      <c r="G833" s="4">
        <v>12</v>
      </c>
      <c r="H833" s="4">
        <v>1696</v>
      </c>
      <c r="I833" s="6">
        <v>669.85494742036747</v>
      </c>
      <c r="J833" s="6">
        <f>表1[[#This Row],[销售金额]]-表1[[#This Row],[退款金额]]</f>
        <v>1026.1450525796326</v>
      </c>
      <c r="K833" s="1">
        <v>314</v>
      </c>
      <c r="L833" s="1">
        <v>93</v>
      </c>
    </row>
    <row r="834" spans="1:12" x14ac:dyDescent="0.3">
      <c r="A834" s="2">
        <v>45914</v>
      </c>
      <c r="B834" s="1" t="s">
        <v>11</v>
      </c>
      <c r="C834" s="1" t="s">
        <v>19</v>
      </c>
      <c r="D834" s="1" t="s">
        <v>109</v>
      </c>
      <c r="E834" s="1" t="s">
        <v>27</v>
      </c>
      <c r="F834" s="1" t="s">
        <v>28</v>
      </c>
      <c r="G834" s="4">
        <v>12</v>
      </c>
      <c r="H834" s="4">
        <v>2461</v>
      </c>
      <c r="I834" s="6">
        <v>669.85494742036747</v>
      </c>
      <c r="J834" s="6">
        <f>表1[[#This Row],[销售金额]]-表1[[#This Row],[退款金额]]</f>
        <v>1791.1450525796326</v>
      </c>
      <c r="K834" s="1">
        <v>314</v>
      </c>
      <c r="L834" s="1">
        <v>93</v>
      </c>
    </row>
    <row r="835" spans="1:12" x14ac:dyDescent="0.3">
      <c r="A835" s="2">
        <v>45914</v>
      </c>
      <c r="B835" s="1" t="s">
        <v>11</v>
      </c>
      <c r="C835" s="1" t="s">
        <v>19</v>
      </c>
      <c r="D835" s="1" t="s">
        <v>109</v>
      </c>
      <c r="E835" s="1" t="s">
        <v>27</v>
      </c>
      <c r="F835" s="1" t="s">
        <v>28</v>
      </c>
      <c r="G835" s="4">
        <v>12</v>
      </c>
      <c r="H835" s="4">
        <v>4729</v>
      </c>
      <c r="I835" s="6">
        <v>669.85494742036747</v>
      </c>
      <c r="J835" s="6">
        <f>表1[[#This Row],[销售金额]]-表1[[#This Row],[退款金额]]</f>
        <v>4059.1450525796326</v>
      </c>
      <c r="K835" s="1">
        <v>314</v>
      </c>
      <c r="L835" s="1">
        <v>93</v>
      </c>
    </row>
    <row r="836" spans="1:12" x14ac:dyDescent="0.3">
      <c r="A836" s="2">
        <v>45914</v>
      </c>
      <c r="B836" s="1" t="s">
        <v>11</v>
      </c>
      <c r="C836" s="1" t="s">
        <v>19</v>
      </c>
      <c r="D836" s="1" t="s">
        <v>109</v>
      </c>
      <c r="E836" s="1" t="s">
        <v>27</v>
      </c>
      <c r="F836" s="1" t="s">
        <v>28</v>
      </c>
      <c r="G836" s="4">
        <v>12</v>
      </c>
      <c r="H836" s="4">
        <v>3421</v>
      </c>
      <c r="I836" s="6">
        <v>669.85494742036747</v>
      </c>
      <c r="J836" s="6">
        <f>表1[[#This Row],[销售金额]]-表1[[#This Row],[退款金额]]</f>
        <v>2751.1450525796326</v>
      </c>
      <c r="K836" s="1">
        <v>314</v>
      </c>
      <c r="L836" s="1">
        <v>93</v>
      </c>
    </row>
    <row r="837" spans="1:12" x14ac:dyDescent="0.3">
      <c r="A837" s="2">
        <v>45914</v>
      </c>
      <c r="B837" s="1" t="s">
        <v>11</v>
      </c>
      <c r="C837" s="1" t="s">
        <v>19</v>
      </c>
      <c r="D837" s="1" t="s">
        <v>109</v>
      </c>
      <c r="E837" s="1" t="s">
        <v>27</v>
      </c>
      <c r="F837" s="1" t="s">
        <v>28</v>
      </c>
      <c r="G837" s="4">
        <v>12</v>
      </c>
      <c r="H837" s="4">
        <v>1812</v>
      </c>
      <c r="I837" s="6">
        <v>669.85494742036747</v>
      </c>
      <c r="J837" s="6">
        <f>表1[[#This Row],[销售金额]]-表1[[#This Row],[退款金额]]</f>
        <v>1142.1450525796326</v>
      </c>
      <c r="K837" s="1">
        <v>314</v>
      </c>
      <c r="L837" s="1">
        <v>93</v>
      </c>
    </row>
    <row r="838" spans="1:12" x14ac:dyDescent="0.3">
      <c r="A838" s="2">
        <v>45914</v>
      </c>
      <c r="B838" s="1" t="s">
        <v>11</v>
      </c>
      <c r="C838" s="1" t="s">
        <v>10</v>
      </c>
      <c r="D838" s="1" t="s">
        <v>165</v>
      </c>
      <c r="E838" s="1" t="s">
        <v>42</v>
      </c>
      <c r="F838" s="1" t="s">
        <v>43</v>
      </c>
      <c r="G838" s="4">
        <v>14</v>
      </c>
      <c r="H838" s="4">
        <v>44454</v>
      </c>
      <c r="I838" s="6">
        <v>43886.549162035888</v>
      </c>
      <c r="J838" s="6">
        <f>表1[[#This Row],[销售金额]]-表1[[#This Row],[退款金额]]</f>
        <v>567.450837964112</v>
      </c>
      <c r="K838" s="1">
        <v>679</v>
      </c>
      <c r="L838" s="1">
        <v>746</v>
      </c>
    </row>
    <row r="839" spans="1:12" x14ac:dyDescent="0.3">
      <c r="A839" s="2">
        <v>45914</v>
      </c>
      <c r="B839" s="1" t="s">
        <v>11</v>
      </c>
      <c r="C839" s="1" t="s">
        <v>10</v>
      </c>
      <c r="D839" s="1" t="s">
        <v>165</v>
      </c>
      <c r="E839" s="1" t="s">
        <v>42</v>
      </c>
      <c r="F839" s="1" t="s">
        <v>43</v>
      </c>
      <c r="G839" s="4">
        <v>14</v>
      </c>
      <c r="H839" s="4">
        <v>44769</v>
      </c>
      <c r="I839" s="6">
        <v>43886.549162035888</v>
      </c>
      <c r="J839" s="6">
        <f>表1[[#This Row],[销售金额]]-表1[[#This Row],[退款金额]]</f>
        <v>882.450837964112</v>
      </c>
      <c r="K839" s="1">
        <v>679</v>
      </c>
      <c r="L839" s="1">
        <v>746</v>
      </c>
    </row>
    <row r="840" spans="1:12" x14ac:dyDescent="0.3">
      <c r="A840" s="2">
        <v>45914</v>
      </c>
      <c r="B840" s="1" t="s">
        <v>11</v>
      </c>
      <c r="C840" s="1" t="s">
        <v>10</v>
      </c>
      <c r="D840" s="1" t="s">
        <v>165</v>
      </c>
      <c r="E840" s="1" t="s">
        <v>42</v>
      </c>
      <c r="F840" s="1" t="s">
        <v>43</v>
      </c>
      <c r="G840" s="4">
        <v>14</v>
      </c>
      <c r="H840" s="4">
        <v>44586</v>
      </c>
      <c r="I840" s="6">
        <v>43886.549162035888</v>
      </c>
      <c r="J840" s="6">
        <f>表1[[#This Row],[销售金额]]-表1[[#This Row],[退款金额]]</f>
        <v>699.450837964112</v>
      </c>
      <c r="K840" s="1">
        <v>679</v>
      </c>
      <c r="L840" s="1">
        <v>746</v>
      </c>
    </row>
    <row r="841" spans="1:12" x14ac:dyDescent="0.3">
      <c r="A841" s="2">
        <v>45914</v>
      </c>
      <c r="B841" s="1" t="s">
        <v>11</v>
      </c>
      <c r="C841" s="1" t="s">
        <v>10</v>
      </c>
      <c r="D841" s="1" t="s">
        <v>165</v>
      </c>
      <c r="E841" s="1" t="s">
        <v>42</v>
      </c>
      <c r="F841" s="1" t="s">
        <v>43</v>
      </c>
      <c r="G841" s="4">
        <v>14</v>
      </c>
      <c r="H841" s="4">
        <v>44519</v>
      </c>
      <c r="I841" s="6">
        <v>43886.549162035888</v>
      </c>
      <c r="J841" s="6">
        <f>表1[[#This Row],[销售金额]]-表1[[#This Row],[退款金额]]</f>
        <v>632.450837964112</v>
      </c>
      <c r="K841" s="1">
        <v>679</v>
      </c>
      <c r="L841" s="1">
        <v>746</v>
      </c>
    </row>
    <row r="842" spans="1:12" x14ac:dyDescent="0.3">
      <c r="A842" s="2">
        <v>45914</v>
      </c>
      <c r="B842" s="1" t="s">
        <v>11</v>
      </c>
      <c r="C842" s="1" t="s">
        <v>10</v>
      </c>
      <c r="D842" s="1" t="s">
        <v>165</v>
      </c>
      <c r="E842" s="1" t="s">
        <v>42</v>
      </c>
      <c r="F842" s="1" t="s">
        <v>43</v>
      </c>
      <c r="G842" s="4">
        <v>14</v>
      </c>
      <c r="H842" s="4">
        <v>48693</v>
      </c>
      <c r="I842" s="6">
        <v>43886.549162035888</v>
      </c>
      <c r="J842" s="6">
        <f>表1[[#This Row],[销售金额]]-表1[[#This Row],[退款金额]]</f>
        <v>4806.450837964112</v>
      </c>
      <c r="K842" s="1">
        <v>679</v>
      </c>
      <c r="L842" s="1">
        <v>746</v>
      </c>
    </row>
    <row r="843" spans="1:12" x14ac:dyDescent="0.3">
      <c r="A843" s="2">
        <v>45914</v>
      </c>
      <c r="B843" s="1" t="s">
        <v>11</v>
      </c>
      <c r="C843" s="1" t="s">
        <v>10</v>
      </c>
      <c r="D843" s="1" t="s">
        <v>165</v>
      </c>
      <c r="E843" s="1" t="s">
        <v>42</v>
      </c>
      <c r="F843" s="1" t="s">
        <v>43</v>
      </c>
      <c r="G843" s="4">
        <v>14</v>
      </c>
      <c r="H843" s="4">
        <v>45446</v>
      </c>
      <c r="I843" s="6">
        <v>43886.549162035888</v>
      </c>
      <c r="J843" s="6">
        <f>表1[[#This Row],[销售金额]]-表1[[#This Row],[退款金额]]</f>
        <v>1559.450837964112</v>
      </c>
      <c r="K843" s="1">
        <v>679</v>
      </c>
      <c r="L843" s="1">
        <v>746</v>
      </c>
    </row>
    <row r="844" spans="1:12" x14ac:dyDescent="0.3">
      <c r="A844" s="2">
        <v>45914</v>
      </c>
      <c r="B844" s="1" t="s">
        <v>11</v>
      </c>
      <c r="C844" s="1" t="s">
        <v>10</v>
      </c>
      <c r="D844" s="1" t="s">
        <v>165</v>
      </c>
      <c r="E844" s="1" t="s">
        <v>42</v>
      </c>
      <c r="F844" s="1" t="s">
        <v>43</v>
      </c>
      <c r="G844" s="4">
        <v>14</v>
      </c>
      <c r="H844" s="4">
        <v>48765</v>
      </c>
      <c r="I844" s="6">
        <v>43886.549162035888</v>
      </c>
      <c r="J844" s="6">
        <f>表1[[#This Row],[销售金额]]-表1[[#This Row],[退款金额]]</f>
        <v>4878.450837964112</v>
      </c>
      <c r="K844" s="1">
        <v>679</v>
      </c>
      <c r="L844" s="1">
        <v>746</v>
      </c>
    </row>
    <row r="845" spans="1:12" x14ac:dyDescent="0.3">
      <c r="A845" s="2">
        <v>45914</v>
      </c>
      <c r="B845" s="1" t="s">
        <v>11</v>
      </c>
      <c r="C845" s="1" t="s">
        <v>10</v>
      </c>
      <c r="D845" s="1" t="s">
        <v>165</v>
      </c>
      <c r="E845" s="1" t="s">
        <v>42</v>
      </c>
      <c r="F845" s="1" t="s">
        <v>43</v>
      </c>
      <c r="G845" s="4">
        <v>14</v>
      </c>
      <c r="H845" s="4">
        <v>47330</v>
      </c>
      <c r="I845" s="6">
        <v>43886.549162035888</v>
      </c>
      <c r="J845" s="6">
        <f>表1[[#This Row],[销售金额]]-表1[[#This Row],[退款金额]]</f>
        <v>3443.450837964112</v>
      </c>
      <c r="K845" s="1">
        <v>679</v>
      </c>
      <c r="L845" s="1">
        <v>746</v>
      </c>
    </row>
    <row r="846" spans="1:12" x14ac:dyDescent="0.3">
      <c r="A846" s="2">
        <v>45914</v>
      </c>
      <c r="B846" s="1" t="s">
        <v>11</v>
      </c>
      <c r="C846" s="1" t="s">
        <v>10</v>
      </c>
      <c r="D846" s="1" t="s">
        <v>165</v>
      </c>
      <c r="E846" s="1" t="s">
        <v>42</v>
      </c>
      <c r="F846" s="1" t="s">
        <v>43</v>
      </c>
      <c r="G846" s="4">
        <v>14</v>
      </c>
      <c r="H846" s="4">
        <v>47369</v>
      </c>
      <c r="I846" s="6">
        <v>43886.549162035888</v>
      </c>
      <c r="J846" s="6">
        <f>表1[[#This Row],[销售金额]]-表1[[#This Row],[退款金额]]</f>
        <v>3482.450837964112</v>
      </c>
      <c r="K846" s="1">
        <v>679</v>
      </c>
      <c r="L846" s="1">
        <v>746</v>
      </c>
    </row>
    <row r="847" spans="1:12" x14ac:dyDescent="0.3">
      <c r="A847" s="2">
        <v>45914</v>
      </c>
      <c r="B847" s="1" t="s">
        <v>247</v>
      </c>
      <c r="C847" s="1" t="s">
        <v>19</v>
      </c>
      <c r="D847" s="1" t="s">
        <v>158</v>
      </c>
      <c r="E847" s="1" t="s">
        <v>17</v>
      </c>
      <c r="F847" s="1" t="s">
        <v>18</v>
      </c>
      <c r="G847" s="4">
        <v>19</v>
      </c>
      <c r="H847" s="4">
        <v>20543</v>
      </c>
      <c r="I847" s="6">
        <v>16754.913406491436</v>
      </c>
      <c r="J847" s="6">
        <f>表1[[#This Row],[销售金额]]-表1[[#This Row],[退款金额]]</f>
        <v>3788.086593508564</v>
      </c>
      <c r="K847" s="1">
        <v>152</v>
      </c>
      <c r="L847" s="1">
        <v>304</v>
      </c>
    </row>
    <row r="848" spans="1:12" x14ac:dyDescent="0.3">
      <c r="A848" s="2">
        <v>45914</v>
      </c>
      <c r="B848" s="1" t="s">
        <v>247</v>
      </c>
      <c r="C848" s="1" t="s">
        <v>19</v>
      </c>
      <c r="D848" s="1" t="s">
        <v>158</v>
      </c>
      <c r="E848" s="1" t="s">
        <v>17</v>
      </c>
      <c r="F848" s="1" t="s">
        <v>18</v>
      </c>
      <c r="G848" s="4">
        <v>19</v>
      </c>
      <c r="H848" s="4">
        <v>18326</v>
      </c>
      <c r="I848" s="6">
        <v>16754.913406491436</v>
      </c>
      <c r="J848" s="6">
        <f>表1[[#This Row],[销售金额]]-表1[[#This Row],[退款金额]]</f>
        <v>1571.086593508564</v>
      </c>
      <c r="K848" s="1">
        <v>152</v>
      </c>
      <c r="L848" s="1">
        <v>304</v>
      </c>
    </row>
    <row r="849" spans="1:12" x14ac:dyDescent="0.3">
      <c r="A849" s="2">
        <v>45914</v>
      </c>
      <c r="B849" s="1" t="s">
        <v>247</v>
      </c>
      <c r="C849" s="1" t="s">
        <v>19</v>
      </c>
      <c r="D849" s="1" t="s">
        <v>158</v>
      </c>
      <c r="E849" s="1" t="s">
        <v>17</v>
      </c>
      <c r="F849" s="1" t="s">
        <v>18</v>
      </c>
      <c r="G849" s="4">
        <v>19</v>
      </c>
      <c r="H849" s="4">
        <v>20620</v>
      </c>
      <c r="I849" s="6">
        <v>16754.913406491436</v>
      </c>
      <c r="J849" s="6">
        <f>表1[[#This Row],[销售金额]]-表1[[#This Row],[退款金额]]</f>
        <v>3865.086593508564</v>
      </c>
      <c r="K849" s="1">
        <v>152</v>
      </c>
      <c r="L849" s="1">
        <v>304</v>
      </c>
    </row>
    <row r="850" spans="1:12" x14ac:dyDescent="0.3">
      <c r="A850" s="2">
        <v>45914</v>
      </c>
      <c r="B850" s="1" t="s">
        <v>247</v>
      </c>
      <c r="C850" s="1" t="s">
        <v>19</v>
      </c>
      <c r="D850" s="1" t="s">
        <v>158</v>
      </c>
      <c r="E850" s="1" t="s">
        <v>17</v>
      </c>
      <c r="F850" s="1" t="s">
        <v>18</v>
      </c>
      <c r="G850" s="4">
        <v>19</v>
      </c>
      <c r="H850" s="4">
        <v>19208</v>
      </c>
      <c r="I850" s="6">
        <v>16754.913406491436</v>
      </c>
      <c r="J850" s="6">
        <f>表1[[#This Row],[销售金额]]-表1[[#This Row],[退款金额]]</f>
        <v>2453.086593508564</v>
      </c>
      <c r="K850" s="1">
        <v>152</v>
      </c>
      <c r="L850" s="1">
        <v>304</v>
      </c>
    </row>
    <row r="851" spans="1:12" x14ac:dyDescent="0.3">
      <c r="A851" s="2">
        <v>45914</v>
      </c>
      <c r="B851" s="1" t="s">
        <v>247</v>
      </c>
      <c r="C851" s="1" t="s">
        <v>19</v>
      </c>
      <c r="D851" s="1" t="s">
        <v>158</v>
      </c>
      <c r="E851" s="1" t="s">
        <v>17</v>
      </c>
      <c r="F851" s="1" t="s">
        <v>18</v>
      </c>
      <c r="G851" s="4">
        <v>19</v>
      </c>
      <c r="H851" s="4">
        <v>19450</v>
      </c>
      <c r="I851" s="6">
        <v>16754.913406491436</v>
      </c>
      <c r="J851" s="6">
        <f>表1[[#This Row],[销售金额]]-表1[[#This Row],[退款金额]]</f>
        <v>2695.086593508564</v>
      </c>
      <c r="K851" s="1">
        <v>152</v>
      </c>
      <c r="L851" s="1">
        <v>304</v>
      </c>
    </row>
    <row r="852" spans="1:12" x14ac:dyDescent="0.3">
      <c r="A852" s="2">
        <v>45914</v>
      </c>
      <c r="B852" s="1" t="s">
        <v>247</v>
      </c>
      <c r="C852" s="1" t="s">
        <v>19</v>
      </c>
      <c r="D852" s="1" t="s">
        <v>158</v>
      </c>
      <c r="E852" s="1" t="s">
        <v>17</v>
      </c>
      <c r="F852" s="1" t="s">
        <v>18</v>
      </c>
      <c r="G852" s="4">
        <v>19</v>
      </c>
      <c r="H852" s="4">
        <v>19626</v>
      </c>
      <c r="I852" s="6">
        <v>16754.913406491436</v>
      </c>
      <c r="J852" s="6">
        <f>表1[[#This Row],[销售金额]]-表1[[#This Row],[退款金额]]</f>
        <v>2871.086593508564</v>
      </c>
      <c r="K852" s="1">
        <v>152</v>
      </c>
      <c r="L852" s="1">
        <v>304</v>
      </c>
    </row>
    <row r="853" spans="1:12" x14ac:dyDescent="0.3">
      <c r="A853" s="2">
        <v>45914</v>
      </c>
      <c r="B853" s="1" t="s">
        <v>247</v>
      </c>
      <c r="C853" s="1" t="s">
        <v>19</v>
      </c>
      <c r="D853" s="1" t="s">
        <v>158</v>
      </c>
      <c r="E853" s="1" t="s">
        <v>17</v>
      </c>
      <c r="F853" s="1" t="s">
        <v>18</v>
      </c>
      <c r="G853" s="4">
        <v>19</v>
      </c>
      <c r="H853" s="4">
        <v>17470</v>
      </c>
      <c r="I853" s="6">
        <v>16754.913406491436</v>
      </c>
      <c r="J853" s="6">
        <f>表1[[#This Row],[销售金额]]-表1[[#This Row],[退款金额]]</f>
        <v>715.08659350856396</v>
      </c>
      <c r="K853" s="1">
        <v>152</v>
      </c>
      <c r="L853" s="1">
        <v>304</v>
      </c>
    </row>
    <row r="854" spans="1:12" x14ac:dyDescent="0.3">
      <c r="A854" s="2">
        <v>45914</v>
      </c>
      <c r="B854" s="1" t="s">
        <v>247</v>
      </c>
      <c r="C854" s="1" t="s">
        <v>19</v>
      </c>
      <c r="D854" s="1" t="s">
        <v>158</v>
      </c>
      <c r="E854" s="1" t="s">
        <v>17</v>
      </c>
      <c r="F854" s="1" t="s">
        <v>18</v>
      </c>
      <c r="G854" s="4">
        <v>19</v>
      </c>
      <c r="H854" s="4">
        <v>18416</v>
      </c>
      <c r="I854" s="6">
        <v>16754.913406491436</v>
      </c>
      <c r="J854" s="6">
        <f>表1[[#This Row],[销售金额]]-表1[[#This Row],[退款金额]]</f>
        <v>1661.086593508564</v>
      </c>
      <c r="K854" s="1">
        <v>152</v>
      </c>
      <c r="L854" s="1">
        <v>304</v>
      </c>
    </row>
    <row r="855" spans="1:12" x14ac:dyDescent="0.3">
      <c r="A855" s="2">
        <v>45914</v>
      </c>
      <c r="B855" s="1" t="s">
        <v>247</v>
      </c>
      <c r="C855" s="1" t="s">
        <v>19</v>
      </c>
      <c r="D855" s="1" t="s">
        <v>158</v>
      </c>
      <c r="E855" s="1" t="s">
        <v>17</v>
      </c>
      <c r="F855" s="1" t="s">
        <v>18</v>
      </c>
      <c r="G855" s="4">
        <v>19</v>
      </c>
      <c r="H855" s="4">
        <v>19592</v>
      </c>
      <c r="I855" s="6">
        <v>16754.913406491436</v>
      </c>
      <c r="J855" s="6">
        <f>表1[[#This Row],[销售金额]]-表1[[#This Row],[退款金额]]</f>
        <v>2837.086593508564</v>
      </c>
      <c r="K855" s="1">
        <v>152</v>
      </c>
      <c r="L855" s="1">
        <v>304</v>
      </c>
    </row>
    <row r="856" spans="1:12" x14ac:dyDescent="0.3">
      <c r="A856" s="2">
        <v>45915</v>
      </c>
      <c r="B856" s="1" t="s">
        <v>247</v>
      </c>
      <c r="C856" s="1" t="s">
        <v>19</v>
      </c>
      <c r="D856" s="1" t="s">
        <v>95</v>
      </c>
      <c r="E856" s="1" t="s">
        <v>51</v>
      </c>
      <c r="F856" s="1" t="s">
        <v>52</v>
      </c>
      <c r="G856" s="4">
        <v>8</v>
      </c>
      <c r="H856" s="4">
        <v>3252</v>
      </c>
      <c r="I856" s="6">
        <v>1914.9023955652463</v>
      </c>
      <c r="J856" s="6">
        <f>表1[[#This Row],[销售金额]]-表1[[#This Row],[退款金额]]</f>
        <v>1337.0976044347537</v>
      </c>
      <c r="K856" s="1">
        <v>984</v>
      </c>
      <c r="L856" s="1">
        <v>710</v>
      </c>
    </row>
    <row r="857" spans="1:12" x14ac:dyDescent="0.3">
      <c r="A857" s="2">
        <v>45915</v>
      </c>
      <c r="B857" s="1" t="s">
        <v>247</v>
      </c>
      <c r="C857" s="1" t="s">
        <v>19</v>
      </c>
      <c r="D857" s="1" t="s">
        <v>95</v>
      </c>
      <c r="E857" s="1" t="s">
        <v>51</v>
      </c>
      <c r="F857" s="1" t="s">
        <v>52</v>
      </c>
      <c r="G857" s="4">
        <v>8</v>
      </c>
      <c r="H857" s="4">
        <v>4341</v>
      </c>
      <c r="I857" s="6">
        <v>1914.9023955652463</v>
      </c>
      <c r="J857" s="6">
        <f>表1[[#This Row],[销售金额]]-表1[[#This Row],[退款金额]]</f>
        <v>2426.0976044347535</v>
      </c>
      <c r="K857" s="1">
        <v>984</v>
      </c>
      <c r="L857" s="1">
        <v>710</v>
      </c>
    </row>
    <row r="858" spans="1:12" x14ac:dyDescent="0.3">
      <c r="A858" s="2">
        <v>45915</v>
      </c>
      <c r="B858" s="1" t="s">
        <v>247</v>
      </c>
      <c r="C858" s="1" t="s">
        <v>19</v>
      </c>
      <c r="D858" s="1" t="s">
        <v>95</v>
      </c>
      <c r="E858" s="1" t="s">
        <v>51</v>
      </c>
      <c r="F858" s="1" t="s">
        <v>52</v>
      </c>
      <c r="G858" s="4">
        <v>8</v>
      </c>
      <c r="H858" s="4">
        <v>4323</v>
      </c>
      <c r="I858" s="6">
        <v>1914.9023955652463</v>
      </c>
      <c r="J858" s="6">
        <f>表1[[#This Row],[销售金额]]-表1[[#This Row],[退款金额]]</f>
        <v>2408.0976044347535</v>
      </c>
      <c r="K858" s="1">
        <v>984</v>
      </c>
      <c r="L858" s="1">
        <v>710</v>
      </c>
    </row>
    <row r="859" spans="1:12" x14ac:dyDescent="0.3">
      <c r="A859" s="2">
        <v>45915</v>
      </c>
      <c r="B859" s="1" t="s">
        <v>247</v>
      </c>
      <c r="C859" s="1" t="s">
        <v>19</v>
      </c>
      <c r="D859" s="1" t="s">
        <v>95</v>
      </c>
      <c r="E859" s="1" t="s">
        <v>51</v>
      </c>
      <c r="F859" s="1" t="s">
        <v>52</v>
      </c>
      <c r="G859" s="4">
        <v>8</v>
      </c>
      <c r="H859" s="4">
        <v>3181</v>
      </c>
      <c r="I859" s="6">
        <v>1914.9023955652463</v>
      </c>
      <c r="J859" s="6">
        <f>表1[[#This Row],[销售金额]]-表1[[#This Row],[退款金额]]</f>
        <v>1266.0976044347537</v>
      </c>
      <c r="K859" s="1">
        <v>984</v>
      </c>
      <c r="L859" s="1">
        <v>710</v>
      </c>
    </row>
    <row r="860" spans="1:12" x14ac:dyDescent="0.3">
      <c r="A860" s="2">
        <v>45915</v>
      </c>
      <c r="B860" s="1" t="s">
        <v>247</v>
      </c>
      <c r="C860" s="1" t="s">
        <v>19</v>
      </c>
      <c r="D860" s="1" t="s">
        <v>95</v>
      </c>
      <c r="E860" s="1" t="s">
        <v>51</v>
      </c>
      <c r="F860" s="1" t="s">
        <v>52</v>
      </c>
      <c r="G860" s="4">
        <v>8</v>
      </c>
      <c r="H860" s="4">
        <v>3500</v>
      </c>
      <c r="I860" s="6">
        <v>1914.9023955652463</v>
      </c>
      <c r="J860" s="6">
        <f>表1[[#This Row],[销售金额]]-表1[[#This Row],[退款金额]]</f>
        <v>1585.0976044347537</v>
      </c>
      <c r="K860" s="1">
        <v>984</v>
      </c>
      <c r="L860" s="1">
        <v>710</v>
      </c>
    </row>
    <row r="861" spans="1:12" x14ac:dyDescent="0.3">
      <c r="A861" s="2">
        <v>45915</v>
      </c>
      <c r="B861" s="1" t="s">
        <v>247</v>
      </c>
      <c r="C861" s="1" t="s">
        <v>19</v>
      </c>
      <c r="D861" s="1" t="s">
        <v>95</v>
      </c>
      <c r="E861" s="1" t="s">
        <v>51</v>
      </c>
      <c r="F861" s="1" t="s">
        <v>52</v>
      </c>
      <c r="G861" s="4">
        <v>8</v>
      </c>
      <c r="H861" s="4">
        <v>6680</v>
      </c>
      <c r="I861" s="6">
        <v>1914.9023955652463</v>
      </c>
      <c r="J861" s="6">
        <f>表1[[#This Row],[销售金额]]-表1[[#This Row],[退款金额]]</f>
        <v>4765.0976044347535</v>
      </c>
      <c r="K861" s="1">
        <v>984</v>
      </c>
      <c r="L861" s="1">
        <v>710</v>
      </c>
    </row>
    <row r="862" spans="1:12" x14ac:dyDescent="0.3">
      <c r="A862" s="2">
        <v>45915</v>
      </c>
      <c r="B862" s="1" t="s">
        <v>247</v>
      </c>
      <c r="C862" s="1" t="s">
        <v>19</v>
      </c>
      <c r="D862" s="1" t="s">
        <v>95</v>
      </c>
      <c r="E862" s="1" t="s">
        <v>51</v>
      </c>
      <c r="F862" s="1" t="s">
        <v>52</v>
      </c>
      <c r="G862" s="4">
        <v>8</v>
      </c>
      <c r="H862" s="4">
        <v>4051</v>
      </c>
      <c r="I862" s="6">
        <v>1914.9023955652463</v>
      </c>
      <c r="J862" s="6">
        <f>表1[[#This Row],[销售金额]]-表1[[#This Row],[退款金额]]</f>
        <v>2136.0976044347535</v>
      </c>
      <c r="K862" s="1">
        <v>984</v>
      </c>
      <c r="L862" s="1">
        <v>710</v>
      </c>
    </row>
    <row r="863" spans="1:12" x14ac:dyDescent="0.3">
      <c r="A863" s="2">
        <v>45915</v>
      </c>
      <c r="B863" s="1" t="s">
        <v>247</v>
      </c>
      <c r="C863" s="1" t="s">
        <v>19</v>
      </c>
      <c r="D863" s="1" t="s">
        <v>95</v>
      </c>
      <c r="E863" s="1" t="s">
        <v>51</v>
      </c>
      <c r="F863" s="1" t="s">
        <v>52</v>
      </c>
      <c r="G863" s="4">
        <v>8</v>
      </c>
      <c r="H863" s="4">
        <v>3775</v>
      </c>
      <c r="I863" s="6">
        <v>1914.9023955652463</v>
      </c>
      <c r="J863" s="6">
        <f>表1[[#This Row],[销售金额]]-表1[[#This Row],[退款金额]]</f>
        <v>1860.0976044347537</v>
      </c>
      <c r="K863" s="1">
        <v>984</v>
      </c>
      <c r="L863" s="1">
        <v>710</v>
      </c>
    </row>
    <row r="864" spans="1:12" x14ac:dyDescent="0.3">
      <c r="A864" s="2">
        <v>45915</v>
      </c>
      <c r="B864" s="1" t="s">
        <v>247</v>
      </c>
      <c r="C864" s="1" t="s">
        <v>19</v>
      </c>
      <c r="D864" s="1" t="s">
        <v>95</v>
      </c>
      <c r="E864" s="1" t="s">
        <v>51</v>
      </c>
      <c r="F864" s="1" t="s">
        <v>52</v>
      </c>
      <c r="G864" s="4">
        <v>8</v>
      </c>
      <c r="H864" s="4">
        <v>3789</v>
      </c>
      <c r="I864" s="6">
        <v>1914.9023955652463</v>
      </c>
      <c r="J864" s="6">
        <f>表1[[#This Row],[销售金额]]-表1[[#This Row],[退款金额]]</f>
        <v>1874.0976044347537</v>
      </c>
      <c r="K864" s="1">
        <v>984</v>
      </c>
      <c r="L864" s="1">
        <v>710</v>
      </c>
    </row>
    <row r="865" spans="1:12" x14ac:dyDescent="0.3">
      <c r="A865" s="2">
        <v>45915</v>
      </c>
      <c r="B865" s="1" t="s">
        <v>247</v>
      </c>
      <c r="C865" s="1" t="s">
        <v>19</v>
      </c>
      <c r="D865" s="1" t="s">
        <v>95</v>
      </c>
      <c r="E865" s="1" t="s">
        <v>51</v>
      </c>
      <c r="F865" s="1" t="s">
        <v>52</v>
      </c>
      <c r="G865" s="4">
        <v>8</v>
      </c>
      <c r="H865" s="4">
        <v>3004</v>
      </c>
      <c r="I865" s="6">
        <v>1914.9023955652463</v>
      </c>
      <c r="J865" s="6">
        <f>表1[[#This Row],[销售金额]]-表1[[#This Row],[退款金额]]</f>
        <v>1089.0976044347537</v>
      </c>
      <c r="K865" s="1">
        <v>984</v>
      </c>
      <c r="L865" s="1">
        <v>710</v>
      </c>
    </row>
    <row r="866" spans="1:12" x14ac:dyDescent="0.3">
      <c r="A866" s="2">
        <v>45915</v>
      </c>
      <c r="B866" s="1" t="s">
        <v>247</v>
      </c>
      <c r="C866" s="1" t="s">
        <v>19</v>
      </c>
      <c r="D866" s="1" t="s">
        <v>95</v>
      </c>
      <c r="E866" s="1" t="s">
        <v>51</v>
      </c>
      <c r="F866" s="1" t="s">
        <v>52</v>
      </c>
      <c r="G866" s="4">
        <v>8</v>
      </c>
      <c r="H866" s="4">
        <v>4521</v>
      </c>
      <c r="I866" s="6">
        <v>1914.9023955652463</v>
      </c>
      <c r="J866" s="6">
        <f>表1[[#This Row],[销售金额]]-表1[[#This Row],[退款金额]]</f>
        <v>2606.0976044347535</v>
      </c>
      <c r="K866" s="1">
        <v>984</v>
      </c>
      <c r="L866" s="1">
        <v>710</v>
      </c>
    </row>
    <row r="867" spans="1:12" x14ac:dyDescent="0.3">
      <c r="A867" s="2">
        <v>45915</v>
      </c>
      <c r="B867" s="1" t="s">
        <v>247</v>
      </c>
      <c r="C867" s="1" t="s">
        <v>19</v>
      </c>
      <c r="D867" s="1" t="s">
        <v>95</v>
      </c>
      <c r="E867" s="1" t="s">
        <v>51</v>
      </c>
      <c r="F867" s="1" t="s">
        <v>52</v>
      </c>
      <c r="G867" s="4">
        <v>8</v>
      </c>
      <c r="H867" s="4">
        <v>3783</v>
      </c>
      <c r="I867" s="6">
        <v>1914.9023955652463</v>
      </c>
      <c r="J867" s="6">
        <f>表1[[#This Row],[销售金额]]-表1[[#This Row],[退款金额]]</f>
        <v>1868.0976044347537</v>
      </c>
      <c r="K867" s="1">
        <v>984</v>
      </c>
      <c r="L867" s="1">
        <v>710</v>
      </c>
    </row>
    <row r="868" spans="1:12" x14ac:dyDescent="0.3">
      <c r="A868" s="2">
        <v>45915</v>
      </c>
      <c r="B868" s="1" t="s">
        <v>247</v>
      </c>
      <c r="C868" s="1" t="s">
        <v>19</v>
      </c>
      <c r="D868" s="1" t="s">
        <v>95</v>
      </c>
      <c r="E868" s="1" t="s">
        <v>51</v>
      </c>
      <c r="F868" s="1" t="s">
        <v>52</v>
      </c>
      <c r="G868" s="4">
        <v>8</v>
      </c>
      <c r="H868" s="4">
        <v>3280</v>
      </c>
      <c r="I868" s="6">
        <v>1914.9023955652463</v>
      </c>
      <c r="J868" s="6">
        <f>表1[[#This Row],[销售金额]]-表1[[#This Row],[退款金额]]</f>
        <v>1365.0976044347537</v>
      </c>
      <c r="K868" s="1">
        <v>984</v>
      </c>
      <c r="L868" s="1">
        <v>710</v>
      </c>
    </row>
    <row r="869" spans="1:12" x14ac:dyDescent="0.3">
      <c r="A869" s="2">
        <v>45915</v>
      </c>
      <c r="B869" s="1" t="s">
        <v>247</v>
      </c>
      <c r="C869" s="1" t="s">
        <v>19</v>
      </c>
      <c r="D869" s="1" t="s">
        <v>95</v>
      </c>
      <c r="E869" s="1" t="s">
        <v>51</v>
      </c>
      <c r="F869" s="1" t="s">
        <v>52</v>
      </c>
      <c r="G869" s="4">
        <v>8</v>
      </c>
      <c r="H869" s="4">
        <v>2754</v>
      </c>
      <c r="I869" s="6">
        <v>1914.9023955652463</v>
      </c>
      <c r="J869" s="6">
        <f>表1[[#This Row],[销售金额]]-表1[[#This Row],[退款金额]]</f>
        <v>839.09760443475375</v>
      </c>
      <c r="K869" s="1">
        <v>984</v>
      </c>
      <c r="L869" s="1">
        <v>710</v>
      </c>
    </row>
    <row r="870" spans="1:12" x14ac:dyDescent="0.3">
      <c r="A870" s="2">
        <v>45915</v>
      </c>
      <c r="B870" s="1" t="s">
        <v>247</v>
      </c>
      <c r="C870" s="1" t="s">
        <v>19</v>
      </c>
      <c r="D870" s="1" t="s">
        <v>95</v>
      </c>
      <c r="E870" s="1" t="s">
        <v>51</v>
      </c>
      <c r="F870" s="1" t="s">
        <v>52</v>
      </c>
      <c r="G870" s="4">
        <v>8</v>
      </c>
      <c r="H870" s="4">
        <v>3552</v>
      </c>
      <c r="I870" s="6">
        <v>1914.9023955652463</v>
      </c>
      <c r="J870" s="6">
        <f>表1[[#This Row],[销售金额]]-表1[[#This Row],[退款金额]]</f>
        <v>1637.0976044347537</v>
      </c>
      <c r="K870" s="1">
        <v>984</v>
      </c>
      <c r="L870" s="1">
        <v>710</v>
      </c>
    </row>
    <row r="871" spans="1:12" x14ac:dyDescent="0.3">
      <c r="A871" s="2">
        <v>45915</v>
      </c>
      <c r="B871" s="1" t="s">
        <v>247</v>
      </c>
      <c r="C871" s="1" t="s">
        <v>19</v>
      </c>
      <c r="D871" s="1" t="s">
        <v>95</v>
      </c>
      <c r="E871" s="1" t="s">
        <v>51</v>
      </c>
      <c r="F871" s="1" t="s">
        <v>52</v>
      </c>
      <c r="G871" s="4">
        <v>8</v>
      </c>
      <c r="H871" s="4">
        <v>3691</v>
      </c>
      <c r="I871" s="6">
        <v>1914.9023955652463</v>
      </c>
      <c r="J871" s="6">
        <f>表1[[#This Row],[销售金额]]-表1[[#This Row],[退款金额]]</f>
        <v>1776.0976044347537</v>
      </c>
      <c r="K871" s="1">
        <v>984</v>
      </c>
      <c r="L871" s="1">
        <v>710</v>
      </c>
    </row>
    <row r="872" spans="1:12" x14ac:dyDescent="0.3">
      <c r="A872" s="2">
        <v>45915</v>
      </c>
      <c r="B872" s="1" t="s">
        <v>247</v>
      </c>
      <c r="C872" s="1" t="s">
        <v>19</v>
      </c>
      <c r="D872" s="1" t="s">
        <v>95</v>
      </c>
      <c r="E872" s="1" t="s">
        <v>51</v>
      </c>
      <c r="F872" s="1" t="s">
        <v>52</v>
      </c>
      <c r="G872" s="4">
        <v>8</v>
      </c>
      <c r="H872" s="4">
        <v>5080</v>
      </c>
      <c r="I872" s="6">
        <v>1914.9023955652463</v>
      </c>
      <c r="J872" s="6">
        <f>表1[[#This Row],[销售金额]]-表1[[#This Row],[退款金额]]</f>
        <v>3165.0976044347535</v>
      </c>
      <c r="K872" s="1">
        <v>984</v>
      </c>
      <c r="L872" s="1">
        <v>710</v>
      </c>
    </row>
    <row r="873" spans="1:12" x14ac:dyDescent="0.3">
      <c r="A873" s="2">
        <v>45915</v>
      </c>
      <c r="B873" s="1" t="s">
        <v>247</v>
      </c>
      <c r="C873" s="1" t="s">
        <v>19</v>
      </c>
      <c r="D873" s="1" t="s">
        <v>95</v>
      </c>
      <c r="E873" s="1" t="s">
        <v>51</v>
      </c>
      <c r="F873" s="1" t="s">
        <v>52</v>
      </c>
      <c r="G873" s="4">
        <v>8</v>
      </c>
      <c r="H873" s="4">
        <v>5011</v>
      </c>
      <c r="I873" s="6">
        <v>1914.9023955652463</v>
      </c>
      <c r="J873" s="6">
        <f>表1[[#This Row],[销售金额]]-表1[[#This Row],[退款金额]]</f>
        <v>3096.0976044347535</v>
      </c>
      <c r="K873" s="1">
        <v>984</v>
      </c>
      <c r="L873" s="1">
        <v>710</v>
      </c>
    </row>
    <row r="874" spans="1:12" x14ac:dyDescent="0.3">
      <c r="A874" s="2">
        <v>45915</v>
      </c>
      <c r="B874" s="1" t="s">
        <v>25</v>
      </c>
      <c r="C874" s="1" t="s">
        <v>10</v>
      </c>
      <c r="D874" s="1" t="s">
        <v>24</v>
      </c>
      <c r="E874" s="1" t="s">
        <v>13</v>
      </c>
      <c r="F874" s="1" t="s">
        <v>14</v>
      </c>
      <c r="G874" s="4">
        <v>50</v>
      </c>
      <c r="H874" s="4">
        <v>5484</v>
      </c>
      <c r="I874" s="6">
        <v>2391.1620072276705</v>
      </c>
      <c r="J874" s="6">
        <f>表1[[#This Row],[销售金额]]-表1[[#This Row],[退款金额]]</f>
        <v>3092.8379927723295</v>
      </c>
      <c r="K874" s="1">
        <v>931</v>
      </c>
      <c r="L874" s="1">
        <v>409</v>
      </c>
    </row>
    <row r="875" spans="1:12" x14ac:dyDescent="0.3">
      <c r="A875" s="2">
        <v>45915</v>
      </c>
      <c r="B875" s="1" t="s">
        <v>25</v>
      </c>
      <c r="C875" s="1" t="s">
        <v>10</v>
      </c>
      <c r="D875" s="1" t="s">
        <v>24</v>
      </c>
      <c r="E875" s="1" t="s">
        <v>13</v>
      </c>
      <c r="F875" s="1" t="s">
        <v>14</v>
      </c>
      <c r="G875" s="4">
        <v>50</v>
      </c>
      <c r="H875" s="4">
        <v>4183</v>
      </c>
      <c r="I875" s="6">
        <v>2391.1620072276705</v>
      </c>
      <c r="J875" s="6">
        <f>表1[[#This Row],[销售金额]]-表1[[#This Row],[退款金额]]</f>
        <v>1791.8379927723295</v>
      </c>
      <c r="K875" s="1">
        <v>931</v>
      </c>
      <c r="L875" s="1">
        <v>409</v>
      </c>
    </row>
    <row r="876" spans="1:12" x14ac:dyDescent="0.3">
      <c r="A876" s="2">
        <v>45915</v>
      </c>
      <c r="B876" s="1" t="s">
        <v>25</v>
      </c>
      <c r="C876" s="1" t="s">
        <v>10</v>
      </c>
      <c r="D876" s="1" t="s">
        <v>24</v>
      </c>
      <c r="E876" s="1" t="s">
        <v>13</v>
      </c>
      <c r="F876" s="1" t="s">
        <v>14</v>
      </c>
      <c r="G876" s="4">
        <v>50</v>
      </c>
      <c r="H876" s="4">
        <v>4874</v>
      </c>
      <c r="I876" s="6">
        <v>2391.1620072276705</v>
      </c>
      <c r="J876" s="6">
        <f>表1[[#This Row],[销售金额]]-表1[[#This Row],[退款金额]]</f>
        <v>2482.8379927723295</v>
      </c>
      <c r="K876" s="1">
        <v>931</v>
      </c>
      <c r="L876" s="1">
        <v>409</v>
      </c>
    </row>
    <row r="877" spans="1:12" x14ac:dyDescent="0.3">
      <c r="A877" s="2">
        <v>45915</v>
      </c>
      <c r="B877" s="1" t="s">
        <v>25</v>
      </c>
      <c r="C877" s="1" t="s">
        <v>10</v>
      </c>
      <c r="D877" s="1" t="s">
        <v>24</v>
      </c>
      <c r="E877" s="1" t="s">
        <v>13</v>
      </c>
      <c r="F877" s="1" t="s">
        <v>14</v>
      </c>
      <c r="G877" s="4">
        <v>50</v>
      </c>
      <c r="H877" s="4">
        <v>3337</v>
      </c>
      <c r="I877" s="6">
        <v>2391.1620072276705</v>
      </c>
      <c r="J877" s="6">
        <f>表1[[#This Row],[销售金额]]-表1[[#This Row],[退款金额]]</f>
        <v>945.83799277232947</v>
      </c>
      <c r="K877" s="1">
        <v>931</v>
      </c>
      <c r="L877" s="1">
        <v>409</v>
      </c>
    </row>
    <row r="878" spans="1:12" x14ac:dyDescent="0.3">
      <c r="A878" s="2">
        <v>45915</v>
      </c>
      <c r="B878" s="1" t="s">
        <v>25</v>
      </c>
      <c r="C878" s="1" t="s">
        <v>10</v>
      </c>
      <c r="D878" s="1" t="s">
        <v>24</v>
      </c>
      <c r="E878" s="1" t="s">
        <v>13</v>
      </c>
      <c r="F878" s="1" t="s">
        <v>14</v>
      </c>
      <c r="G878" s="4">
        <v>50</v>
      </c>
      <c r="H878" s="4">
        <v>5527</v>
      </c>
      <c r="I878" s="6">
        <v>2391.1620072276705</v>
      </c>
      <c r="J878" s="6">
        <f>表1[[#This Row],[销售金额]]-表1[[#This Row],[退款金额]]</f>
        <v>3135.8379927723295</v>
      </c>
      <c r="K878" s="1">
        <v>931</v>
      </c>
      <c r="L878" s="1">
        <v>409</v>
      </c>
    </row>
    <row r="879" spans="1:12" x14ac:dyDescent="0.3">
      <c r="A879" s="2">
        <v>45915</v>
      </c>
      <c r="B879" s="1" t="s">
        <v>25</v>
      </c>
      <c r="C879" s="1" t="s">
        <v>10</v>
      </c>
      <c r="D879" s="1" t="s">
        <v>24</v>
      </c>
      <c r="E879" s="1" t="s">
        <v>13</v>
      </c>
      <c r="F879" s="1" t="s">
        <v>14</v>
      </c>
      <c r="G879" s="4">
        <v>50</v>
      </c>
      <c r="H879" s="4">
        <v>5953</v>
      </c>
      <c r="I879" s="6">
        <v>2391.1620072276705</v>
      </c>
      <c r="J879" s="6">
        <f>表1[[#This Row],[销售金额]]-表1[[#This Row],[退款金额]]</f>
        <v>3561.8379927723295</v>
      </c>
      <c r="K879" s="1">
        <v>931</v>
      </c>
      <c r="L879" s="1">
        <v>409</v>
      </c>
    </row>
    <row r="880" spans="1:12" x14ac:dyDescent="0.3">
      <c r="A880" s="2">
        <v>45915</v>
      </c>
      <c r="B880" s="1" t="s">
        <v>25</v>
      </c>
      <c r="C880" s="1" t="s">
        <v>10</v>
      </c>
      <c r="D880" s="1" t="s">
        <v>24</v>
      </c>
      <c r="E880" s="1" t="s">
        <v>13</v>
      </c>
      <c r="F880" s="1" t="s">
        <v>14</v>
      </c>
      <c r="G880" s="4">
        <v>50</v>
      </c>
      <c r="H880" s="4">
        <v>4511</v>
      </c>
      <c r="I880" s="6">
        <v>2391.1620072276705</v>
      </c>
      <c r="J880" s="6">
        <f>表1[[#This Row],[销售金额]]-表1[[#This Row],[退款金额]]</f>
        <v>2119.8379927723295</v>
      </c>
      <c r="K880" s="1">
        <v>931</v>
      </c>
      <c r="L880" s="1">
        <v>409</v>
      </c>
    </row>
    <row r="881" spans="1:12" x14ac:dyDescent="0.3">
      <c r="A881" s="2">
        <v>45915</v>
      </c>
      <c r="B881" s="1" t="s">
        <v>25</v>
      </c>
      <c r="C881" s="1" t="s">
        <v>10</v>
      </c>
      <c r="D881" s="1" t="s">
        <v>24</v>
      </c>
      <c r="E881" s="1" t="s">
        <v>13</v>
      </c>
      <c r="F881" s="1" t="s">
        <v>14</v>
      </c>
      <c r="G881" s="4">
        <v>50</v>
      </c>
      <c r="H881" s="4">
        <v>5888</v>
      </c>
      <c r="I881" s="6">
        <v>2391.1620072276705</v>
      </c>
      <c r="J881" s="6">
        <f>表1[[#This Row],[销售金额]]-表1[[#This Row],[退款金额]]</f>
        <v>3496.8379927723295</v>
      </c>
      <c r="K881" s="1">
        <v>931</v>
      </c>
      <c r="L881" s="1">
        <v>409</v>
      </c>
    </row>
    <row r="882" spans="1:12" x14ac:dyDescent="0.3">
      <c r="A882" s="2">
        <v>45915</v>
      </c>
      <c r="B882" s="1" t="s">
        <v>25</v>
      </c>
      <c r="C882" s="1" t="s">
        <v>10</v>
      </c>
      <c r="D882" s="1" t="s">
        <v>24</v>
      </c>
      <c r="E882" s="1" t="s">
        <v>13</v>
      </c>
      <c r="F882" s="1" t="s">
        <v>14</v>
      </c>
      <c r="G882" s="4">
        <v>50</v>
      </c>
      <c r="H882" s="4">
        <v>5936</v>
      </c>
      <c r="I882" s="6">
        <v>2391.1620072276705</v>
      </c>
      <c r="J882" s="6">
        <f>表1[[#This Row],[销售金额]]-表1[[#This Row],[退款金额]]</f>
        <v>3544.8379927723295</v>
      </c>
      <c r="K882" s="1">
        <v>931</v>
      </c>
      <c r="L882" s="1">
        <v>409</v>
      </c>
    </row>
    <row r="883" spans="1:12" x14ac:dyDescent="0.3">
      <c r="A883" s="2">
        <v>45916</v>
      </c>
      <c r="B883" s="1" t="s">
        <v>25</v>
      </c>
      <c r="C883" s="1" t="s">
        <v>19</v>
      </c>
      <c r="D883" s="1" t="s">
        <v>194</v>
      </c>
      <c r="E883" s="1" t="s">
        <v>51</v>
      </c>
      <c r="F883" s="1" t="s">
        <v>52</v>
      </c>
      <c r="G883" s="4">
        <v>4</v>
      </c>
      <c r="H883" s="4">
        <v>7283</v>
      </c>
      <c r="I883" s="6">
        <v>3022.4971488785332</v>
      </c>
      <c r="J883" s="6">
        <f>表1[[#This Row],[销售金额]]-表1[[#This Row],[退款金额]]</f>
        <v>4260.5028511214668</v>
      </c>
      <c r="K883" s="1">
        <v>261</v>
      </c>
      <c r="L883" s="1">
        <v>24</v>
      </c>
    </row>
    <row r="884" spans="1:12" x14ac:dyDescent="0.3">
      <c r="A884" s="2">
        <v>45916</v>
      </c>
      <c r="B884" s="1" t="s">
        <v>25</v>
      </c>
      <c r="C884" s="1" t="s">
        <v>19</v>
      </c>
      <c r="D884" s="1" t="s">
        <v>194</v>
      </c>
      <c r="E884" s="1" t="s">
        <v>51</v>
      </c>
      <c r="F884" s="1" t="s">
        <v>52</v>
      </c>
      <c r="G884" s="4">
        <v>4</v>
      </c>
      <c r="H884" s="4">
        <v>6890</v>
      </c>
      <c r="I884" s="6">
        <v>3022.4971488785332</v>
      </c>
      <c r="J884" s="6">
        <f>表1[[#This Row],[销售金额]]-表1[[#This Row],[退款金额]]</f>
        <v>3867.5028511214668</v>
      </c>
      <c r="K884" s="1">
        <v>261</v>
      </c>
      <c r="L884" s="1">
        <v>24</v>
      </c>
    </row>
    <row r="885" spans="1:12" x14ac:dyDescent="0.3">
      <c r="A885" s="2">
        <v>45916</v>
      </c>
      <c r="B885" s="1" t="s">
        <v>25</v>
      </c>
      <c r="C885" s="1" t="s">
        <v>19</v>
      </c>
      <c r="D885" s="1" t="s">
        <v>194</v>
      </c>
      <c r="E885" s="1" t="s">
        <v>51</v>
      </c>
      <c r="F885" s="1" t="s">
        <v>52</v>
      </c>
      <c r="G885" s="4">
        <v>4</v>
      </c>
      <c r="H885" s="4">
        <v>7674</v>
      </c>
      <c r="I885" s="6">
        <v>3022.4971488785332</v>
      </c>
      <c r="J885" s="6">
        <f>表1[[#This Row],[销售金额]]-表1[[#This Row],[退款金额]]</f>
        <v>4651.5028511214668</v>
      </c>
      <c r="K885" s="1">
        <v>261</v>
      </c>
      <c r="L885" s="1">
        <v>24</v>
      </c>
    </row>
    <row r="886" spans="1:12" x14ac:dyDescent="0.3">
      <c r="A886" s="2">
        <v>45916</v>
      </c>
      <c r="B886" s="1" t="s">
        <v>25</v>
      </c>
      <c r="C886" s="1" t="s">
        <v>19</v>
      </c>
      <c r="D886" s="1" t="s">
        <v>194</v>
      </c>
      <c r="E886" s="1" t="s">
        <v>51</v>
      </c>
      <c r="F886" s="1" t="s">
        <v>52</v>
      </c>
      <c r="G886" s="4">
        <v>4</v>
      </c>
      <c r="H886" s="4">
        <v>3099</v>
      </c>
      <c r="I886" s="6">
        <v>3022.4971488785332</v>
      </c>
      <c r="J886" s="6">
        <f>表1[[#This Row],[销售金额]]-表1[[#This Row],[退款金额]]</f>
        <v>76.502851121466847</v>
      </c>
      <c r="K886" s="1">
        <v>261</v>
      </c>
      <c r="L886" s="1">
        <v>24</v>
      </c>
    </row>
    <row r="887" spans="1:12" x14ac:dyDescent="0.3">
      <c r="A887" s="2">
        <v>45916</v>
      </c>
      <c r="B887" s="1" t="s">
        <v>25</v>
      </c>
      <c r="C887" s="1" t="s">
        <v>19</v>
      </c>
      <c r="D887" s="1" t="s">
        <v>194</v>
      </c>
      <c r="E887" s="1" t="s">
        <v>51</v>
      </c>
      <c r="F887" s="1" t="s">
        <v>52</v>
      </c>
      <c r="G887" s="4">
        <v>4</v>
      </c>
      <c r="H887" s="4">
        <v>5574</v>
      </c>
      <c r="I887" s="6">
        <v>3022.4971488785332</v>
      </c>
      <c r="J887" s="6">
        <f>表1[[#This Row],[销售金额]]-表1[[#This Row],[退款金额]]</f>
        <v>2551.5028511214668</v>
      </c>
      <c r="K887" s="1">
        <v>261</v>
      </c>
      <c r="L887" s="1">
        <v>24</v>
      </c>
    </row>
    <row r="888" spans="1:12" x14ac:dyDescent="0.3">
      <c r="A888" s="2">
        <v>45916</v>
      </c>
      <c r="B888" s="1" t="s">
        <v>25</v>
      </c>
      <c r="C888" s="1" t="s">
        <v>19</v>
      </c>
      <c r="D888" s="1" t="s">
        <v>194</v>
      </c>
      <c r="E888" s="1" t="s">
        <v>51</v>
      </c>
      <c r="F888" s="1" t="s">
        <v>52</v>
      </c>
      <c r="G888" s="4">
        <v>4</v>
      </c>
      <c r="H888" s="4">
        <v>7692</v>
      </c>
      <c r="I888" s="6">
        <v>3022.4971488785332</v>
      </c>
      <c r="J888" s="6">
        <f>表1[[#This Row],[销售金额]]-表1[[#This Row],[退款金额]]</f>
        <v>4669.5028511214668</v>
      </c>
      <c r="K888" s="1">
        <v>261</v>
      </c>
      <c r="L888" s="1">
        <v>24</v>
      </c>
    </row>
    <row r="889" spans="1:12" x14ac:dyDescent="0.3">
      <c r="A889" s="2">
        <v>45916</v>
      </c>
      <c r="B889" s="1" t="s">
        <v>25</v>
      </c>
      <c r="C889" s="1" t="s">
        <v>19</v>
      </c>
      <c r="D889" s="1" t="s">
        <v>194</v>
      </c>
      <c r="E889" s="1" t="s">
        <v>51</v>
      </c>
      <c r="F889" s="1" t="s">
        <v>52</v>
      </c>
      <c r="G889" s="4">
        <v>4</v>
      </c>
      <c r="H889" s="4">
        <v>3137</v>
      </c>
      <c r="I889" s="6">
        <v>3022.4971488785332</v>
      </c>
      <c r="J889" s="6">
        <f>表1[[#This Row],[销售金额]]-表1[[#This Row],[退款金额]]</f>
        <v>114.50285112146685</v>
      </c>
      <c r="K889" s="1">
        <v>261</v>
      </c>
      <c r="L889" s="1">
        <v>24</v>
      </c>
    </row>
    <row r="890" spans="1:12" x14ac:dyDescent="0.3">
      <c r="A890" s="2">
        <v>45916</v>
      </c>
      <c r="B890" s="1" t="s">
        <v>25</v>
      </c>
      <c r="C890" s="1" t="s">
        <v>19</v>
      </c>
      <c r="D890" s="1" t="s">
        <v>194</v>
      </c>
      <c r="E890" s="1" t="s">
        <v>51</v>
      </c>
      <c r="F890" s="1" t="s">
        <v>52</v>
      </c>
      <c r="G890" s="4">
        <v>4</v>
      </c>
      <c r="H890" s="4">
        <v>6858</v>
      </c>
      <c r="I890" s="6">
        <v>3022.4971488785332</v>
      </c>
      <c r="J890" s="6">
        <f>表1[[#This Row],[销售金额]]-表1[[#This Row],[退款金额]]</f>
        <v>3835.5028511214668</v>
      </c>
      <c r="K890" s="1">
        <v>261</v>
      </c>
      <c r="L890" s="1">
        <v>24</v>
      </c>
    </row>
    <row r="891" spans="1:12" x14ac:dyDescent="0.3">
      <c r="A891" s="2">
        <v>45916</v>
      </c>
      <c r="B891" s="1" t="s">
        <v>25</v>
      </c>
      <c r="C891" s="1" t="s">
        <v>19</v>
      </c>
      <c r="D891" s="1" t="s">
        <v>194</v>
      </c>
      <c r="E891" s="1" t="s">
        <v>51</v>
      </c>
      <c r="F891" s="1" t="s">
        <v>52</v>
      </c>
      <c r="G891" s="4">
        <v>4</v>
      </c>
      <c r="H891" s="4">
        <v>7749</v>
      </c>
      <c r="I891" s="6">
        <v>3022.4971488785332</v>
      </c>
      <c r="J891" s="6">
        <f>表1[[#This Row],[销售金额]]-表1[[#This Row],[退款金额]]</f>
        <v>4726.5028511214668</v>
      </c>
      <c r="K891" s="1">
        <v>261</v>
      </c>
      <c r="L891" s="1">
        <v>24</v>
      </c>
    </row>
    <row r="892" spans="1:12" x14ac:dyDescent="0.3">
      <c r="A892" s="2">
        <v>45916</v>
      </c>
      <c r="B892" s="1" t="s">
        <v>250</v>
      </c>
      <c r="C892" s="1" t="s">
        <v>10</v>
      </c>
      <c r="D892" s="1" t="s">
        <v>33</v>
      </c>
      <c r="E892" s="1" t="s">
        <v>34</v>
      </c>
      <c r="F892" s="1" t="s">
        <v>35</v>
      </c>
      <c r="G892" s="4">
        <v>5</v>
      </c>
      <c r="H892" s="4">
        <v>27209</v>
      </c>
      <c r="I892" s="6">
        <v>24652.12506496063</v>
      </c>
      <c r="J892" s="6">
        <f>表1[[#This Row],[销售金额]]-表1[[#This Row],[退款金额]]</f>
        <v>2556.87493503937</v>
      </c>
      <c r="K892" s="1">
        <v>505</v>
      </c>
      <c r="L892" s="1">
        <v>575</v>
      </c>
    </row>
    <row r="893" spans="1:12" x14ac:dyDescent="0.3">
      <c r="A893" s="2">
        <v>45916</v>
      </c>
      <c r="B893" s="1" t="s">
        <v>250</v>
      </c>
      <c r="C893" s="1" t="s">
        <v>10</v>
      </c>
      <c r="D893" s="1" t="s">
        <v>33</v>
      </c>
      <c r="E893" s="1" t="s">
        <v>34</v>
      </c>
      <c r="F893" s="1" t="s">
        <v>35</v>
      </c>
      <c r="G893" s="4">
        <v>5</v>
      </c>
      <c r="H893" s="4">
        <v>28595</v>
      </c>
      <c r="I893" s="6">
        <v>24652.12506496063</v>
      </c>
      <c r="J893" s="6">
        <f>表1[[#This Row],[销售金额]]-表1[[#This Row],[退款金额]]</f>
        <v>3942.87493503937</v>
      </c>
      <c r="K893" s="1">
        <v>505</v>
      </c>
      <c r="L893" s="1">
        <v>575</v>
      </c>
    </row>
    <row r="894" spans="1:12" x14ac:dyDescent="0.3">
      <c r="A894" s="2">
        <v>45916</v>
      </c>
      <c r="B894" s="1" t="s">
        <v>250</v>
      </c>
      <c r="C894" s="1" t="s">
        <v>10</v>
      </c>
      <c r="D894" s="1" t="s">
        <v>33</v>
      </c>
      <c r="E894" s="1" t="s">
        <v>34</v>
      </c>
      <c r="F894" s="1" t="s">
        <v>35</v>
      </c>
      <c r="G894" s="4">
        <v>5</v>
      </c>
      <c r="H894" s="4">
        <v>26082</v>
      </c>
      <c r="I894" s="6">
        <v>24652.12506496063</v>
      </c>
      <c r="J894" s="6">
        <f>表1[[#This Row],[销售金额]]-表1[[#This Row],[退款金额]]</f>
        <v>1429.87493503937</v>
      </c>
      <c r="K894" s="1">
        <v>505</v>
      </c>
      <c r="L894" s="1">
        <v>575</v>
      </c>
    </row>
    <row r="895" spans="1:12" x14ac:dyDescent="0.3">
      <c r="A895" s="2">
        <v>45916</v>
      </c>
      <c r="B895" s="1" t="s">
        <v>250</v>
      </c>
      <c r="C895" s="1" t="s">
        <v>10</v>
      </c>
      <c r="D895" s="1" t="s">
        <v>33</v>
      </c>
      <c r="E895" s="1" t="s">
        <v>34</v>
      </c>
      <c r="F895" s="1" t="s">
        <v>35</v>
      </c>
      <c r="G895" s="4">
        <v>5</v>
      </c>
      <c r="H895" s="4">
        <v>29390</v>
      </c>
      <c r="I895" s="6">
        <v>24652.12506496063</v>
      </c>
      <c r="J895" s="6">
        <f>表1[[#This Row],[销售金额]]-表1[[#This Row],[退款金额]]</f>
        <v>4737.87493503937</v>
      </c>
      <c r="K895" s="1">
        <v>505</v>
      </c>
      <c r="L895" s="1">
        <v>575</v>
      </c>
    </row>
    <row r="896" spans="1:12" x14ac:dyDescent="0.3">
      <c r="A896" s="2">
        <v>45916</v>
      </c>
      <c r="B896" s="1" t="s">
        <v>250</v>
      </c>
      <c r="C896" s="1" t="s">
        <v>10</v>
      </c>
      <c r="D896" s="1" t="s">
        <v>33</v>
      </c>
      <c r="E896" s="1" t="s">
        <v>34</v>
      </c>
      <c r="F896" s="1" t="s">
        <v>35</v>
      </c>
      <c r="G896" s="4">
        <v>5</v>
      </c>
      <c r="H896" s="4">
        <v>26600</v>
      </c>
      <c r="I896" s="6">
        <v>24652.12506496063</v>
      </c>
      <c r="J896" s="6">
        <f>表1[[#This Row],[销售金额]]-表1[[#This Row],[退款金额]]</f>
        <v>1947.87493503937</v>
      </c>
      <c r="K896" s="1">
        <v>505</v>
      </c>
      <c r="L896" s="1">
        <v>575</v>
      </c>
    </row>
    <row r="897" spans="1:12" x14ac:dyDescent="0.3">
      <c r="A897" s="2">
        <v>45916</v>
      </c>
      <c r="B897" s="1" t="s">
        <v>250</v>
      </c>
      <c r="C897" s="1" t="s">
        <v>10</v>
      </c>
      <c r="D897" s="1" t="s">
        <v>33</v>
      </c>
      <c r="E897" s="1" t="s">
        <v>34</v>
      </c>
      <c r="F897" s="1" t="s">
        <v>35</v>
      </c>
      <c r="G897" s="4">
        <v>5</v>
      </c>
      <c r="H897" s="4">
        <v>26602</v>
      </c>
      <c r="I897" s="6">
        <v>24652.12506496063</v>
      </c>
      <c r="J897" s="6">
        <f>表1[[#This Row],[销售金额]]-表1[[#This Row],[退款金额]]</f>
        <v>1949.87493503937</v>
      </c>
      <c r="K897" s="1">
        <v>505</v>
      </c>
      <c r="L897" s="1">
        <v>575</v>
      </c>
    </row>
    <row r="898" spans="1:12" x14ac:dyDescent="0.3">
      <c r="A898" s="2">
        <v>45916</v>
      </c>
      <c r="B898" s="1" t="s">
        <v>250</v>
      </c>
      <c r="C898" s="1" t="s">
        <v>10</v>
      </c>
      <c r="D898" s="1" t="s">
        <v>33</v>
      </c>
      <c r="E898" s="1" t="s">
        <v>34</v>
      </c>
      <c r="F898" s="1" t="s">
        <v>35</v>
      </c>
      <c r="G898" s="4">
        <v>5</v>
      </c>
      <c r="H898" s="4">
        <v>29241</v>
      </c>
      <c r="I898" s="6">
        <v>24652.12506496063</v>
      </c>
      <c r="J898" s="6">
        <f>表1[[#This Row],[销售金额]]-表1[[#This Row],[退款金额]]</f>
        <v>4588.87493503937</v>
      </c>
      <c r="K898" s="1">
        <v>505</v>
      </c>
      <c r="L898" s="1">
        <v>575</v>
      </c>
    </row>
    <row r="899" spans="1:12" x14ac:dyDescent="0.3">
      <c r="A899" s="2">
        <v>45916</v>
      </c>
      <c r="B899" s="1" t="s">
        <v>250</v>
      </c>
      <c r="C899" s="1" t="s">
        <v>10</v>
      </c>
      <c r="D899" s="1" t="s">
        <v>33</v>
      </c>
      <c r="E899" s="1" t="s">
        <v>34</v>
      </c>
      <c r="F899" s="1" t="s">
        <v>35</v>
      </c>
      <c r="G899" s="4">
        <v>5</v>
      </c>
      <c r="H899" s="4">
        <v>27555</v>
      </c>
      <c r="I899" s="6">
        <v>24652.12506496063</v>
      </c>
      <c r="J899" s="6">
        <f>表1[[#This Row],[销售金额]]-表1[[#This Row],[退款金额]]</f>
        <v>2902.87493503937</v>
      </c>
      <c r="K899" s="1">
        <v>505</v>
      </c>
      <c r="L899" s="1">
        <v>575</v>
      </c>
    </row>
    <row r="900" spans="1:12" x14ac:dyDescent="0.3">
      <c r="A900" s="2">
        <v>45916</v>
      </c>
      <c r="B900" s="1" t="s">
        <v>250</v>
      </c>
      <c r="C900" s="1" t="s">
        <v>10</v>
      </c>
      <c r="D900" s="1" t="s">
        <v>183</v>
      </c>
      <c r="E900" s="1" t="s">
        <v>42</v>
      </c>
      <c r="F900" s="1" t="s">
        <v>43</v>
      </c>
      <c r="G900" s="4">
        <v>8</v>
      </c>
      <c r="H900" s="4">
        <v>13027</v>
      </c>
      <c r="I900" s="6">
        <v>10161.097678804734</v>
      </c>
      <c r="J900" s="6">
        <f>表1[[#This Row],[销售金额]]-表1[[#This Row],[退款金额]]</f>
        <v>2865.9023211952663</v>
      </c>
      <c r="K900" s="1">
        <v>437</v>
      </c>
      <c r="L900" s="1">
        <v>378</v>
      </c>
    </row>
    <row r="901" spans="1:12" x14ac:dyDescent="0.3">
      <c r="A901" s="2">
        <v>45916</v>
      </c>
      <c r="B901" s="1" t="s">
        <v>250</v>
      </c>
      <c r="C901" s="1" t="s">
        <v>10</v>
      </c>
      <c r="D901" s="1" t="s">
        <v>183</v>
      </c>
      <c r="E901" s="1" t="s">
        <v>42</v>
      </c>
      <c r="F901" s="1" t="s">
        <v>43</v>
      </c>
      <c r="G901" s="4">
        <v>8</v>
      </c>
      <c r="H901" s="4">
        <v>10520</v>
      </c>
      <c r="I901" s="6">
        <v>10161.097678804734</v>
      </c>
      <c r="J901" s="6">
        <f>表1[[#This Row],[销售金额]]-表1[[#This Row],[退款金额]]</f>
        <v>358.90232119526627</v>
      </c>
      <c r="K901" s="1">
        <v>437</v>
      </c>
      <c r="L901" s="1">
        <v>378</v>
      </c>
    </row>
    <row r="902" spans="1:12" x14ac:dyDescent="0.3">
      <c r="A902" s="2">
        <v>45916</v>
      </c>
      <c r="B902" s="1" t="s">
        <v>250</v>
      </c>
      <c r="C902" s="1" t="s">
        <v>10</v>
      </c>
      <c r="D902" s="1" t="s">
        <v>183</v>
      </c>
      <c r="E902" s="1" t="s">
        <v>42</v>
      </c>
      <c r="F902" s="1" t="s">
        <v>43</v>
      </c>
      <c r="G902" s="4">
        <v>8</v>
      </c>
      <c r="H902" s="4">
        <v>10581</v>
      </c>
      <c r="I902" s="6">
        <v>10161.097678804734</v>
      </c>
      <c r="J902" s="6">
        <f>表1[[#This Row],[销售金额]]-表1[[#This Row],[退款金额]]</f>
        <v>419.90232119526627</v>
      </c>
      <c r="K902" s="1">
        <v>437</v>
      </c>
      <c r="L902" s="1">
        <v>378</v>
      </c>
    </row>
    <row r="903" spans="1:12" x14ac:dyDescent="0.3">
      <c r="A903" s="2">
        <v>45916</v>
      </c>
      <c r="B903" s="1" t="s">
        <v>250</v>
      </c>
      <c r="C903" s="1" t="s">
        <v>10</v>
      </c>
      <c r="D903" s="1" t="s">
        <v>183</v>
      </c>
      <c r="E903" s="1" t="s">
        <v>42</v>
      </c>
      <c r="F903" s="1" t="s">
        <v>43</v>
      </c>
      <c r="G903" s="4">
        <v>8</v>
      </c>
      <c r="H903" s="4">
        <v>13478</v>
      </c>
      <c r="I903" s="6">
        <v>10161.097678804734</v>
      </c>
      <c r="J903" s="6">
        <f>表1[[#This Row],[销售金额]]-表1[[#This Row],[退款金额]]</f>
        <v>3316.9023211952663</v>
      </c>
      <c r="K903" s="1">
        <v>437</v>
      </c>
      <c r="L903" s="1">
        <v>378</v>
      </c>
    </row>
    <row r="904" spans="1:12" x14ac:dyDescent="0.3">
      <c r="A904" s="2">
        <v>45916</v>
      </c>
      <c r="B904" s="1" t="s">
        <v>250</v>
      </c>
      <c r="C904" s="1" t="s">
        <v>10</v>
      </c>
      <c r="D904" s="1" t="s">
        <v>183</v>
      </c>
      <c r="E904" s="1" t="s">
        <v>42</v>
      </c>
      <c r="F904" s="1" t="s">
        <v>43</v>
      </c>
      <c r="G904" s="4">
        <v>8</v>
      </c>
      <c r="H904" s="4">
        <v>11341</v>
      </c>
      <c r="I904" s="6">
        <v>10161.097678804734</v>
      </c>
      <c r="J904" s="6">
        <f>表1[[#This Row],[销售金额]]-表1[[#This Row],[退款金额]]</f>
        <v>1179.9023211952663</v>
      </c>
      <c r="K904" s="1">
        <v>437</v>
      </c>
      <c r="L904" s="1">
        <v>378</v>
      </c>
    </row>
    <row r="905" spans="1:12" x14ac:dyDescent="0.3">
      <c r="A905" s="2">
        <v>45916</v>
      </c>
      <c r="B905" s="1" t="s">
        <v>250</v>
      </c>
      <c r="C905" s="1" t="s">
        <v>10</v>
      </c>
      <c r="D905" s="1" t="s">
        <v>183</v>
      </c>
      <c r="E905" s="1" t="s">
        <v>42</v>
      </c>
      <c r="F905" s="1" t="s">
        <v>43</v>
      </c>
      <c r="G905" s="4">
        <v>8</v>
      </c>
      <c r="H905" s="4">
        <v>11277</v>
      </c>
      <c r="I905" s="6">
        <v>10161.097678804734</v>
      </c>
      <c r="J905" s="6">
        <f>表1[[#This Row],[销售金额]]-表1[[#This Row],[退款金额]]</f>
        <v>1115.9023211952663</v>
      </c>
      <c r="K905" s="1">
        <v>437</v>
      </c>
      <c r="L905" s="1">
        <v>378</v>
      </c>
    </row>
    <row r="906" spans="1:12" x14ac:dyDescent="0.3">
      <c r="A906" s="2">
        <v>45916</v>
      </c>
      <c r="B906" s="1" t="s">
        <v>250</v>
      </c>
      <c r="C906" s="1" t="s">
        <v>10</v>
      </c>
      <c r="D906" s="1" t="s">
        <v>183</v>
      </c>
      <c r="E906" s="1" t="s">
        <v>42</v>
      </c>
      <c r="F906" s="1" t="s">
        <v>43</v>
      </c>
      <c r="G906" s="4">
        <v>8</v>
      </c>
      <c r="H906" s="4">
        <v>13986</v>
      </c>
      <c r="I906" s="6">
        <v>10161.097678804734</v>
      </c>
      <c r="J906" s="6">
        <f>表1[[#This Row],[销售金额]]-表1[[#This Row],[退款金额]]</f>
        <v>3824.9023211952663</v>
      </c>
      <c r="K906" s="1">
        <v>437</v>
      </c>
      <c r="L906" s="1">
        <v>378</v>
      </c>
    </row>
    <row r="907" spans="1:12" x14ac:dyDescent="0.3">
      <c r="A907" s="2">
        <v>45916</v>
      </c>
      <c r="B907" s="1" t="s">
        <v>250</v>
      </c>
      <c r="C907" s="1" t="s">
        <v>10</v>
      </c>
      <c r="D907" s="1" t="s">
        <v>183</v>
      </c>
      <c r="E907" s="1" t="s">
        <v>42</v>
      </c>
      <c r="F907" s="1" t="s">
        <v>43</v>
      </c>
      <c r="G907" s="4">
        <v>8</v>
      </c>
      <c r="H907" s="4">
        <v>11275</v>
      </c>
      <c r="I907" s="6">
        <v>10161.097678804734</v>
      </c>
      <c r="J907" s="6">
        <f>表1[[#This Row],[销售金额]]-表1[[#This Row],[退款金额]]</f>
        <v>1113.9023211952663</v>
      </c>
      <c r="K907" s="1">
        <v>437</v>
      </c>
      <c r="L907" s="1">
        <v>378</v>
      </c>
    </row>
    <row r="908" spans="1:12" x14ac:dyDescent="0.3">
      <c r="A908" s="2">
        <v>45916</v>
      </c>
      <c r="B908" s="1" t="s">
        <v>250</v>
      </c>
      <c r="C908" s="1" t="s">
        <v>10</v>
      </c>
      <c r="D908" s="1" t="s">
        <v>183</v>
      </c>
      <c r="E908" s="1" t="s">
        <v>42</v>
      </c>
      <c r="F908" s="1" t="s">
        <v>43</v>
      </c>
      <c r="G908" s="4">
        <v>8</v>
      </c>
      <c r="H908" s="4">
        <v>13014</v>
      </c>
      <c r="I908" s="6">
        <v>10161.097678804734</v>
      </c>
      <c r="J908" s="6">
        <f>表1[[#This Row],[销售金额]]-表1[[#This Row],[退款金额]]</f>
        <v>2852.9023211952663</v>
      </c>
      <c r="K908" s="1">
        <v>437</v>
      </c>
      <c r="L908" s="1">
        <v>378</v>
      </c>
    </row>
    <row r="909" spans="1:12" x14ac:dyDescent="0.3">
      <c r="A909" s="2">
        <v>45916</v>
      </c>
      <c r="B909" s="1" t="s">
        <v>25</v>
      </c>
      <c r="C909" s="1" t="s">
        <v>10</v>
      </c>
      <c r="D909" s="1" t="s">
        <v>115</v>
      </c>
      <c r="E909" s="1" t="s">
        <v>8</v>
      </c>
      <c r="F909" s="1" t="s">
        <v>9</v>
      </c>
      <c r="G909" s="4">
        <v>12</v>
      </c>
      <c r="H909" s="4">
        <v>15537</v>
      </c>
      <c r="I909" s="6">
        <v>10812.69212522315</v>
      </c>
      <c r="J909" s="6">
        <f>表1[[#This Row],[销售金额]]-表1[[#This Row],[退款金额]]</f>
        <v>4724.3078747768504</v>
      </c>
      <c r="K909" s="1">
        <v>250</v>
      </c>
      <c r="L909" s="1">
        <v>226</v>
      </c>
    </row>
    <row r="910" spans="1:12" x14ac:dyDescent="0.3">
      <c r="A910" s="2">
        <v>45916</v>
      </c>
      <c r="B910" s="1" t="s">
        <v>25</v>
      </c>
      <c r="C910" s="1" t="s">
        <v>10</v>
      </c>
      <c r="D910" s="1" t="s">
        <v>115</v>
      </c>
      <c r="E910" s="1" t="s">
        <v>8</v>
      </c>
      <c r="F910" s="1" t="s">
        <v>9</v>
      </c>
      <c r="G910" s="4">
        <v>12</v>
      </c>
      <c r="H910" s="4">
        <v>15660</v>
      </c>
      <c r="I910" s="6">
        <v>10812.69212522315</v>
      </c>
      <c r="J910" s="6">
        <f>表1[[#This Row],[销售金额]]-表1[[#This Row],[退款金额]]</f>
        <v>4847.3078747768504</v>
      </c>
      <c r="K910" s="1">
        <v>250</v>
      </c>
      <c r="L910" s="1">
        <v>226</v>
      </c>
    </row>
    <row r="911" spans="1:12" x14ac:dyDescent="0.3">
      <c r="A911" s="2">
        <v>45916</v>
      </c>
      <c r="B911" s="1" t="s">
        <v>25</v>
      </c>
      <c r="C911" s="1" t="s">
        <v>10</v>
      </c>
      <c r="D911" s="1" t="s">
        <v>115</v>
      </c>
      <c r="E911" s="1" t="s">
        <v>8</v>
      </c>
      <c r="F911" s="1" t="s">
        <v>9</v>
      </c>
      <c r="G911" s="4">
        <v>12</v>
      </c>
      <c r="H911" s="4">
        <v>12219</v>
      </c>
      <c r="I911" s="6">
        <v>10812.69212522315</v>
      </c>
      <c r="J911" s="6">
        <f>表1[[#This Row],[销售金额]]-表1[[#This Row],[退款金额]]</f>
        <v>1406.3078747768504</v>
      </c>
      <c r="K911" s="1">
        <v>250</v>
      </c>
      <c r="L911" s="1">
        <v>226</v>
      </c>
    </row>
    <row r="912" spans="1:12" x14ac:dyDescent="0.3">
      <c r="A912" s="2">
        <v>45916</v>
      </c>
      <c r="B912" s="1" t="s">
        <v>25</v>
      </c>
      <c r="C912" s="1" t="s">
        <v>10</v>
      </c>
      <c r="D912" s="1" t="s">
        <v>115</v>
      </c>
      <c r="E912" s="1" t="s">
        <v>8</v>
      </c>
      <c r="F912" s="1" t="s">
        <v>9</v>
      </c>
      <c r="G912" s="4">
        <v>12</v>
      </c>
      <c r="H912" s="4">
        <v>14345</v>
      </c>
      <c r="I912" s="6">
        <v>10812.69212522315</v>
      </c>
      <c r="J912" s="6">
        <f>表1[[#This Row],[销售金额]]-表1[[#This Row],[退款金额]]</f>
        <v>3532.3078747768504</v>
      </c>
      <c r="K912" s="1">
        <v>250</v>
      </c>
      <c r="L912" s="1">
        <v>226</v>
      </c>
    </row>
    <row r="913" spans="1:12" x14ac:dyDescent="0.3">
      <c r="A913" s="2">
        <v>45916</v>
      </c>
      <c r="B913" s="1" t="s">
        <v>25</v>
      </c>
      <c r="C913" s="1" t="s">
        <v>10</v>
      </c>
      <c r="D913" s="1" t="s">
        <v>115</v>
      </c>
      <c r="E913" s="1" t="s">
        <v>8</v>
      </c>
      <c r="F913" s="1" t="s">
        <v>9</v>
      </c>
      <c r="G913" s="4">
        <v>12</v>
      </c>
      <c r="H913" s="4">
        <v>12067</v>
      </c>
      <c r="I913" s="6">
        <v>10812.69212522315</v>
      </c>
      <c r="J913" s="6">
        <f>表1[[#This Row],[销售金额]]-表1[[#This Row],[退款金额]]</f>
        <v>1254.3078747768504</v>
      </c>
      <c r="K913" s="1">
        <v>250</v>
      </c>
      <c r="L913" s="1">
        <v>226</v>
      </c>
    </row>
    <row r="914" spans="1:12" x14ac:dyDescent="0.3">
      <c r="A914" s="2">
        <v>45916</v>
      </c>
      <c r="B914" s="1" t="s">
        <v>25</v>
      </c>
      <c r="C914" s="1" t="s">
        <v>10</v>
      </c>
      <c r="D914" s="1" t="s">
        <v>115</v>
      </c>
      <c r="E914" s="1" t="s">
        <v>8</v>
      </c>
      <c r="F914" s="1" t="s">
        <v>9</v>
      </c>
      <c r="G914" s="4">
        <v>12</v>
      </c>
      <c r="H914" s="4">
        <v>13437</v>
      </c>
      <c r="I914" s="6">
        <v>10812.69212522315</v>
      </c>
      <c r="J914" s="6">
        <f>表1[[#This Row],[销售金额]]-表1[[#This Row],[退款金额]]</f>
        <v>2624.3078747768504</v>
      </c>
      <c r="K914" s="1">
        <v>250</v>
      </c>
      <c r="L914" s="1">
        <v>226</v>
      </c>
    </row>
    <row r="915" spans="1:12" x14ac:dyDescent="0.3">
      <c r="A915" s="2">
        <v>45916</v>
      </c>
      <c r="B915" s="1" t="s">
        <v>25</v>
      </c>
      <c r="C915" s="1" t="s">
        <v>10</v>
      </c>
      <c r="D915" s="1" t="s">
        <v>115</v>
      </c>
      <c r="E915" s="1" t="s">
        <v>8</v>
      </c>
      <c r="F915" s="1" t="s">
        <v>9</v>
      </c>
      <c r="G915" s="4">
        <v>12</v>
      </c>
      <c r="H915" s="4">
        <v>15003</v>
      </c>
      <c r="I915" s="6">
        <v>10812.69212522315</v>
      </c>
      <c r="J915" s="6">
        <f>表1[[#This Row],[销售金额]]-表1[[#This Row],[退款金额]]</f>
        <v>4190.3078747768504</v>
      </c>
      <c r="K915" s="1">
        <v>250</v>
      </c>
      <c r="L915" s="1">
        <v>226</v>
      </c>
    </row>
    <row r="916" spans="1:12" x14ac:dyDescent="0.3">
      <c r="A916" s="2">
        <v>45916</v>
      </c>
      <c r="B916" s="1" t="s">
        <v>25</v>
      </c>
      <c r="C916" s="1" t="s">
        <v>10</v>
      </c>
      <c r="D916" s="1" t="s">
        <v>115</v>
      </c>
      <c r="E916" s="1" t="s">
        <v>8</v>
      </c>
      <c r="F916" s="1" t="s">
        <v>9</v>
      </c>
      <c r="G916" s="4">
        <v>12</v>
      </c>
      <c r="H916" s="4">
        <v>12798</v>
      </c>
      <c r="I916" s="6">
        <v>10812.69212522315</v>
      </c>
      <c r="J916" s="6">
        <f>表1[[#This Row],[销售金额]]-表1[[#This Row],[退款金额]]</f>
        <v>1985.3078747768504</v>
      </c>
      <c r="K916" s="1">
        <v>250</v>
      </c>
      <c r="L916" s="1">
        <v>226</v>
      </c>
    </row>
    <row r="917" spans="1:12" x14ac:dyDescent="0.3">
      <c r="A917" s="2">
        <v>45916</v>
      </c>
      <c r="B917" s="1" t="s">
        <v>25</v>
      </c>
      <c r="C917" s="1" t="s">
        <v>10</v>
      </c>
      <c r="D917" s="1" t="s">
        <v>115</v>
      </c>
      <c r="E917" s="1" t="s">
        <v>8</v>
      </c>
      <c r="F917" s="1" t="s">
        <v>9</v>
      </c>
      <c r="G917" s="4">
        <v>12</v>
      </c>
      <c r="H917" s="4">
        <v>14825</v>
      </c>
      <c r="I917" s="6">
        <v>10812.69212522315</v>
      </c>
      <c r="J917" s="6">
        <f>表1[[#This Row],[销售金额]]-表1[[#This Row],[退款金额]]</f>
        <v>4012.3078747768504</v>
      </c>
      <c r="K917" s="1">
        <v>250</v>
      </c>
      <c r="L917" s="1">
        <v>226</v>
      </c>
    </row>
    <row r="918" spans="1:12" x14ac:dyDescent="0.3">
      <c r="A918" s="2">
        <v>45916</v>
      </c>
      <c r="B918" s="1" t="s">
        <v>15</v>
      </c>
      <c r="C918" s="1" t="s">
        <v>19</v>
      </c>
      <c r="D918" s="1" t="s">
        <v>166</v>
      </c>
      <c r="E918" s="1" t="s">
        <v>21</v>
      </c>
      <c r="F918" s="1" t="s">
        <v>22</v>
      </c>
      <c r="G918" s="4">
        <v>13</v>
      </c>
      <c r="H918" s="4">
        <v>4263</v>
      </c>
      <c r="I918" s="6">
        <v>1421.4012966173382</v>
      </c>
      <c r="J918" s="6">
        <f>表1[[#This Row],[销售金额]]-表1[[#This Row],[退款金额]]</f>
        <v>2841.5987033826618</v>
      </c>
      <c r="K918" s="1">
        <v>21</v>
      </c>
      <c r="L918" s="1">
        <v>779</v>
      </c>
    </row>
    <row r="919" spans="1:12" x14ac:dyDescent="0.3">
      <c r="A919" s="2">
        <v>45916</v>
      </c>
      <c r="B919" s="1" t="s">
        <v>247</v>
      </c>
      <c r="C919" s="1" t="s">
        <v>10</v>
      </c>
      <c r="D919" s="1" t="s">
        <v>234</v>
      </c>
      <c r="E919" s="1" t="s">
        <v>8</v>
      </c>
      <c r="F919" s="1" t="s">
        <v>9</v>
      </c>
      <c r="G919" s="4">
        <v>13</v>
      </c>
      <c r="H919" s="4">
        <v>42888</v>
      </c>
      <c r="I919" s="6">
        <v>40489.207753971881</v>
      </c>
      <c r="J919" s="6">
        <f>表1[[#This Row],[销售金额]]-表1[[#This Row],[退款金额]]</f>
        <v>2398.7922460281188</v>
      </c>
      <c r="K919" s="1">
        <v>80</v>
      </c>
      <c r="L919" s="1">
        <v>652</v>
      </c>
    </row>
    <row r="920" spans="1:12" x14ac:dyDescent="0.3">
      <c r="A920" s="2">
        <v>45916</v>
      </c>
      <c r="B920" s="1" t="s">
        <v>15</v>
      </c>
      <c r="C920" s="1" t="s">
        <v>19</v>
      </c>
      <c r="D920" s="1" t="s">
        <v>166</v>
      </c>
      <c r="E920" s="1" t="s">
        <v>21</v>
      </c>
      <c r="F920" s="1" t="s">
        <v>22</v>
      </c>
      <c r="G920" s="4">
        <v>13</v>
      </c>
      <c r="H920" s="4">
        <v>3519</v>
      </c>
      <c r="I920" s="6">
        <v>1421.4012966173382</v>
      </c>
      <c r="J920" s="6">
        <f>表1[[#This Row],[销售金额]]-表1[[#This Row],[退款金额]]</f>
        <v>2097.5987033826618</v>
      </c>
      <c r="K920" s="1">
        <v>21</v>
      </c>
      <c r="L920" s="1">
        <v>779</v>
      </c>
    </row>
    <row r="921" spans="1:12" x14ac:dyDescent="0.3">
      <c r="A921" s="2">
        <v>45916</v>
      </c>
      <c r="B921" s="1" t="s">
        <v>247</v>
      </c>
      <c r="C921" s="1" t="s">
        <v>10</v>
      </c>
      <c r="D921" s="1" t="s">
        <v>234</v>
      </c>
      <c r="E921" s="1" t="s">
        <v>8</v>
      </c>
      <c r="F921" s="1" t="s">
        <v>9</v>
      </c>
      <c r="G921" s="4">
        <v>13</v>
      </c>
      <c r="H921" s="4">
        <v>41787</v>
      </c>
      <c r="I921" s="6">
        <v>40489.207753971881</v>
      </c>
      <c r="J921" s="6">
        <f>表1[[#This Row],[销售金额]]-表1[[#This Row],[退款金额]]</f>
        <v>1297.7922460281188</v>
      </c>
      <c r="K921" s="1">
        <v>80</v>
      </c>
      <c r="L921" s="1">
        <v>652</v>
      </c>
    </row>
    <row r="922" spans="1:12" x14ac:dyDescent="0.3">
      <c r="A922" s="2">
        <v>45916</v>
      </c>
      <c r="B922" s="1" t="s">
        <v>15</v>
      </c>
      <c r="C922" s="1" t="s">
        <v>19</v>
      </c>
      <c r="D922" s="1" t="s">
        <v>166</v>
      </c>
      <c r="E922" s="1" t="s">
        <v>21</v>
      </c>
      <c r="F922" s="1" t="s">
        <v>22</v>
      </c>
      <c r="G922" s="4">
        <v>13</v>
      </c>
      <c r="H922" s="4">
        <v>2359</v>
      </c>
      <c r="I922" s="6">
        <v>1421.4012966173382</v>
      </c>
      <c r="J922" s="6">
        <f>表1[[#This Row],[销售金额]]-表1[[#This Row],[退款金额]]</f>
        <v>937.59870338266182</v>
      </c>
      <c r="K922" s="1">
        <v>21</v>
      </c>
      <c r="L922" s="1">
        <v>779</v>
      </c>
    </row>
    <row r="923" spans="1:12" x14ac:dyDescent="0.3">
      <c r="A923" s="2">
        <v>45916</v>
      </c>
      <c r="B923" s="1" t="s">
        <v>247</v>
      </c>
      <c r="C923" s="1" t="s">
        <v>10</v>
      </c>
      <c r="D923" s="1" t="s">
        <v>234</v>
      </c>
      <c r="E923" s="1" t="s">
        <v>8</v>
      </c>
      <c r="F923" s="1" t="s">
        <v>9</v>
      </c>
      <c r="G923" s="4">
        <v>13</v>
      </c>
      <c r="H923" s="4">
        <v>42224</v>
      </c>
      <c r="I923" s="6">
        <v>40489.207753971881</v>
      </c>
      <c r="J923" s="6">
        <f>表1[[#This Row],[销售金额]]-表1[[#This Row],[退款金额]]</f>
        <v>1734.7922460281188</v>
      </c>
      <c r="K923" s="1">
        <v>80</v>
      </c>
      <c r="L923" s="1">
        <v>652</v>
      </c>
    </row>
    <row r="924" spans="1:12" x14ac:dyDescent="0.3">
      <c r="A924" s="2">
        <v>45916</v>
      </c>
      <c r="B924" s="1" t="s">
        <v>15</v>
      </c>
      <c r="C924" s="1" t="s">
        <v>19</v>
      </c>
      <c r="D924" s="1" t="s">
        <v>166</v>
      </c>
      <c r="E924" s="1" t="s">
        <v>21</v>
      </c>
      <c r="F924" s="1" t="s">
        <v>22</v>
      </c>
      <c r="G924" s="4">
        <v>13</v>
      </c>
      <c r="H924" s="4">
        <v>5049</v>
      </c>
      <c r="I924" s="6">
        <v>1421.4012966173382</v>
      </c>
      <c r="J924" s="6">
        <f>表1[[#This Row],[销售金额]]-表1[[#This Row],[退款金额]]</f>
        <v>3627.5987033826618</v>
      </c>
      <c r="K924" s="1">
        <v>21</v>
      </c>
      <c r="L924" s="1">
        <v>779</v>
      </c>
    </row>
    <row r="925" spans="1:12" x14ac:dyDescent="0.3">
      <c r="A925" s="2">
        <v>45916</v>
      </c>
      <c r="B925" s="1" t="s">
        <v>247</v>
      </c>
      <c r="C925" s="1" t="s">
        <v>10</v>
      </c>
      <c r="D925" s="1" t="s">
        <v>234</v>
      </c>
      <c r="E925" s="1" t="s">
        <v>8</v>
      </c>
      <c r="F925" s="1" t="s">
        <v>9</v>
      </c>
      <c r="G925" s="4">
        <v>13</v>
      </c>
      <c r="H925" s="4">
        <v>44662</v>
      </c>
      <c r="I925" s="6">
        <v>40489.207753971881</v>
      </c>
      <c r="J925" s="6">
        <f>表1[[#This Row],[销售金额]]-表1[[#This Row],[退款金额]]</f>
        <v>4172.7922460281188</v>
      </c>
      <c r="K925" s="1">
        <v>80</v>
      </c>
      <c r="L925" s="1">
        <v>652</v>
      </c>
    </row>
    <row r="926" spans="1:12" x14ac:dyDescent="0.3">
      <c r="A926" s="2">
        <v>45916</v>
      </c>
      <c r="B926" s="1" t="s">
        <v>15</v>
      </c>
      <c r="C926" s="1" t="s">
        <v>19</v>
      </c>
      <c r="D926" s="1" t="s">
        <v>166</v>
      </c>
      <c r="E926" s="1" t="s">
        <v>21</v>
      </c>
      <c r="F926" s="1" t="s">
        <v>22</v>
      </c>
      <c r="G926" s="4">
        <v>13</v>
      </c>
      <c r="H926" s="4">
        <v>3200</v>
      </c>
      <c r="I926" s="6">
        <v>1421.4012966173382</v>
      </c>
      <c r="J926" s="6">
        <f>表1[[#This Row],[销售金额]]-表1[[#This Row],[退款金额]]</f>
        <v>1778.5987033826618</v>
      </c>
      <c r="K926" s="1">
        <v>21</v>
      </c>
      <c r="L926" s="1">
        <v>779</v>
      </c>
    </row>
    <row r="927" spans="1:12" x14ac:dyDescent="0.3">
      <c r="A927" s="2">
        <v>45916</v>
      </c>
      <c r="B927" s="1" t="s">
        <v>247</v>
      </c>
      <c r="C927" s="1" t="s">
        <v>10</v>
      </c>
      <c r="D927" s="1" t="s">
        <v>234</v>
      </c>
      <c r="E927" s="1" t="s">
        <v>8</v>
      </c>
      <c r="F927" s="1" t="s">
        <v>9</v>
      </c>
      <c r="G927" s="4">
        <v>13</v>
      </c>
      <c r="H927" s="4">
        <v>42494</v>
      </c>
      <c r="I927" s="6">
        <v>40489.207753971881</v>
      </c>
      <c r="J927" s="6">
        <f>表1[[#This Row],[销售金额]]-表1[[#This Row],[退款金额]]</f>
        <v>2004.7922460281188</v>
      </c>
      <c r="K927" s="1">
        <v>80</v>
      </c>
      <c r="L927" s="1">
        <v>652</v>
      </c>
    </row>
    <row r="928" spans="1:12" x14ac:dyDescent="0.3">
      <c r="A928" s="2">
        <v>45916</v>
      </c>
      <c r="B928" s="1" t="s">
        <v>15</v>
      </c>
      <c r="C928" s="1" t="s">
        <v>19</v>
      </c>
      <c r="D928" s="1" t="s">
        <v>166</v>
      </c>
      <c r="E928" s="1" t="s">
        <v>21</v>
      </c>
      <c r="F928" s="1" t="s">
        <v>22</v>
      </c>
      <c r="G928" s="4">
        <v>13</v>
      </c>
      <c r="H928" s="4">
        <v>4444</v>
      </c>
      <c r="I928" s="6">
        <v>1421.4012966173382</v>
      </c>
      <c r="J928" s="6">
        <f>表1[[#This Row],[销售金额]]-表1[[#This Row],[退款金额]]</f>
        <v>3022.5987033826618</v>
      </c>
      <c r="K928" s="1">
        <v>21</v>
      </c>
      <c r="L928" s="1">
        <v>779</v>
      </c>
    </row>
    <row r="929" spans="1:12" x14ac:dyDescent="0.3">
      <c r="A929" s="2">
        <v>45916</v>
      </c>
      <c r="B929" s="1" t="s">
        <v>247</v>
      </c>
      <c r="C929" s="1" t="s">
        <v>10</v>
      </c>
      <c r="D929" s="1" t="s">
        <v>234</v>
      </c>
      <c r="E929" s="1" t="s">
        <v>8</v>
      </c>
      <c r="F929" s="1" t="s">
        <v>9</v>
      </c>
      <c r="G929" s="4">
        <v>13</v>
      </c>
      <c r="H929" s="4">
        <v>41926</v>
      </c>
      <c r="I929" s="6">
        <v>40489.207753971881</v>
      </c>
      <c r="J929" s="6">
        <f>表1[[#This Row],[销售金额]]-表1[[#This Row],[退款金额]]</f>
        <v>1436.7922460281188</v>
      </c>
      <c r="K929" s="1">
        <v>80</v>
      </c>
      <c r="L929" s="1">
        <v>652</v>
      </c>
    </row>
    <row r="930" spans="1:12" x14ac:dyDescent="0.3">
      <c r="A930" s="2">
        <v>45916</v>
      </c>
      <c r="B930" s="1" t="s">
        <v>15</v>
      </c>
      <c r="C930" s="1" t="s">
        <v>19</v>
      </c>
      <c r="D930" s="1" t="s">
        <v>166</v>
      </c>
      <c r="E930" s="1" t="s">
        <v>21</v>
      </c>
      <c r="F930" s="1" t="s">
        <v>22</v>
      </c>
      <c r="G930" s="4">
        <v>13</v>
      </c>
      <c r="H930" s="4">
        <v>1856</v>
      </c>
      <c r="I930" s="6">
        <v>1421.4012966173382</v>
      </c>
      <c r="J930" s="6">
        <f>表1[[#This Row],[销售金额]]-表1[[#This Row],[退款金额]]</f>
        <v>434.59870338266182</v>
      </c>
      <c r="K930" s="1">
        <v>21</v>
      </c>
      <c r="L930" s="1">
        <v>779</v>
      </c>
    </row>
    <row r="931" spans="1:12" x14ac:dyDescent="0.3">
      <c r="A931" s="2">
        <v>45916</v>
      </c>
      <c r="B931" s="1" t="s">
        <v>247</v>
      </c>
      <c r="C931" s="1" t="s">
        <v>10</v>
      </c>
      <c r="D931" s="1" t="s">
        <v>234</v>
      </c>
      <c r="E931" s="1" t="s">
        <v>8</v>
      </c>
      <c r="F931" s="1" t="s">
        <v>9</v>
      </c>
      <c r="G931" s="4">
        <v>13</v>
      </c>
      <c r="H931" s="4">
        <v>42278</v>
      </c>
      <c r="I931" s="6">
        <v>40489.207753971881</v>
      </c>
      <c r="J931" s="6">
        <f>表1[[#This Row],[销售金额]]-表1[[#This Row],[退款金额]]</f>
        <v>1788.7922460281188</v>
      </c>
      <c r="K931" s="1">
        <v>80</v>
      </c>
      <c r="L931" s="1">
        <v>652</v>
      </c>
    </row>
    <row r="932" spans="1:12" x14ac:dyDescent="0.3">
      <c r="A932" s="2">
        <v>45916</v>
      </c>
      <c r="B932" s="1" t="s">
        <v>15</v>
      </c>
      <c r="C932" s="1" t="s">
        <v>19</v>
      </c>
      <c r="D932" s="1" t="s">
        <v>166</v>
      </c>
      <c r="E932" s="1" t="s">
        <v>21</v>
      </c>
      <c r="F932" s="1" t="s">
        <v>22</v>
      </c>
      <c r="G932" s="4">
        <v>13</v>
      </c>
      <c r="H932" s="4">
        <v>1609</v>
      </c>
      <c r="I932" s="6">
        <v>1421.4012966173382</v>
      </c>
      <c r="J932" s="6">
        <f>表1[[#This Row],[销售金额]]-表1[[#This Row],[退款金额]]</f>
        <v>187.59870338266182</v>
      </c>
      <c r="K932" s="1">
        <v>21</v>
      </c>
      <c r="L932" s="1">
        <v>779</v>
      </c>
    </row>
    <row r="933" spans="1:12" x14ac:dyDescent="0.3">
      <c r="A933" s="2">
        <v>45916</v>
      </c>
      <c r="B933" s="1" t="s">
        <v>247</v>
      </c>
      <c r="C933" s="1" t="s">
        <v>10</v>
      </c>
      <c r="D933" s="1" t="s">
        <v>234</v>
      </c>
      <c r="E933" s="1" t="s">
        <v>8</v>
      </c>
      <c r="F933" s="1" t="s">
        <v>9</v>
      </c>
      <c r="G933" s="4">
        <v>13</v>
      </c>
      <c r="H933" s="4">
        <v>43849</v>
      </c>
      <c r="I933" s="6">
        <v>40489.207753971881</v>
      </c>
      <c r="J933" s="6">
        <f>表1[[#This Row],[销售金额]]-表1[[#This Row],[退款金额]]</f>
        <v>3359.7922460281188</v>
      </c>
      <c r="K933" s="1">
        <v>80</v>
      </c>
      <c r="L933" s="1">
        <v>652</v>
      </c>
    </row>
    <row r="934" spans="1:12" x14ac:dyDescent="0.3">
      <c r="A934" s="2">
        <v>45916</v>
      </c>
      <c r="B934" s="1" t="s">
        <v>15</v>
      </c>
      <c r="C934" s="1" t="s">
        <v>19</v>
      </c>
      <c r="D934" s="1" t="s">
        <v>166</v>
      </c>
      <c r="E934" s="1" t="s">
        <v>21</v>
      </c>
      <c r="F934" s="1" t="s">
        <v>22</v>
      </c>
      <c r="G934" s="4">
        <v>13</v>
      </c>
      <c r="H934" s="4">
        <v>1889</v>
      </c>
      <c r="I934" s="6">
        <v>1421.4012966173382</v>
      </c>
      <c r="J934" s="6">
        <f>表1[[#This Row],[销售金额]]-表1[[#This Row],[退款金额]]</f>
        <v>467.59870338266182</v>
      </c>
      <c r="K934" s="1">
        <v>21</v>
      </c>
      <c r="L934" s="1">
        <v>779</v>
      </c>
    </row>
    <row r="935" spans="1:12" x14ac:dyDescent="0.3">
      <c r="A935" s="2">
        <v>45916</v>
      </c>
      <c r="B935" s="1" t="s">
        <v>248</v>
      </c>
      <c r="C935" s="1" t="s">
        <v>19</v>
      </c>
      <c r="D935" s="1" t="s">
        <v>189</v>
      </c>
      <c r="E935" s="1" t="s">
        <v>75</v>
      </c>
      <c r="F935" s="1" t="s">
        <v>76</v>
      </c>
      <c r="G935" s="4">
        <v>15</v>
      </c>
      <c r="H935" s="4">
        <v>4049</v>
      </c>
      <c r="I935" s="6">
        <v>1933.2105323371406</v>
      </c>
      <c r="J935" s="6">
        <f>表1[[#This Row],[销售金额]]-表1[[#This Row],[退款金额]]</f>
        <v>2115.7894676628594</v>
      </c>
      <c r="K935" s="1">
        <v>618</v>
      </c>
      <c r="L935" s="1">
        <v>439</v>
      </c>
    </row>
    <row r="936" spans="1:12" x14ac:dyDescent="0.3">
      <c r="A936" s="2">
        <v>45916</v>
      </c>
      <c r="B936" s="1" t="s">
        <v>248</v>
      </c>
      <c r="C936" s="1" t="s">
        <v>32</v>
      </c>
      <c r="D936" s="1" t="s">
        <v>195</v>
      </c>
      <c r="E936" s="1" t="s">
        <v>38</v>
      </c>
      <c r="F936" s="1" t="s">
        <v>39</v>
      </c>
      <c r="G936" s="4">
        <v>15</v>
      </c>
      <c r="H936" s="4">
        <v>4580</v>
      </c>
      <c r="I936" s="6">
        <v>2758.1242173084815</v>
      </c>
      <c r="J936" s="6">
        <f>表1[[#This Row],[销售金额]]-表1[[#This Row],[退款金额]]</f>
        <v>1821.8757826915185</v>
      </c>
      <c r="K936" s="1">
        <v>603</v>
      </c>
      <c r="L936" s="1">
        <v>256</v>
      </c>
    </row>
    <row r="937" spans="1:12" x14ac:dyDescent="0.3">
      <c r="A937" s="2">
        <v>45916</v>
      </c>
      <c r="B937" s="1" t="s">
        <v>248</v>
      </c>
      <c r="C937" s="1" t="s">
        <v>19</v>
      </c>
      <c r="D937" s="1" t="s">
        <v>189</v>
      </c>
      <c r="E937" s="1" t="s">
        <v>75</v>
      </c>
      <c r="F937" s="1" t="s">
        <v>76</v>
      </c>
      <c r="G937" s="4">
        <v>15</v>
      </c>
      <c r="H937" s="4">
        <v>6781</v>
      </c>
      <c r="I937" s="6">
        <v>1933.2105323371406</v>
      </c>
      <c r="J937" s="6">
        <f>表1[[#This Row],[销售金额]]-表1[[#This Row],[退款金额]]</f>
        <v>4847.7894676628594</v>
      </c>
      <c r="K937" s="1">
        <v>618</v>
      </c>
      <c r="L937" s="1">
        <v>439</v>
      </c>
    </row>
    <row r="938" spans="1:12" x14ac:dyDescent="0.3">
      <c r="A938" s="2">
        <v>45916</v>
      </c>
      <c r="B938" s="1" t="s">
        <v>248</v>
      </c>
      <c r="C938" s="1" t="s">
        <v>32</v>
      </c>
      <c r="D938" s="1" t="s">
        <v>195</v>
      </c>
      <c r="E938" s="1" t="s">
        <v>38</v>
      </c>
      <c r="F938" s="1" t="s">
        <v>39</v>
      </c>
      <c r="G938" s="4">
        <v>15</v>
      </c>
      <c r="H938" s="4">
        <v>5455</v>
      </c>
      <c r="I938" s="6">
        <v>2758.1242173084815</v>
      </c>
      <c r="J938" s="6">
        <f>表1[[#This Row],[销售金额]]-表1[[#This Row],[退款金额]]</f>
        <v>2696.8757826915185</v>
      </c>
      <c r="K938" s="1">
        <v>603</v>
      </c>
      <c r="L938" s="1">
        <v>256</v>
      </c>
    </row>
    <row r="939" spans="1:12" x14ac:dyDescent="0.3">
      <c r="A939" s="2">
        <v>45916</v>
      </c>
      <c r="B939" s="1" t="s">
        <v>248</v>
      </c>
      <c r="C939" s="1" t="s">
        <v>19</v>
      </c>
      <c r="D939" s="1" t="s">
        <v>189</v>
      </c>
      <c r="E939" s="1" t="s">
        <v>75</v>
      </c>
      <c r="F939" s="1" t="s">
        <v>76</v>
      </c>
      <c r="G939" s="4">
        <v>15</v>
      </c>
      <c r="H939" s="4">
        <v>3464</v>
      </c>
      <c r="I939" s="6">
        <v>1933.2105323371406</v>
      </c>
      <c r="J939" s="6">
        <f>表1[[#This Row],[销售金额]]-表1[[#This Row],[退款金额]]</f>
        <v>1530.7894676628594</v>
      </c>
      <c r="K939" s="1">
        <v>618</v>
      </c>
      <c r="L939" s="1">
        <v>439</v>
      </c>
    </row>
    <row r="940" spans="1:12" x14ac:dyDescent="0.3">
      <c r="A940" s="2">
        <v>45916</v>
      </c>
      <c r="B940" s="1" t="s">
        <v>248</v>
      </c>
      <c r="C940" s="1" t="s">
        <v>32</v>
      </c>
      <c r="D940" s="1" t="s">
        <v>195</v>
      </c>
      <c r="E940" s="1" t="s">
        <v>38</v>
      </c>
      <c r="F940" s="1" t="s">
        <v>39</v>
      </c>
      <c r="G940" s="4">
        <v>15</v>
      </c>
      <c r="H940" s="4">
        <v>6342</v>
      </c>
      <c r="I940" s="6">
        <v>2758.1242173084815</v>
      </c>
      <c r="J940" s="6">
        <f>表1[[#This Row],[销售金额]]-表1[[#This Row],[退款金额]]</f>
        <v>3583.8757826915185</v>
      </c>
      <c r="K940" s="1">
        <v>603</v>
      </c>
      <c r="L940" s="1">
        <v>256</v>
      </c>
    </row>
    <row r="941" spans="1:12" x14ac:dyDescent="0.3">
      <c r="A941" s="2">
        <v>45916</v>
      </c>
      <c r="B941" s="1" t="s">
        <v>248</v>
      </c>
      <c r="C941" s="1" t="s">
        <v>19</v>
      </c>
      <c r="D941" s="1" t="s">
        <v>189</v>
      </c>
      <c r="E941" s="1" t="s">
        <v>75</v>
      </c>
      <c r="F941" s="1" t="s">
        <v>76</v>
      </c>
      <c r="G941" s="4">
        <v>15</v>
      </c>
      <c r="H941" s="4">
        <v>5018</v>
      </c>
      <c r="I941" s="6">
        <v>1933.2105323371406</v>
      </c>
      <c r="J941" s="6">
        <f>表1[[#This Row],[销售金额]]-表1[[#This Row],[退款金额]]</f>
        <v>3084.7894676628594</v>
      </c>
      <c r="K941" s="1">
        <v>618</v>
      </c>
      <c r="L941" s="1">
        <v>439</v>
      </c>
    </row>
    <row r="942" spans="1:12" x14ac:dyDescent="0.3">
      <c r="A942" s="2">
        <v>45916</v>
      </c>
      <c r="B942" s="1" t="s">
        <v>248</v>
      </c>
      <c r="C942" s="1" t="s">
        <v>32</v>
      </c>
      <c r="D942" s="1" t="s">
        <v>195</v>
      </c>
      <c r="E942" s="1" t="s">
        <v>38</v>
      </c>
      <c r="F942" s="1" t="s">
        <v>39</v>
      </c>
      <c r="G942" s="4">
        <v>15</v>
      </c>
      <c r="H942" s="4">
        <v>7294</v>
      </c>
      <c r="I942" s="6">
        <v>2758.1242173084815</v>
      </c>
      <c r="J942" s="6">
        <f>表1[[#This Row],[销售金额]]-表1[[#This Row],[退款金额]]</f>
        <v>4535.8757826915189</v>
      </c>
      <c r="K942" s="1">
        <v>603</v>
      </c>
      <c r="L942" s="1">
        <v>256</v>
      </c>
    </row>
    <row r="943" spans="1:12" x14ac:dyDescent="0.3">
      <c r="A943" s="2">
        <v>45916</v>
      </c>
      <c r="B943" s="1" t="s">
        <v>248</v>
      </c>
      <c r="C943" s="1" t="s">
        <v>19</v>
      </c>
      <c r="D943" s="1" t="s">
        <v>189</v>
      </c>
      <c r="E943" s="1" t="s">
        <v>75</v>
      </c>
      <c r="F943" s="1" t="s">
        <v>76</v>
      </c>
      <c r="G943" s="4">
        <v>15</v>
      </c>
      <c r="H943" s="4">
        <v>3379</v>
      </c>
      <c r="I943" s="6">
        <v>1933.2105323371406</v>
      </c>
      <c r="J943" s="6">
        <f>表1[[#This Row],[销售金额]]-表1[[#This Row],[退款金额]]</f>
        <v>1445.7894676628594</v>
      </c>
      <c r="K943" s="1">
        <v>618</v>
      </c>
      <c r="L943" s="1">
        <v>439</v>
      </c>
    </row>
    <row r="944" spans="1:12" x14ac:dyDescent="0.3">
      <c r="A944" s="2">
        <v>45916</v>
      </c>
      <c r="B944" s="1" t="s">
        <v>248</v>
      </c>
      <c r="C944" s="1" t="s">
        <v>32</v>
      </c>
      <c r="D944" s="1" t="s">
        <v>195</v>
      </c>
      <c r="E944" s="1" t="s">
        <v>38</v>
      </c>
      <c r="F944" s="1" t="s">
        <v>39</v>
      </c>
      <c r="G944" s="4">
        <v>15</v>
      </c>
      <c r="H944" s="4">
        <v>3596</v>
      </c>
      <c r="I944" s="6">
        <v>2758.1242173084815</v>
      </c>
      <c r="J944" s="6">
        <f>表1[[#This Row],[销售金额]]-表1[[#This Row],[退款金额]]</f>
        <v>837.87578269151845</v>
      </c>
      <c r="K944" s="1">
        <v>603</v>
      </c>
      <c r="L944" s="1">
        <v>256</v>
      </c>
    </row>
    <row r="945" spans="1:12" x14ac:dyDescent="0.3">
      <c r="A945" s="2">
        <v>45916</v>
      </c>
      <c r="B945" s="1" t="s">
        <v>248</v>
      </c>
      <c r="C945" s="1" t="s">
        <v>19</v>
      </c>
      <c r="D945" s="1" t="s">
        <v>189</v>
      </c>
      <c r="E945" s="1" t="s">
        <v>75</v>
      </c>
      <c r="F945" s="1" t="s">
        <v>76</v>
      </c>
      <c r="G945" s="4">
        <v>15</v>
      </c>
      <c r="H945" s="4">
        <v>5625</v>
      </c>
      <c r="I945" s="6">
        <v>1933.2105323371406</v>
      </c>
      <c r="J945" s="6">
        <f>表1[[#This Row],[销售金额]]-表1[[#This Row],[退款金额]]</f>
        <v>3691.7894676628594</v>
      </c>
      <c r="K945" s="1">
        <v>618</v>
      </c>
      <c r="L945" s="1">
        <v>439</v>
      </c>
    </row>
    <row r="946" spans="1:12" x14ac:dyDescent="0.3">
      <c r="A946" s="2">
        <v>45916</v>
      </c>
      <c r="B946" s="1" t="s">
        <v>248</v>
      </c>
      <c r="C946" s="1" t="s">
        <v>32</v>
      </c>
      <c r="D946" s="1" t="s">
        <v>195</v>
      </c>
      <c r="E946" s="1" t="s">
        <v>38</v>
      </c>
      <c r="F946" s="1" t="s">
        <v>39</v>
      </c>
      <c r="G946" s="4">
        <v>15</v>
      </c>
      <c r="H946" s="4">
        <v>3261</v>
      </c>
      <c r="I946" s="6">
        <v>2758.1242173084815</v>
      </c>
      <c r="J946" s="6">
        <f>表1[[#This Row],[销售金额]]-表1[[#This Row],[退款金额]]</f>
        <v>502.87578269151845</v>
      </c>
      <c r="K946" s="1">
        <v>603</v>
      </c>
      <c r="L946" s="1">
        <v>256</v>
      </c>
    </row>
    <row r="947" spans="1:12" x14ac:dyDescent="0.3">
      <c r="A947" s="2">
        <v>45916</v>
      </c>
      <c r="B947" s="1" t="s">
        <v>248</v>
      </c>
      <c r="C947" s="1" t="s">
        <v>19</v>
      </c>
      <c r="D947" s="1" t="s">
        <v>189</v>
      </c>
      <c r="E947" s="1" t="s">
        <v>75</v>
      </c>
      <c r="F947" s="1" t="s">
        <v>76</v>
      </c>
      <c r="G947" s="4">
        <v>15</v>
      </c>
      <c r="H947" s="4">
        <v>2546</v>
      </c>
      <c r="I947" s="6">
        <v>1933.2105323371406</v>
      </c>
      <c r="J947" s="6">
        <f>表1[[#This Row],[销售金额]]-表1[[#This Row],[退款金额]]</f>
        <v>612.78946766285935</v>
      </c>
      <c r="K947" s="1">
        <v>618</v>
      </c>
      <c r="L947" s="1">
        <v>439</v>
      </c>
    </row>
    <row r="948" spans="1:12" x14ac:dyDescent="0.3">
      <c r="A948" s="2">
        <v>45916</v>
      </c>
      <c r="B948" s="1" t="s">
        <v>248</v>
      </c>
      <c r="C948" s="1" t="s">
        <v>32</v>
      </c>
      <c r="D948" s="1" t="s">
        <v>195</v>
      </c>
      <c r="E948" s="1" t="s">
        <v>38</v>
      </c>
      <c r="F948" s="1" t="s">
        <v>39</v>
      </c>
      <c r="G948" s="4">
        <v>15</v>
      </c>
      <c r="H948" s="4">
        <v>4260</v>
      </c>
      <c r="I948" s="6">
        <v>2758.1242173084815</v>
      </c>
      <c r="J948" s="6">
        <f>表1[[#This Row],[销售金额]]-表1[[#This Row],[退款金额]]</f>
        <v>1501.8757826915185</v>
      </c>
      <c r="K948" s="1">
        <v>603</v>
      </c>
      <c r="L948" s="1">
        <v>256</v>
      </c>
    </row>
    <row r="949" spans="1:12" x14ac:dyDescent="0.3">
      <c r="A949" s="2">
        <v>45916</v>
      </c>
      <c r="B949" s="1" t="s">
        <v>248</v>
      </c>
      <c r="C949" s="1" t="s">
        <v>19</v>
      </c>
      <c r="D949" s="1" t="s">
        <v>189</v>
      </c>
      <c r="E949" s="1" t="s">
        <v>75</v>
      </c>
      <c r="F949" s="1" t="s">
        <v>76</v>
      </c>
      <c r="G949" s="4">
        <v>15</v>
      </c>
      <c r="H949" s="4">
        <v>2031</v>
      </c>
      <c r="I949" s="6">
        <v>1933.2105323371406</v>
      </c>
      <c r="J949" s="6">
        <f>表1[[#This Row],[销售金额]]-表1[[#This Row],[退款金额]]</f>
        <v>97.789467662859352</v>
      </c>
      <c r="K949" s="1">
        <v>618</v>
      </c>
      <c r="L949" s="1">
        <v>439</v>
      </c>
    </row>
    <row r="950" spans="1:12" x14ac:dyDescent="0.3">
      <c r="A950" s="2">
        <v>45916</v>
      </c>
      <c r="B950" s="1" t="s">
        <v>248</v>
      </c>
      <c r="C950" s="1" t="s">
        <v>32</v>
      </c>
      <c r="D950" s="1" t="s">
        <v>195</v>
      </c>
      <c r="E950" s="1" t="s">
        <v>38</v>
      </c>
      <c r="F950" s="1" t="s">
        <v>39</v>
      </c>
      <c r="G950" s="4">
        <v>15</v>
      </c>
      <c r="H950" s="4">
        <v>4257</v>
      </c>
      <c r="I950" s="6">
        <v>2758.1242173084815</v>
      </c>
      <c r="J950" s="6">
        <f>表1[[#This Row],[销售金额]]-表1[[#This Row],[退款金额]]</f>
        <v>1498.8757826915185</v>
      </c>
      <c r="K950" s="1">
        <v>603</v>
      </c>
      <c r="L950" s="1">
        <v>256</v>
      </c>
    </row>
    <row r="951" spans="1:12" x14ac:dyDescent="0.3">
      <c r="A951" s="2">
        <v>45916</v>
      </c>
      <c r="B951" s="1" t="s">
        <v>248</v>
      </c>
      <c r="C951" s="1" t="s">
        <v>19</v>
      </c>
      <c r="D951" s="1" t="s">
        <v>189</v>
      </c>
      <c r="E951" s="1" t="s">
        <v>75</v>
      </c>
      <c r="F951" s="1" t="s">
        <v>76</v>
      </c>
      <c r="G951" s="4">
        <v>15</v>
      </c>
      <c r="H951" s="4">
        <v>4700</v>
      </c>
      <c r="I951" s="6">
        <v>1933.2105323371406</v>
      </c>
      <c r="J951" s="6">
        <f>表1[[#This Row],[销售金额]]-表1[[#This Row],[退款金额]]</f>
        <v>2766.7894676628594</v>
      </c>
      <c r="K951" s="1">
        <v>618</v>
      </c>
      <c r="L951" s="1">
        <v>439</v>
      </c>
    </row>
    <row r="952" spans="1:12" x14ac:dyDescent="0.3">
      <c r="A952" s="2">
        <v>45916</v>
      </c>
      <c r="B952" s="1" t="s">
        <v>248</v>
      </c>
      <c r="C952" s="1" t="s">
        <v>32</v>
      </c>
      <c r="D952" s="1" t="s">
        <v>195</v>
      </c>
      <c r="E952" s="1" t="s">
        <v>38</v>
      </c>
      <c r="F952" s="1" t="s">
        <v>39</v>
      </c>
      <c r="G952" s="4">
        <v>15</v>
      </c>
      <c r="H952" s="4">
        <v>3204</v>
      </c>
      <c r="I952" s="6">
        <v>2758.1242173084815</v>
      </c>
      <c r="J952" s="6">
        <f>表1[[#This Row],[销售金额]]-表1[[#This Row],[退款金额]]</f>
        <v>445.87578269151845</v>
      </c>
      <c r="K952" s="1">
        <v>603</v>
      </c>
      <c r="L952" s="1">
        <v>256</v>
      </c>
    </row>
    <row r="953" spans="1:12" x14ac:dyDescent="0.3">
      <c r="A953" s="2">
        <v>45916</v>
      </c>
      <c r="B953" s="1" t="s">
        <v>11</v>
      </c>
      <c r="C953" s="1" t="s">
        <v>32</v>
      </c>
      <c r="D953" s="1" t="s">
        <v>133</v>
      </c>
      <c r="E953" s="1" t="s">
        <v>38</v>
      </c>
      <c r="F953" s="1" t="s">
        <v>39</v>
      </c>
      <c r="G953" s="4">
        <v>16</v>
      </c>
      <c r="H953" s="4">
        <v>6590</v>
      </c>
      <c r="I953" s="6">
        <v>5258.3455005316146</v>
      </c>
      <c r="J953" s="6">
        <f>表1[[#This Row],[销售金额]]-表1[[#This Row],[退款金额]]</f>
        <v>1331.6544994683854</v>
      </c>
      <c r="K953" s="1">
        <v>481</v>
      </c>
      <c r="L953" s="1">
        <v>183</v>
      </c>
    </row>
    <row r="954" spans="1:12" x14ac:dyDescent="0.3">
      <c r="A954" s="2">
        <v>45916</v>
      </c>
      <c r="B954" s="1" t="s">
        <v>11</v>
      </c>
      <c r="C954" s="1" t="s">
        <v>19</v>
      </c>
      <c r="D954" s="1" t="s">
        <v>197</v>
      </c>
      <c r="E954" s="1" t="s">
        <v>51</v>
      </c>
      <c r="F954" s="1" t="s">
        <v>52</v>
      </c>
      <c r="G954" s="4">
        <v>16</v>
      </c>
      <c r="H954" s="4">
        <v>9610</v>
      </c>
      <c r="I954" s="6">
        <v>7263.9800459822754</v>
      </c>
      <c r="J954" s="6">
        <f>表1[[#This Row],[销售金额]]-表1[[#This Row],[退款金额]]</f>
        <v>2346.0199540177246</v>
      </c>
      <c r="K954" s="1">
        <v>264</v>
      </c>
      <c r="L954" s="1">
        <v>825</v>
      </c>
    </row>
    <row r="955" spans="1:12" x14ac:dyDescent="0.3">
      <c r="A955" s="2">
        <v>45916</v>
      </c>
      <c r="B955" s="1" t="s">
        <v>11</v>
      </c>
      <c r="C955" s="1" t="s">
        <v>32</v>
      </c>
      <c r="D955" s="1" t="s">
        <v>133</v>
      </c>
      <c r="E955" s="1" t="s">
        <v>38</v>
      </c>
      <c r="F955" s="1" t="s">
        <v>39</v>
      </c>
      <c r="G955" s="4">
        <v>16</v>
      </c>
      <c r="H955" s="4">
        <v>9589</v>
      </c>
      <c r="I955" s="6">
        <v>5258.3455005316146</v>
      </c>
      <c r="J955" s="6">
        <f>表1[[#This Row],[销售金额]]-表1[[#This Row],[退款金额]]</f>
        <v>4330.6544994683854</v>
      </c>
      <c r="K955" s="1">
        <v>481</v>
      </c>
      <c r="L955" s="1">
        <v>183</v>
      </c>
    </row>
    <row r="956" spans="1:12" x14ac:dyDescent="0.3">
      <c r="A956" s="2">
        <v>45916</v>
      </c>
      <c r="B956" s="1" t="s">
        <v>11</v>
      </c>
      <c r="C956" s="1" t="s">
        <v>19</v>
      </c>
      <c r="D956" s="1" t="s">
        <v>197</v>
      </c>
      <c r="E956" s="1" t="s">
        <v>51</v>
      </c>
      <c r="F956" s="1" t="s">
        <v>52</v>
      </c>
      <c r="G956" s="4">
        <v>16</v>
      </c>
      <c r="H956" s="4">
        <v>10202</v>
      </c>
      <c r="I956" s="6">
        <v>7263.9800459822754</v>
      </c>
      <c r="J956" s="6">
        <f>表1[[#This Row],[销售金额]]-表1[[#This Row],[退款金额]]</f>
        <v>2938.0199540177246</v>
      </c>
      <c r="K956" s="1">
        <v>264</v>
      </c>
      <c r="L956" s="1">
        <v>825</v>
      </c>
    </row>
    <row r="957" spans="1:12" x14ac:dyDescent="0.3">
      <c r="A957" s="2">
        <v>45916</v>
      </c>
      <c r="B957" s="1" t="s">
        <v>11</v>
      </c>
      <c r="C957" s="1" t="s">
        <v>32</v>
      </c>
      <c r="D957" s="1" t="s">
        <v>133</v>
      </c>
      <c r="E957" s="1" t="s">
        <v>38</v>
      </c>
      <c r="F957" s="1" t="s">
        <v>39</v>
      </c>
      <c r="G957" s="4">
        <v>16</v>
      </c>
      <c r="H957" s="4">
        <v>8448</v>
      </c>
      <c r="I957" s="6">
        <v>5258.3455005316146</v>
      </c>
      <c r="J957" s="6">
        <f>表1[[#This Row],[销售金额]]-表1[[#This Row],[退款金额]]</f>
        <v>3189.6544994683854</v>
      </c>
      <c r="K957" s="1">
        <v>481</v>
      </c>
      <c r="L957" s="1">
        <v>183</v>
      </c>
    </row>
    <row r="958" spans="1:12" x14ac:dyDescent="0.3">
      <c r="A958" s="2">
        <v>45916</v>
      </c>
      <c r="B958" s="1" t="s">
        <v>11</v>
      </c>
      <c r="C958" s="1" t="s">
        <v>19</v>
      </c>
      <c r="D958" s="1" t="s">
        <v>197</v>
      </c>
      <c r="E958" s="1" t="s">
        <v>51</v>
      </c>
      <c r="F958" s="1" t="s">
        <v>52</v>
      </c>
      <c r="G958" s="4">
        <v>16</v>
      </c>
      <c r="H958" s="4">
        <v>9790</v>
      </c>
      <c r="I958" s="6">
        <v>7263.9800459822754</v>
      </c>
      <c r="J958" s="6">
        <f>表1[[#This Row],[销售金额]]-表1[[#This Row],[退款金额]]</f>
        <v>2526.0199540177246</v>
      </c>
      <c r="K958" s="1">
        <v>264</v>
      </c>
      <c r="L958" s="1">
        <v>825</v>
      </c>
    </row>
    <row r="959" spans="1:12" x14ac:dyDescent="0.3">
      <c r="A959" s="2">
        <v>45916</v>
      </c>
      <c r="B959" s="1" t="s">
        <v>11</v>
      </c>
      <c r="C959" s="1" t="s">
        <v>32</v>
      </c>
      <c r="D959" s="1" t="s">
        <v>133</v>
      </c>
      <c r="E959" s="1" t="s">
        <v>38</v>
      </c>
      <c r="F959" s="1" t="s">
        <v>39</v>
      </c>
      <c r="G959" s="4">
        <v>16</v>
      </c>
      <c r="H959" s="4">
        <v>7264</v>
      </c>
      <c r="I959" s="6">
        <v>5258.3455005316146</v>
      </c>
      <c r="J959" s="6">
        <f>表1[[#This Row],[销售金额]]-表1[[#This Row],[退款金额]]</f>
        <v>2005.6544994683854</v>
      </c>
      <c r="K959" s="1">
        <v>481</v>
      </c>
      <c r="L959" s="1">
        <v>183</v>
      </c>
    </row>
    <row r="960" spans="1:12" x14ac:dyDescent="0.3">
      <c r="A960" s="2">
        <v>45916</v>
      </c>
      <c r="B960" s="1" t="s">
        <v>11</v>
      </c>
      <c r="C960" s="1" t="s">
        <v>19</v>
      </c>
      <c r="D960" s="1" t="s">
        <v>197</v>
      </c>
      <c r="E960" s="1" t="s">
        <v>51</v>
      </c>
      <c r="F960" s="1" t="s">
        <v>52</v>
      </c>
      <c r="G960" s="4">
        <v>16</v>
      </c>
      <c r="H960" s="4">
        <v>7762</v>
      </c>
      <c r="I960" s="6">
        <v>7263.9800459822754</v>
      </c>
      <c r="J960" s="6">
        <f>表1[[#This Row],[销售金额]]-表1[[#This Row],[退款金额]]</f>
        <v>498.01995401772456</v>
      </c>
      <c r="K960" s="1">
        <v>264</v>
      </c>
      <c r="L960" s="1">
        <v>825</v>
      </c>
    </row>
    <row r="961" spans="1:12" x14ac:dyDescent="0.3">
      <c r="A961" s="2">
        <v>45916</v>
      </c>
      <c r="B961" s="1" t="s">
        <v>11</v>
      </c>
      <c r="C961" s="1" t="s">
        <v>32</v>
      </c>
      <c r="D961" s="1" t="s">
        <v>133</v>
      </c>
      <c r="E961" s="1" t="s">
        <v>38</v>
      </c>
      <c r="F961" s="1" t="s">
        <v>39</v>
      </c>
      <c r="G961" s="4">
        <v>16</v>
      </c>
      <c r="H961" s="4">
        <v>9470</v>
      </c>
      <c r="I961" s="6">
        <v>5258.3455005316146</v>
      </c>
      <c r="J961" s="6">
        <f>表1[[#This Row],[销售金额]]-表1[[#This Row],[退款金额]]</f>
        <v>4211.6544994683854</v>
      </c>
      <c r="K961" s="1">
        <v>481</v>
      </c>
      <c r="L961" s="1">
        <v>183</v>
      </c>
    </row>
    <row r="962" spans="1:12" x14ac:dyDescent="0.3">
      <c r="A962" s="2">
        <v>45916</v>
      </c>
      <c r="B962" s="1" t="s">
        <v>11</v>
      </c>
      <c r="C962" s="1" t="s">
        <v>19</v>
      </c>
      <c r="D962" s="1" t="s">
        <v>197</v>
      </c>
      <c r="E962" s="1" t="s">
        <v>51</v>
      </c>
      <c r="F962" s="1" t="s">
        <v>52</v>
      </c>
      <c r="G962" s="4">
        <v>16</v>
      </c>
      <c r="H962" s="4">
        <v>10073</v>
      </c>
      <c r="I962" s="6">
        <v>7263.9800459822754</v>
      </c>
      <c r="J962" s="6">
        <f>表1[[#This Row],[销售金额]]-表1[[#This Row],[退款金额]]</f>
        <v>2809.0199540177246</v>
      </c>
      <c r="K962" s="1">
        <v>264</v>
      </c>
      <c r="L962" s="1">
        <v>825</v>
      </c>
    </row>
    <row r="963" spans="1:12" x14ac:dyDescent="0.3">
      <c r="A963" s="2">
        <v>45916</v>
      </c>
      <c r="B963" s="1" t="s">
        <v>11</v>
      </c>
      <c r="C963" s="1" t="s">
        <v>32</v>
      </c>
      <c r="D963" s="1" t="s">
        <v>133</v>
      </c>
      <c r="E963" s="1" t="s">
        <v>38</v>
      </c>
      <c r="F963" s="1" t="s">
        <v>39</v>
      </c>
      <c r="G963" s="4">
        <v>16</v>
      </c>
      <c r="H963" s="4">
        <v>8547</v>
      </c>
      <c r="I963" s="6">
        <v>5258.3455005316146</v>
      </c>
      <c r="J963" s="6">
        <f>表1[[#This Row],[销售金额]]-表1[[#This Row],[退款金额]]</f>
        <v>3288.6544994683854</v>
      </c>
      <c r="K963" s="1">
        <v>481</v>
      </c>
      <c r="L963" s="1">
        <v>183</v>
      </c>
    </row>
    <row r="964" spans="1:12" x14ac:dyDescent="0.3">
      <c r="A964" s="2">
        <v>45916</v>
      </c>
      <c r="B964" s="1" t="s">
        <v>11</v>
      </c>
      <c r="C964" s="1" t="s">
        <v>19</v>
      </c>
      <c r="D964" s="1" t="s">
        <v>197</v>
      </c>
      <c r="E964" s="1" t="s">
        <v>51</v>
      </c>
      <c r="F964" s="1" t="s">
        <v>52</v>
      </c>
      <c r="G964" s="4">
        <v>16</v>
      </c>
      <c r="H964" s="4">
        <v>8956</v>
      </c>
      <c r="I964" s="6">
        <v>7263.9800459822754</v>
      </c>
      <c r="J964" s="6">
        <f>表1[[#This Row],[销售金额]]-表1[[#This Row],[退款金额]]</f>
        <v>1692.0199540177246</v>
      </c>
      <c r="K964" s="1">
        <v>264</v>
      </c>
      <c r="L964" s="1">
        <v>825</v>
      </c>
    </row>
    <row r="965" spans="1:12" x14ac:dyDescent="0.3">
      <c r="A965" s="2">
        <v>45916</v>
      </c>
      <c r="B965" s="1" t="s">
        <v>11</v>
      </c>
      <c r="C965" s="1" t="s">
        <v>32</v>
      </c>
      <c r="D965" s="1" t="s">
        <v>133</v>
      </c>
      <c r="E965" s="1" t="s">
        <v>38</v>
      </c>
      <c r="F965" s="1" t="s">
        <v>39</v>
      </c>
      <c r="G965" s="4">
        <v>16</v>
      </c>
      <c r="H965" s="4">
        <v>9993</v>
      </c>
      <c r="I965" s="6">
        <v>5258.3455005316146</v>
      </c>
      <c r="J965" s="6">
        <f>表1[[#This Row],[销售金额]]-表1[[#This Row],[退款金额]]</f>
        <v>4734.6544994683854</v>
      </c>
      <c r="K965" s="1">
        <v>481</v>
      </c>
      <c r="L965" s="1">
        <v>183</v>
      </c>
    </row>
    <row r="966" spans="1:12" x14ac:dyDescent="0.3">
      <c r="A966" s="2">
        <v>45916</v>
      </c>
      <c r="B966" s="1" t="s">
        <v>11</v>
      </c>
      <c r="C966" s="1" t="s">
        <v>19</v>
      </c>
      <c r="D966" s="1" t="s">
        <v>197</v>
      </c>
      <c r="E966" s="1" t="s">
        <v>51</v>
      </c>
      <c r="F966" s="1" t="s">
        <v>52</v>
      </c>
      <c r="G966" s="4">
        <v>16</v>
      </c>
      <c r="H966" s="4">
        <v>8961</v>
      </c>
      <c r="I966" s="6">
        <v>7263.9800459822754</v>
      </c>
      <c r="J966" s="6">
        <f>表1[[#This Row],[销售金额]]-表1[[#This Row],[退款金额]]</f>
        <v>1697.0199540177246</v>
      </c>
      <c r="K966" s="1">
        <v>264</v>
      </c>
      <c r="L966" s="1">
        <v>825</v>
      </c>
    </row>
    <row r="967" spans="1:12" x14ac:dyDescent="0.3">
      <c r="A967" s="2">
        <v>45916</v>
      </c>
      <c r="B967" s="1" t="s">
        <v>11</v>
      </c>
      <c r="C967" s="1" t="s">
        <v>32</v>
      </c>
      <c r="D967" s="1" t="s">
        <v>133</v>
      </c>
      <c r="E967" s="1" t="s">
        <v>38</v>
      </c>
      <c r="F967" s="1" t="s">
        <v>39</v>
      </c>
      <c r="G967" s="4">
        <v>16</v>
      </c>
      <c r="H967" s="4">
        <v>7257</v>
      </c>
      <c r="I967" s="6">
        <v>5258.3455005316146</v>
      </c>
      <c r="J967" s="6">
        <f>表1[[#This Row],[销售金额]]-表1[[#This Row],[退款金额]]</f>
        <v>1998.6544994683854</v>
      </c>
      <c r="K967" s="1">
        <v>481</v>
      </c>
      <c r="L967" s="1">
        <v>183</v>
      </c>
    </row>
    <row r="968" spans="1:12" x14ac:dyDescent="0.3">
      <c r="A968" s="2">
        <v>45916</v>
      </c>
      <c r="B968" s="1" t="s">
        <v>11</v>
      </c>
      <c r="C968" s="1" t="s">
        <v>19</v>
      </c>
      <c r="D968" s="1" t="s">
        <v>197</v>
      </c>
      <c r="E968" s="1" t="s">
        <v>51</v>
      </c>
      <c r="F968" s="1" t="s">
        <v>52</v>
      </c>
      <c r="G968" s="4">
        <v>16</v>
      </c>
      <c r="H968" s="4">
        <v>8882</v>
      </c>
      <c r="I968" s="6">
        <v>7263.9800459822754</v>
      </c>
      <c r="J968" s="6">
        <f>表1[[#This Row],[销售金额]]-表1[[#This Row],[退款金额]]</f>
        <v>1618.0199540177246</v>
      </c>
      <c r="K968" s="1">
        <v>264</v>
      </c>
      <c r="L968" s="1">
        <v>825</v>
      </c>
    </row>
    <row r="969" spans="1:12" x14ac:dyDescent="0.3">
      <c r="A969" s="2">
        <v>45916</v>
      </c>
      <c r="B969" s="1" t="s">
        <v>11</v>
      </c>
      <c r="C969" s="1" t="s">
        <v>32</v>
      </c>
      <c r="D969" s="1" t="s">
        <v>133</v>
      </c>
      <c r="E969" s="1" t="s">
        <v>38</v>
      </c>
      <c r="F969" s="1" t="s">
        <v>39</v>
      </c>
      <c r="G969" s="4">
        <v>16</v>
      </c>
      <c r="H969" s="4">
        <v>7479</v>
      </c>
      <c r="I969" s="6">
        <v>5258.3455005316146</v>
      </c>
      <c r="J969" s="6">
        <f>表1[[#This Row],[销售金额]]-表1[[#This Row],[退款金额]]</f>
        <v>2220.6544994683854</v>
      </c>
      <c r="K969" s="1">
        <v>481</v>
      </c>
      <c r="L969" s="1">
        <v>183</v>
      </c>
    </row>
    <row r="970" spans="1:12" x14ac:dyDescent="0.3">
      <c r="A970" s="2">
        <v>45916</v>
      </c>
      <c r="B970" s="1" t="s">
        <v>11</v>
      </c>
      <c r="C970" s="1" t="s">
        <v>19</v>
      </c>
      <c r="D970" s="1" t="s">
        <v>197</v>
      </c>
      <c r="E970" s="1" t="s">
        <v>51</v>
      </c>
      <c r="F970" s="1" t="s">
        <v>52</v>
      </c>
      <c r="G970" s="4">
        <v>16</v>
      </c>
      <c r="H970" s="4">
        <v>9555</v>
      </c>
      <c r="I970" s="6">
        <v>7263.9800459822754</v>
      </c>
      <c r="J970" s="6">
        <f>表1[[#This Row],[销售金额]]-表1[[#This Row],[退款金额]]</f>
        <v>2291.0199540177246</v>
      </c>
      <c r="K970" s="1">
        <v>264</v>
      </c>
      <c r="L970" s="1">
        <v>825</v>
      </c>
    </row>
    <row r="971" spans="1:12" x14ac:dyDescent="0.3">
      <c r="A971" s="2">
        <v>45917</v>
      </c>
      <c r="B971" s="1" t="s">
        <v>11</v>
      </c>
      <c r="C971" s="1" t="s">
        <v>32</v>
      </c>
      <c r="D971" s="1" t="s">
        <v>135</v>
      </c>
      <c r="E971" s="1" t="s">
        <v>60</v>
      </c>
      <c r="F971" s="1" t="s">
        <v>61</v>
      </c>
      <c r="G971" s="4">
        <v>3</v>
      </c>
      <c r="H971" s="4">
        <v>7626</v>
      </c>
      <c r="I971" s="6">
        <v>3414.6989053106913</v>
      </c>
      <c r="J971" s="6">
        <f>表1[[#This Row],[销售金额]]-表1[[#This Row],[退款金额]]</f>
        <v>4211.3010946893082</v>
      </c>
      <c r="K971" s="1">
        <v>242</v>
      </c>
      <c r="L971" s="1">
        <v>198</v>
      </c>
    </row>
    <row r="972" spans="1:12" x14ac:dyDescent="0.3">
      <c r="A972" s="2">
        <v>45917</v>
      </c>
      <c r="B972" s="1" t="s">
        <v>11</v>
      </c>
      <c r="C972" s="1" t="s">
        <v>32</v>
      </c>
      <c r="D972" s="1" t="s">
        <v>135</v>
      </c>
      <c r="E972" s="1" t="s">
        <v>60</v>
      </c>
      <c r="F972" s="1" t="s">
        <v>61</v>
      </c>
      <c r="G972" s="4">
        <v>3</v>
      </c>
      <c r="H972" s="4">
        <v>7445</v>
      </c>
      <c r="I972" s="6">
        <v>3414.6989053106913</v>
      </c>
      <c r="J972" s="6">
        <f>表1[[#This Row],[销售金额]]-表1[[#This Row],[退款金额]]</f>
        <v>4030.3010946893087</v>
      </c>
      <c r="K972" s="1">
        <v>242</v>
      </c>
      <c r="L972" s="1">
        <v>198</v>
      </c>
    </row>
    <row r="973" spans="1:12" x14ac:dyDescent="0.3">
      <c r="A973" s="2">
        <v>45917</v>
      </c>
      <c r="B973" s="1" t="s">
        <v>11</v>
      </c>
      <c r="C973" s="1" t="s">
        <v>32</v>
      </c>
      <c r="D973" s="1" t="s">
        <v>135</v>
      </c>
      <c r="E973" s="1" t="s">
        <v>60</v>
      </c>
      <c r="F973" s="1" t="s">
        <v>61</v>
      </c>
      <c r="G973" s="4">
        <v>3</v>
      </c>
      <c r="H973" s="4">
        <v>7870</v>
      </c>
      <c r="I973" s="6">
        <v>3414.6989053106913</v>
      </c>
      <c r="J973" s="6">
        <f>表1[[#This Row],[销售金额]]-表1[[#This Row],[退款金额]]</f>
        <v>4455.3010946893082</v>
      </c>
      <c r="K973" s="1">
        <v>242</v>
      </c>
      <c r="L973" s="1">
        <v>198</v>
      </c>
    </row>
    <row r="974" spans="1:12" x14ac:dyDescent="0.3">
      <c r="A974" s="2">
        <v>45917</v>
      </c>
      <c r="B974" s="1" t="s">
        <v>11</v>
      </c>
      <c r="C974" s="1" t="s">
        <v>32</v>
      </c>
      <c r="D974" s="1" t="s">
        <v>135</v>
      </c>
      <c r="E974" s="1" t="s">
        <v>60</v>
      </c>
      <c r="F974" s="1" t="s">
        <v>61</v>
      </c>
      <c r="G974" s="4">
        <v>3</v>
      </c>
      <c r="H974" s="4">
        <v>7506</v>
      </c>
      <c r="I974" s="6">
        <v>3414.6989053106913</v>
      </c>
      <c r="J974" s="6">
        <f>表1[[#This Row],[销售金额]]-表1[[#This Row],[退款金额]]</f>
        <v>4091.3010946893087</v>
      </c>
      <c r="K974" s="1">
        <v>242</v>
      </c>
      <c r="L974" s="1">
        <v>198</v>
      </c>
    </row>
    <row r="975" spans="1:12" x14ac:dyDescent="0.3">
      <c r="A975" s="2">
        <v>45917</v>
      </c>
      <c r="B975" s="1" t="s">
        <v>11</v>
      </c>
      <c r="C975" s="1" t="s">
        <v>32</v>
      </c>
      <c r="D975" s="1" t="s">
        <v>135</v>
      </c>
      <c r="E975" s="1" t="s">
        <v>60</v>
      </c>
      <c r="F975" s="1" t="s">
        <v>61</v>
      </c>
      <c r="G975" s="4">
        <v>3</v>
      </c>
      <c r="H975" s="4">
        <v>6254</v>
      </c>
      <c r="I975" s="6">
        <v>3414.6989053106913</v>
      </c>
      <c r="J975" s="6">
        <f>表1[[#This Row],[销售金额]]-表1[[#This Row],[退款金额]]</f>
        <v>2839.3010946893087</v>
      </c>
      <c r="K975" s="1">
        <v>242</v>
      </c>
      <c r="L975" s="1">
        <v>198</v>
      </c>
    </row>
    <row r="976" spans="1:12" x14ac:dyDescent="0.3">
      <c r="A976" s="2">
        <v>45917</v>
      </c>
      <c r="B976" s="1" t="s">
        <v>11</v>
      </c>
      <c r="C976" s="1" t="s">
        <v>32</v>
      </c>
      <c r="D976" s="1" t="s">
        <v>135</v>
      </c>
      <c r="E976" s="1" t="s">
        <v>60</v>
      </c>
      <c r="F976" s="1" t="s">
        <v>61</v>
      </c>
      <c r="G976" s="4">
        <v>3</v>
      </c>
      <c r="H976" s="4">
        <v>7339</v>
      </c>
      <c r="I976" s="6">
        <v>3414.6989053106913</v>
      </c>
      <c r="J976" s="6">
        <f>表1[[#This Row],[销售金额]]-表1[[#This Row],[退款金额]]</f>
        <v>3924.3010946893087</v>
      </c>
      <c r="K976" s="1">
        <v>242</v>
      </c>
      <c r="L976" s="1">
        <v>198</v>
      </c>
    </row>
    <row r="977" spans="1:12" x14ac:dyDescent="0.3">
      <c r="A977" s="2">
        <v>45917</v>
      </c>
      <c r="B977" s="1" t="s">
        <v>11</v>
      </c>
      <c r="C977" s="1" t="s">
        <v>32</v>
      </c>
      <c r="D977" s="1" t="s">
        <v>135</v>
      </c>
      <c r="E977" s="1" t="s">
        <v>60</v>
      </c>
      <c r="F977" s="1" t="s">
        <v>61</v>
      </c>
      <c r="G977" s="4">
        <v>3</v>
      </c>
      <c r="H977" s="4">
        <v>5395</v>
      </c>
      <c r="I977" s="6">
        <v>3414.6989053106913</v>
      </c>
      <c r="J977" s="6">
        <f>表1[[#This Row],[销售金额]]-表1[[#This Row],[退款金额]]</f>
        <v>1980.3010946893087</v>
      </c>
      <c r="K977" s="1">
        <v>242</v>
      </c>
      <c r="L977" s="1">
        <v>198</v>
      </c>
    </row>
    <row r="978" spans="1:12" x14ac:dyDescent="0.3">
      <c r="A978" s="2">
        <v>45917</v>
      </c>
      <c r="B978" s="1" t="s">
        <v>11</v>
      </c>
      <c r="C978" s="1" t="s">
        <v>32</v>
      </c>
      <c r="D978" s="1" t="s">
        <v>135</v>
      </c>
      <c r="E978" s="1" t="s">
        <v>60</v>
      </c>
      <c r="F978" s="1" t="s">
        <v>61</v>
      </c>
      <c r="G978" s="4">
        <v>3</v>
      </c>
      <c r="H978" s="4">
        <v>4691</v>
      </c>
      <c r="I978" s="6">
        <v>3414.6989053106913</v>
      </c>
      <c r="J978" s="6">
        <f>表1[[#This Row],[销售金额]]-表1[[#This Row],[退款金额]]</f>
        <v>1276.3010946893087</v>
      </c>
      <c r="K978" s="1">
        <v>242</v>
      </c>
      <c r="L978" s="1">
        <v>198</v>
      </c>
    </row>
    <row r="979" spans="1:12" x14ac:dyDescent="0.3">
      <c r="A979" s="2">
        <v>45917</v>
      </c>
      <c r="B979" s="1" t="s">
        <v>11</v>
      </c>
      <c r="C979" s="1" t="s">
        <v>32</v>
      </c>
      <c r="D979" s="1" t="s">
        <v>135</v>
      </c>
      <c r="E979" s="1" t="s">
        <v>60</v>
      </c>
      <c r="F979" s="1" t="s">
        <v>61</v>
      </c>
      <c r="G979" s="4">
        <v>3</v>
      </c>
      <c r="H979" s="4">
        <v>8188</v>
      </c>
      <c r="I979" s="6">
        <v>3414.6989053106913</v>
      </c>
      <c r="J979" s="6">
        <f>表1[[#This Row],[销售金额]]-表1[[#This Row],[退款金额]]</f>
        <v>4773.3010946893082</v>
      </c>
      <c r="K979" s="1">
        <v>242</v>
      </c>
      <c r="L979" s="1">
        <v>198</v>
      </c>
    </row>
    <row r="980" spans="1:12" x14ac:dyDescent="0.3">
      <c r="A980" s="2">
        <v>45918</v>
      </c>
      <c r="B980" s="1" t="s">
        <v>250</v>
      </c>
      <c r="C980" s="1" t="s">
        <v>19</v>
      </c>
      <c r="D980" s="1" t="s">
        <v>102</v>
      </c>
      <c r="E980" s="1" t="s">
        <v>75</v>
      </c>
      <c r="F980" s="1" t="s">
        <v>76</v>
      </c>
      <c r="G980" s="4">
        <v>5</v>
      </c>
      <c r="H980" s="4">
        <v>2577</v>
      </c>
      <c r="I980" s="6">
        <v>1073.783488714836</v>
      </c>
      <c r="J980" s="6">
        <f>表1[[#This Row],[销售金额]]-表1[[#This Row],[退款金额]]</f>
        <v>1503.216511285164</v>
      </c>
      <c r="K980" s="1">
        <v>254</v>
      </c>
      <c r="L980" s="1">
        <v>627</v>
      </c>
    </row>
    <row r="981" spans="1:12" x14ac:dyDescent="0.3">
      <c r="A981" s="2">
        <v>45918</v>
      </c>
      <c r="B981" s="1" t="s">
        <v>250</v>
      </c>
      <c r="C981" s="1" t="s">
        <v>19</v>
      </c>
      <c r="D981" s="1" t="s">
        <v>102</v>
      </c>
      <c r="E981" s="1" t="s">
        <v>75</v>
      </c>
      <c r="F981" s="1" t="s">
        <v>76</v>
      </c>
      <c r="G981" s="4">
        <v>5</v>
      </c>
      <c r="H981" s="4">
        <v>3762</v>
      </c>
      <c r="I981" s="6">
        <v>1073.783488714836</v>
      </c>
      <c r="J981" s="6">
        <f>表1[[#This Row],[销售金额]]-表1[[#This Row],[退款金额]]</f>
        <v>2688.216511285164</v>
      </c>
      <c r="K981" s="1">
        <v>254</v>
      </c>
      <c r="L981" s="1">
        <v>627</v>
      </c>
    </row>
    <row r="982" spans="1:12" x14ac:dyDescent="0.3">
      <c r="A982" s="2">
        <v>45918</v>
      </c>
      <c r="B982" s="1" t="s">
        <v>250</v>
      </c>
      <c r="C982" s="1" t="s">
        <v>19</v>
      </c>
      <c r="D982" s="1" t="s">
        <v>102</v>
      </c>
      <c r="E982" s="1" t="s">
        <v>75</v>
      </c>
      <c r="F982" s="1" t="s">
        <v>76</v>
      </c>
      <c r="G982" s="4">
        <v>5</v>
      </c>
      <c r="H982" s="4">
        <v>1320</v>
      </c>
      <c r="I982" s="6">
        <v>1073.783488714836</v>
      </c>
      <c r="J982" s="6">
        <f>表1[[#This Row],[销售金额]]-表1[[#This Row],[退款金额]]</f>
        <v>246.21651128516396</v>
      </c>
      <c r="K982" s="1">
        <v>254</v>
      </c>
      <c r="L982" s="1">
        <v>627</v>
      </c>
    </row>
    <row r="983" spans="1:12" x14ac:dyDescent="0.3">
      <c r="A983" s="2">
        <v>45918</v>
      </c>
      <c r="B983" s="1" t="s">
        <v>250</v>
      </c>
      <c r="C983" s="1" t="s">
        <v>19</v>
      </c>
      <c r="D983" s="1" t="s">
        <v>102</v>
      </c>
      <c r="E983" s="1" t="s">
        <v>75</v>
      </c>
      <c r="F983" s="1" t="s">
        <v>76</v>
      </c>
      <c r="G983" s="4">
        <v>5</v>
      </c>
      <c r="H983" s="4">
        <v>5697</v>
      </c>
      <c r="I983" s="6">
        <v>1073.783488714836</v>
      </c>
      <c r="J983" s="6">
        <f>表1[[#This Row],[销售金额]]-表1[[#This Row],[退款金额]]</f>
        <v>4623.2165112851635</v>
      </c>
      <c r="K983" s="1">
        <v>254</v>
      </c>
      <c r="L983" s="1">
        <v>627</v>
      </c>
    </row>
    <row r="984" spans="1:12" x14ac:dyDescent="0.3">
      <c r="A984" s="2">
        <v>45918</v>
      </c>
      <c r="B984" s="1" t="s">
        <v>250</v>
      </c>
      <c r="C984" s="1" t="s">
        <v>19</v>
      </c>
      <c r="D984" s="1" t="s">
        <v>102</v>
      </c>
      <c r="E984" s="1" t="s">
        <v>75</v>
      </c>
      <c r="F984" s="1" t="s">
        <v>76</v>
      </c>
      <c r="G984" s="4">
        <v>5</v>
      </c>
      <c r="H984" s="4">
        <v>2383</v>
      </c>
      <c r="I984" s="6">
        <v>1073.783488714836</v>
      </c>
      <c r="J984" s="6">
        <f>表1[[#This Row],[销售金额]]-表1[[#This Row],[退款金额]]</f>
        <v>1309.216511285164</v>
      </c>
      <c r="K984" s="1">
        <v>254</v>
      </c>
      <c r="L984" s="1">
        <v>627</v>
      </c>
    </row>
    <row r="985" spans="1:12" x14ac:dyDescent="0.3">
      <c r="A985" s="2">
        <v>45918</v>
      </c>
      <c r="B985" s="1" t="s">
        <v>250</v>
      </c>
      <c r="C985" s="1" t="s">
        <v>19</v>
      </c>
      <c r="D985" s="1" t="s">
        <v>102</v>
      </c>
      <c r="E985" s="1" t="s">
        <v>75</v>
      </c>
      <c r="F985" s="1" t="s">
        <v>76</v>
      </c>
      <c r="G985" s="4">
        <v>5</v>
      </c>
      <c r="H985" s="4">
        <v>1196</v>
      </c>
      <c r="I985" s="6">
        <v>1073.783488714836</v>
      </c>
      <c r="J985" s="6">
        <f>表1[[#This Row],[销售金额]]-表1[[#This Row],[退款金额]]</f>
        <v>122.21651128516396</v>
      </c>
      <c r="K985" s="1">
        <v>254</v>
      </c>
      <c r="L985" s="1">
        <v>627</v>
      </c>
    </row>
    <row r="986" spans="1:12" x14ac:dyDescent="0.3">
      <c r="A986" s="2">
        <v>45918</v>
      </c>
      <c r="B986" s="1" t="s">
        <v>250</v>
      </c>
      <c r="C986" s="1" t="s">
        <v>19</v>
      </c>
      <c r="D986" s="1" t="s">
        <v>102</v>
      </c>
      <c r="E986" s="1" t="s">
        <v>75</v>
      </c>
      <c r="F986" s="1" t="s">
        <v>76</v>
      </c>
      <c r="G986" s="4">
        <v>5</v>
      </c>
      <c r="H986" s="4">
        <v>5369</v>
      </c>
      <c r="I986" s="6">
        <v>1073.783488714836</v>
      </c>
      <c r="J986" s="6">
        <f>表1[[#This Row],[销售金额]]-表1[[#This Row],[退款金额]]</f>
        <v>4295.2165112851635</v>
      </c>
      <c r="K986" s="1">
        <v>254</v>
      </c>
      <c r="L986" s="1">
        <v>627</v>
      </c>
    </row>
    <row r="987" spans="1:12" x14ac:dyDescent="0.3">
      <c r="A987" s="2">
        <v>45918</v>
      </c>
      <c r="B987" s="1" t="s">
        <v>250</v>
      </c>
      <c r="C987" s="1" t="s">
        <v>19</v>
      </c>
      <c r="D987" s="1" t="s">
        <v>102</v>
      </c>
      <c r="E987" s="1" t="s">
        <v>75</v>
      </c>
      <c r="F987" s="1" t="s">
        <v>76</v>
      </c>
      <c r="G987" s="4">
        <v>5</v>
      </c>
      <c r="H987" s="4">
        <v>4063</v>
      </c>
      <c r="I987" s="6">
        <v>1073.783488714836</v>
      </c>
      <c r="J987" s="6">
        <f>表1[[#This Row],[销售金额]]-表1[[#This Row],[退款金额]]</f>
        <v>2989.216511285164</v>
      </c>
      <c r="K987" s="1">
        <v>254</v>
      </c>
      <c r="L987" s="1">
        <v>627</v>
      </c>
    </row>
    <row r="988" spans="1:12" x14ac:dyDescent="0.3">
      <c r="A988" s="2">
        <v>45918</v>
      </c>
      <c r="B988" s="1" t="s">
        <v>250</v>
      </c>
      <c r="C988" s="1" t="s">
        <v>19</v>
      </c>
      <c r="D988" s="1" t="s">
        <v>102</v>
      </c>
      <c r="E988" s="1" t="s">
        <v>75</v>
      </c>
      <c r="F988" s="1" t="s">
        <v>76</v>
      </c>
      <c r="G988" s="4">
        <v>5</v>
      </c>
      <c r="H988" s="4">
        <v>1657</v>
      </c>
      <c r="I988" s="6">
        <v>1073.783488714836</v>
      </c>
      <c r="J988" s="6">
        <f>表1[[#This Row],[销售金额]]-表1[[#This Row],[退款金额]]</f>
        <v>583.21651128516396</v>
      </c>
      <c r="K988" s="1">
        <v>254</v>
      </c>
      <c r="L988" s="1">
        <v>627</v>
      </c>
    </row>
    <row r="989" spans="1:12" x14ac:dyDescent="0.3">
      <c r="A989" s="2">
        <v>45918</v>
      </c>
      <c r="B989" s="1" t="s">
        <v>250</v>
      </c>
      <c r="C989" s="1" t="s">
        <v>19</v>
      </c>
      <c r="D989" s="1" t="s">
        <v>102</v>
      </c>
      <c r="E989" s="1" t="s">
        <v>75</v>
      </c>
      <c r="F989" s="1" t="s">
        <v>76</v>
      </c>
      <c r="G989" s="4">
        <v>5</v>
      </c>
      <c r="H989" s="4">
        <v>5856</v>
      </c>
      <c r="I989" s="6">
        <v>1073.783488714836</v>
      </c>
      <c r="J989" s="6">
        <f>表1[[#This Row],[销售金额]]-表1[[#This Row],[退款金额]]</f>
        <v>4782.2165112851635</v>
      </c>
      <c r="K989" s="1">
        <v>254</v>
      </c>
      <c r="L989" s="1">
        <v>627</v>
      </c>
    </row>
    <row r="990" spans="1:12" x14ac:dyDescent="0.3">
      <c r="A990" s="2">
        <v>45918</v>
      </c>
      <c r="B990" s="1" t="s">
        <v>250</v>
      </c>
      <c r="C990" s="1" t="s">
        <v>19</v>
      </c>
      <c r="D990" s="1" t="s">
        <v>102</v>
      </c>
      <c r="E990" s="1" t="s">
        <v>75</v>
      </c>
      <c r="F990" s="1" t="s">
        <v>76</v>
      </c>
      <c r="G990" s="4">
        <v>5</v>
      </c>
      <c r="H990" s="4">
        <v>2498</v>
      </c>
      <c r="I990" s="6">
        <v>1073.783488714836</v>
      </c>
      <c r="J990" s="6">
        <f>表1[[#This Row],[销售金额]]-表1[[#This Row],[退款金额]]</f>
        <v>1424.216511285164</v>
      </c>
      <c r="K990" s="1">
        <v>254</v>
      </c>
      <c r="L990" s="1">
        <v>627</v>
      </c>
    </row>
    <row r="991" spans="1:12" x14ac:dyDescent="0.3">
      <c r="A991" s="2">
        <v>45918</v>
      </c>
      <c r="B991" s="1" t="s">
        <v>250</v>
      </c>
      <c r="C991" s="1" t="s">
        <v>19</v>
      </c>
      <c r="D991" s="1" t="s">
        <v>102</v>
      </c>
      <c r="E991" s="1" t="s">
        <v>75</v>
      </c>
      <c r="F991" s="1" t="s">
        <v>76</v>
      </c>
      <c r="G991" s="4">
        <v>5</v>
      </c>
      <c r="H991" s="4">
        <v>1361</v>
      </c>
      <c r="I991" s="6">
        <v>1073.783488714836</v>
      </c>
      <c r="J991" s="6">
        <f>表1[[#This Row],[销售金额]]-表1[[#This Row],[退款金额]]</f>
        <v>287.21651128516396</v>
      </c>
      <c r="K991" s="1">
        <v>254</v>
      </c>
      <c r="L991" s="1">
        <v>627</v>
      </c>
    </row>
    <row r="992" spans="1:12" x14ac:dyDescent="0.3">
      <c r="A992" s="2">
        <v>45918</v>
      </c>
      <c r="B992" s="1" t="s">
        <v>250</v>
      </c>
      <c r="C992" s="1" t="s">
        <v>19</v>
      </c>
      <c r="D992" s="1" t="s">
        <v>102</v>
      </c>
      <c r="E992" s="1" t="s">
        <v>75</v>
      </c>
      <c r="F992" s="1" t="s">
        <v>76</v>
      </c>
      <c r="G992" s="4">
        <v>5</v>
      </c>
      <c r="H992" s="4">
        <v>4850</v>
      </c>
      <c r="I992" s="6">
        <v>1073.783488714836</v>
      </c>
      <c r="J992" s="6">
        <f>表1[[#This Row],[销售金额]]-表1[[#This Row],[退款金额]]</f>
        <v>3776.216511285164</v>
      </c>
      <c r="K992" s="1">
        <v>254</v>
      </c>
      <c r="L992" s="1">
        <v>627</v>
      </c>
    </row>
    <row r="993" spans="1:12" x14ac:dyDescent="0.3">
      <c r="A993" s="2">
        <v>45918</v>
      </c>
      <c r="B993" s="1" t="s">
        <v>250</v>
      </c>
      <c r="C993" s="1" t="s">
        <v>19</v>
      </c>
      <c r="D993" s="1" t="s">
        <v>102</v>
      </c>
      <c r="E993" s="1" t="s">
        <v>75</v>
      </c>
      <c r="F993" s="1" t="s">
        <v>76</v>
      </c>
      <c r="G993" s="4">
        <v>5</v>
      </c>
      <c r="H993" s="4">
        <v>3276</v>
      </c>
      <c r="I993" s="6">
        <v>1073.783488714836</v>
      </c>
      <c r="J993" s="6">
        <f>表1[[#This Row],[销售金额]]-表1[[#This Row],[退款金额]]</f>
        <v>2202.216511285164</v>
      </c>
      <c r="K993" s="1">
        <v>254</v>
      </c>
      <c r="L993" s="1">
        <v>627</v>
      </c>
    </row>
    <row r="994" spans="1:12" x14ac:dyDescent="0.3">
      <c r="A994" s="2">
        <v>45918</v>
      </c>
      <c r="B994" s="1" t="s">
        <v>250</v>
      </c>
      <c r="C994" s="1" t="s">
        <v>19</v>
      </c>
      <c r="D994" s="1" t="s">
        <v>102</v>
      </c>
      <c r="E994" s="1" t="s">
        <v>75</v>
      </c>
      <c r="F994" s="1" t="s">
        <v>76</v>
      </c>
      <c r="G994" s="4">
        <v>5</v>
      </c>
      <c r="H994" s="4">
        <v>2182</v>
      </c>
      <c r="I994" s="6">
        <v>1073.783488714836</v>
      </c>
      <c r="J994" s="6">
        <f>表1[[#This Row],[销售金额]]-表1[[#This Row],[退款金额]]</f>
        <v>1108.216511285164</v>
      </c>
      <c r="K994" s="1">
        <v>254</v>
      </c>
      <c r="L994" s="1">
        <v>627</v>
      </c>
    </row>
    <row r="995" spans="1:12" x14ac:dyDescent="0.3">
      <c r="A995" s="2">
        <v>45918</v>
      </c>
      <c r="B995" s="1" t="s">
        <v>250</v>
      </c>
      <c r="C995" s="1" t="s">
        <v>19</v>
      </c>
      <c r="D995" s="1" t="s">
        <v>102</v>
      </c>
      <c r="E995" s="1" t="s">
        <v>75</v>
      </c>
      <c r="F995" s="1" t="s">
        <v>76</v>
      </c>
      <c r="G995" s="4">
        <v>5</v>
      </c>
      <c r="H995" s="4">
        <v>3371</v>
      </c>
      <c r="I995" s="6">
        <v>1073.783488714836</v>
      </c>
      <c r="J995" s="6">
        <f>表1[[#This Row],[销售金额]]-表1[[#This Row],[退款金额]]</f>
        <v>2297.216511285164</v>
      </c>
      <c r="K995" s="1">
        <v>254</v>
      </c>
      <c r="L995" s="1">
        <v>627</v>
      </c>
    </row>
    <row r="996" spans="1:12" x14ac:dyDescent="0.3">
      <c r="A996" s="2">
        <v>45918</v>
      </c>
      <c r="B996" s="1" t="s">
        <v>250</v>
      </c>
      <c r="C996" s="1" t="s">
        <v>19</v>
      </c>
      <c r="D996" s="1" t="s">
        <v>102</v>
      </c>
      <c r="E996" s="1" t="s">
        <v>75</v>
      </c>
      <c r="F996" s="1" t="s">
        <v>76</v>
      </c>
      <c r="G996" s="4">
        <v>5</v>
      </c>
      <c r="H996" s="4">
        <v>4072</v>
      </c>
      <c r="I996" s="6">
        <v>1073.783488714836</v>
      </c>
      <c r="J996" s="6">
        <f>表1[[#This Row],[销售金额]]-表1[[#This Row],[退款金额]]</f>
        <v>2998.216511285164</v>
      </c>
      <c r="K996" s="1">
        <v>254</v>
      </c>
      <c r="L996" s="1">
        <v>627</v>
      </c>
    </row>
    <row r="997" spans="1:12" x14ac:dyDescent="0.3">
      <c r="A997" s="2">
        <v>45918</v>
      </c>
      <c r="B997" s="1" t="s">
        <v>250</v>
      </c>
      <c r="C997" s="1" t="s">
        <v>19</v>
      </c>
      <c r="D997" s="1" t="s">
        <v>102</v>
      </c>
      <c r="E997" s="1" t="s">
        <v>75</v>
      </c>
      <c r="F997" s="1" t="s">
        <v>76</v>
      </c>
      <c r="G997" s="4">
        <v>5</v>
      </c>
      <c r="H997" s="4">
        <v>3428</v>
      </c>
      <c r="I997" s="6">
        <v>1073.783488714836</v>
      </c>
      <c r="J997" s="6">
        <f>表1[[#This Row],[销售金额]]-表1[[#This Row],[退款金额]]</f>
        <v>2354.216511285164</v>
      </c>
      <c r="K997" s="1">
        <v>254</v>
      </c>
      <c r="L997" s="1">
        <v>627</v>
      </c>
    </row>
    <row r="998" spans="1:12" x14ac:dyDescent="0.3">
      <c r="A998" s="2">
        <v>45918</v>
      </c>
      <c r="B998" s="1" t="s">
        <v>247</v>
      </c>
      <c r="C998" s="1" t="s">
        <v>10</v>
      </c>
      <c r="D998" s="1" t="s">
        <v>23</v>
      </c>
      <c r="E998" s="1" t="s">
        <v>8</v>
      </c>
      <c r="F998" s="1" t="s">
        <v>9</v>
      </c>
      <c r="G998" s="4">
        <v>10</v>
      </c>
      <c r="H998" s="4">
        <v>24968</v>
      </c>
      <c r="I998" s="6">
        <v>24468.425783546048</v>
      </c>
      <c r="J998" s="6">
        <f>表1[[#This Row],[销售金额]]-表1[[#This Row],[退款金额]]</f>
        <v>499.57421645395152</v>
      </c>
      <c r="K998" s="1">
        <v>1</v>
      </c>
      <c r="L998" s="1">
        <v>688</v>
      </c>
    </row>
    <row r="999" spans="1:12" x14ac:dyDescent="0.3">
      <c r="A999" s="2">
        <v>45918</v>
      </c>
      <c r="B999" s="1" t="s">
        <v>247</v>
      </c>
      <c r="C999" s="1" t="s">
        <v>10</v>
      </c>
      <c r="D999" s="1" t="s">
        <v>23</v>
      </c>
      <c r="E999" s="1" t="s">
        <v>8</v>
      </c>
      <c r="F999" s="1" t="s">
        <v>9</v>
      </c>
      <c r="G999" s="4">
        <v>10</v>
      </c>
      <c r="H999" s="4">
        <v>26163</v>
      </c>
      <c r="I999" s="6">
        <v>24468.425783546048</v>
      </c>
      <c r="J999" s="6">
        <f>表1[[#This Row],[销售金额]]-表1[[#This Row],[退款金额]]</f>
        <v>1694.5742164539515</v>
      </c>
      <c r="K999" s="1">
        <v>1</v>
      </c>
      <c r="L999" s="1">
        <v>688</v>
      </c>
    </row>
    <row r="1000" spans="1:12" x14ac:dyDescent="0.3">
      <c r="A1000" s="2">
        <v>45918</v>
      </c>
      <c r="B1000" s="1" t="s">
        <v>247</v>
      </c>
      <c r="C1000" s="1" t="s">
        <v>10</v>
      </c>
      <c r="D1000" s="1" t="s">
        <v>23</v>
      </c>
      <c r="E1000" s="1" t="s">
        <v>8</v>
      </c>
      <c r="F1000" s="1" t="s">
        <v>9</v>
      </c>
      <c r="G1000" s="4">
        <v>10</v>
      </c>
      <c r="H1000" s="4">
        <v>26184</v>
      </c>
      <c r="I1000" s="6">
        <v>24468.425783546048</v>
      </c>
      <c r="J1000" s="6">
        <f>表1[[#This Row],[销售金额]]-表1[[#This Row],[退款金额]]</f>
        <v>1715.5742164539515</v>
      </c>
      <c r="K1000" s="1">
        <v>1</v>
      </c>
      <c r="L1000" s="1">
        <v>688</v>
      </c>
    </row>
    <row r="1001" spans="1:12" x14ac:dyDescent="0.3">
      <c r="A1001" s="2">
        <v>45918</v>
      </c>
      <c r="B1001" s="1" t="s">
        <v>247</v>
      </c>
      <c r="C1001" s="1" t="s">
        <v>10</v>
      </c>
      <c r="D1001" s="1" t="s">
        <v>23</v>
      </c>
      <c r="E1001" s="1" t="s">
        <v>8</v>
      </c>
      <c r="F1001" s="1" t="s">
        <v>9</v>
      </c>
      <c r="G1001" s="4">
        <v>10</v>
      </c>
      <c r="H1001" s="4">
        <v>24707</v>
      </c>
      <c r="I1001" s="6">
        <v>24468.425783546048</v>
      </c>
      <c r="J1001" s="6">
        <f>表1[[#This Row],[销售金额]]-表1[[#This Row],[退款金额]]</f>
        <v>238.57421645395152</v>
      </c>
      <c r="K1001" s="1">
        <v>1</v>
      </c>
      <c r="L1001" s="1">
        <v>688</v>
      </c>
    </row>
    <row r="1002" spans="1:12" x14ac:dyDescent="0.3">
      <c r="A1002" s="2">
        <v>45918</v>
      </c>
      <c r="B1002" s="1" t="s">
        <v>247</v>
      </c>
      <c r="C1002" s="1" t="s">
        <v>10</v>
      </c>
      <c r="D1002" s="1" t="s">
        <v>23</v>
      </c>
      <c r="E1002" s="1" t="s">
        <v>8</v>
      </c>
      <c r="F1002" s="1" t="s">
        <v>9</v>
      </c>
      <c r="G1002" s="4">
        <v>10</v>
      </c>
      <c r="H1002" s="4">
        <v>28314</v>
      </c>
      <c r="I1002" s="6">
        <v>24468.425783546048</v>
      </c>
      <c r="J1002" s="6">
        <f>表1[[#This Row],[销售金额]]-表1[[#This Row],[退款金额]]</f>
        <v>3845.5742164539515</v>
      </c>
      <c r="K1002" s="1">
        <v>1</v>
      </c>
      <c r="L1002" s="1">
        <v>688</v>
      </c>
    </row>
    <row r="1003" spans="1:12" x14ac:dyDescent="0.3">
      <c r="A1003" s="2">
        <v>45918</v>
      </c>
      <c r="B1003" s="1" t="s">
        <v>247</v>
      </c>
      <c r="C1003" s="1" t="s">
        <v>10</v>
      </c>
      <c r="D1003" s="1" t="s">
        <v>23</v>
      </c>
      <c r="E1003" s="1" t="s">
        <v>8</v>
      </c>
      <c r="F1003" s="1" t="s">
        <v>9</v>
      </c>
      <c r="G1003" s="4">
        <v>10</v>
      </c>
      <c r="H1003" s="4">
        <v>28564</v>
      </c>
      <c r="I1003" s="6">
        <v>24468.425783546048</v>
      </c>
      <c r="J1003" s="6">
        <f>表1[[#This Row],[销售金额]]-表1[[#This Row],[退款金额]]</f>
        <v>4095.5742164539515</v>
      </c>
      <c r="K1003" s="1">
        <v>1</v>
      </c>
      <c r="L1003" s="1">
        <v>688</v>
      </c>
    </row>
    <row r="1004" spans="1:12" x14ac:dyDescent="0.3">
      <c r="A1004" s="2">
        <v>45918</v>
      </c>
      <c r="B1004" s="1" t="s">
        <v>247</v>
      </c>
      <c r="C1004" s="1" t="s">
        <v>10</v>
      </c>
      <c r="D1004" s="1" t="s">
        <v>23</v>
      </c>
      <c r="E1004" s="1" t="s">
        <v>8</v>
      </c>
      <c r="F1004" s="1" t="s">
        <v>9</v>
      </c>
      <c r="G1004" s="4">
        <v>10</v>
      </c>
      <c r="H1004" s="4">
        <v>29367</v>
      </c>
      <c r="I1004" s="6">
        <v>24468.425783546048</v>
      </c>
      <c r="J1004" s="6">
        <f>表1[[#This Row],[销售金额]]-表1[[#This Row],[退款金额]]</f>
        <v>4898.5742164539515</v>
      </c>
      <c r="K1004" s="1">
        <v>1</v>
      </c>
      <c r="L1004" s="1">
        <v>688</v>
      </c>
    </row>
    <row r="1005" spans="1:12" x14ac:dyDescent="0.3">
      <c r="A1005" s="2">
        <v>45918</v>
      </c>
      <c r="B1005" s="1" t="s">
        <v>247</v>
      </c>
      <c r="C1005" s="1" t="s">
        <v>10</v>
      </c>
      <c r="D1005" s="1" t="s">
        <v>23</v>
      </c>
      <c r="E1005" s="1" t="s">
        <v>8</v>
      </c>
      <c r="F1005" s="1" t="s">
        <v>9</v>
      </c>
      <c r="G1005" s="4">
        <v>10</v>
      </c>
      <c r="H1005" s="4">
        <v>28075</v>
      </c>
      <c r="I1005" s="6">
        <v>24468.425783546048</v>
      </c>
      <c r="J1005" s="6">
        <f>表1[[#This Row],[销售金额]]-表1[[#This Row],[退款金额]]</f>
        <v>3606.5742164539515</v>
      </c>
      <c r="K1005" s="1">
        <v>1</v>
      </c>
      <c r="L1005" s="1">
        <v>688</v>
      </c>
    </row>
    <row r="1006" spans="1:12" x14ac:dyDescent="0.3">
      <c r="A1006" s="2">
        <v>45918</v>
      </c>
      <c r="B1006" s="1" t="s">
        <v>247</v>
      </c>
      <c r="C1006" s="1" t="s">
        <v>10</v>
      </c>
      <c r="D1006" s="1" t="s">
        <v>23</v>
      </c>
      <c r="E1006" s="1" t="s">
        <v>8</v>
      </c>
      <c r="F1006" s="1" t="s">
        <v>9</v>
      </c>
      <c r="G1006" s="4">
        <v>10</v>
      </c>
      <c r="H1006" s="4">
        <v>28936</v>
      </c>
      <c r="I1006" s="6">
        <v>24468.425783546048</v>
      </c>
      <c r="J1006" s="6">
        <f>表1[[#This Row],[销售金额]]-表1[[#This Row],[退款金额]]</f>
        <v>4467.5742164539515</v>
      </c>
      <c r="K1006" s="1">
        <v>1</v>
      </c>
      <c r="L1006" s="1">
        <v>688</v>
      </c>
    </row>
    <row r="1007" spans="1:12" x14ac:dyDescent="0.3">
      <c r="A1007" s="2">
        <v>45918</v>
      </c>
      <c r="B1007" s="1" t="s">
        <v>250</v>
      </c>
      <c r="C1007" s="1" t="s">
        <v>10</v>
      </c>
      <c r="D1007" s="1" t="s">
        <v>202</v>
      </c>
      <c r="E1007" s="1" t="s">
        <v>8</v>
      </c>
      <c r="F1007" s="1" t="s">
        <v>9</v>
      </c>
      <c r="G1007" s="4">
        <v>13</v>
      </c>
      <c r="H1007" s="4">
        <v>43563</v>
      </c>
      <c r="I1007" s="6">
        <v>40228.304252578317</v>
      </c>
      <c r="J1007" s="6">
        <f>表1[[#This Row],[销售金额]]-表1[[#This Row],[退款金额]]</f>
        <v>3334.6957474216833</v>
      </c>
      <c r="K1007" s="1">
        <v>598</v>
      </c>
      <c r="L1007" s="1">
        <v>304</v>
      </c>
    </row>
    <row r="1008" spans="1:12" x14ac:dyDescent="0.3">
      <c r="A1008" s="2">
        <v>45918</v>
      </c>
      <c r="B1008" s="1" t="s">
        <v>250</v>
      </c>
      <c r="C1008" s="1" t="s">
        <v>10</v>
      </c>
      <c r="D1008" s="1" t="s">
        <v>202</v>
      </c>
      <c r="E1008" s="1" t="s">
        <v>8</v>
      </c>
      <c r="F1008" s="1" t="s">
        <v>9</v>
      </c>
      <c r="G1008" s="4">
        <v>13</v>
      </c>
      <c r="H1008" s="4">
        <v>41203</v>
      </c>
      <c r="I1008" s="6">
        <v>40228.304252578317</v>
      </c>
      <c r="J1008" s="6">
        <f>表1[[#This Row],[销售金额]]-表1[[#This Row],[退款金额]]</f>
        <v>974.69574742168334</v>
      </c>
      <c r="K1008" s="1">
        <v>598</v>
      </c>
      <c r="L1008" s="1">
        <v>304</v>
      </c>
    </row>
    <row r="1009" spans="1:12" x14ac:dyDescent="0.3">
      <c r="A1009" s="2">
        <v>45918</v>
      </c>
      <c r="B1009" s="1" t="s">
        <v>250</v>
      </c>
      <c r="C1009" s="1" t="s">
        <v>10</v>
      </c>
      <c r="D1009" s="1" t="s">
        <v>202</v>
      </c>
      <c r="E1009" s="1" t="s">
        <v>8</v>
      </c>
      <c r="F1009" s="1" t="s">
        <v>9</v>
      </c>
      <c r="G1009" s="4">
        <v>13</v>
      </c>
      <c r="H1009" s="4">
        <v>42579</v>
      </c>
      <c r="I1009" s="6">
        <v>40228.304252578317</v>
      </c>
      <c r="J1009" s="6">
        <f>表1[[#This Row],[销售金额]]-表1[[#This Row],[退款金额]]</f>
        <v>2350.6957474216833</v>
      </c>
      <c r="K1009" s="1">
        <v>598</v>
      </c>
      <c r="L1009" s="1">
        <v>304</v>
      </c>
    </row>
    <row r="1010" spans="1:12" x14ac:dyDescent="0.3">
      <c r="A1010" s="2">
        <v>45918</v>
      </c>
      <c r="B1010" s="1" t="s">
        <v>250</v>
      </c>
      <c r="C1010" s="1" t="s">
        <v>10</v>
      </c>
      <c r="D1010" s="1" t="s">
        <v>202</v>
      </c>
      <c r="E1010" s="1" t="s">
        <v>8</v>
      </c>
      <c r="F1010" s="1" t="s">
        <v>9</v>
      </c>
      <c r="G1010" s="4">
        <v>13</v>
      </c>
      <c r="H1010" s="4">
        <v>44791</v>
      </c>
      <c r="I1010" s="6">
        <v>40228.304252578317</v>
      </c>
      <c r="J1010" s="6">
        <f>表1[[#This Row],[销售金额]]-表1[[#This Row],[退款金额]]</f>
        <v>4562.6957474216833</v>
      </c>
      <c r="K1010" s="1">
        <v>598</v>
      </c>
      <c r="L1010" s="1">
        <v>304</v>
      </c>
    </row>
    <row r="1011" spans="1:12" x14ac:dyDescent="0.3">
      <c r="A1011" s="2">
        <v>45918</v>
      </c>
      <c r="B1011" s="1" t="s">
        <v>250</v>
      </c>
      <c r="C1011" s="1" t="s">
        <v>10</v>
      </c>
      <c r="D1011" s="1" t="s">
        <v>202</v>
      </c>
      <c r="E1011" s="1" t="s">
        <v>8</v>
      </c>
      <c r="F1011" s="1" t="s">
        <v>9</v>
      </c>
      <c r="G1011" s="4">
        <v>13</v>
      </c>
      <c r="H1011" s="4">
        <v>43411</v>
      </c>
      <c r="I1011" s="6">
        <v>40228.304252578317</v>
      </c>
      <c r="J1011" s="6">
        <f>表1[[#This Row],[销售金额]]-表1[[#This Row],[退款金额]]</f>
        <v>3182.6957474216833</v>
      </c>
      <c r="K1011" s="1">
        <v>598</v>
      </c>
      <c r="L1011" s="1">
        <v>304</v>
      </c>
    </row>
    <row r="1012" spans="1:12" x14ac:dyDescent="0.3">
      <c r="A1012" s="2">
        <v>45918</v>
      </c>
      <c r="B1012" s="1" t="s">
        <v>250</v>
      </c>
      <c r="C1012" s="1" t="s">
        <v>10</v>
      </c>
      <c r="D1012" s="1" t="s">
        <v>202</v>
      </c>
      <c r="E1012" s="1" t="s">
        <v>8</v>
      </c>
      <c r="F1012" s="1" t="s">
        <v>9</v>
      </c>
      <c r="G1012" s="4">
        <v>13</v>
      </c>
      <c r="H1012" s="4">
        <v>42006</v>
      </c>
      <c r="I1012" s="6">
        <v>40228.304252578317</v>
      </c>
      <c r="J1012" s="6">
        <f>表1[[#This Row],[销售金额]]-表1[[#This Row],[退款金额]]</f>
        <v>1777.6957474216833</v>
      </c>
      <c r="K1012" s="1">
        <v>598</v>
      </c>
      <c r="L1012" s="1">
        <v>304</v>
      </c>
    </row>
    <row r="1013" spans="1:12" x14ac:dyDescent="0.3">
      <c r="A1013" s="2">
        <v>45918</v>
      </c>
      <c r="B1013" s="1" t="s">
        <v>250</v>
      </c>
      <c r="C1013" s="1" t="s">
        <v>10</v>
      </c>
      <c r="D1013" s="1" t="s">
        <v>202</v>
      </c>
      <c r="E1013" s="1" t="s">
        <v>8</v>
      </c>
      <c r="F1013" s="1" t="s">
        <v>9</v>
      </c>
      <c r="G1013" s="4">
        <v>13</v>
      </c>
      <c r="H1013" s="4">
        <v>40505</v>
      </c>
      <c r="I1013" s="6">
        <v>40228.304252578317</v>
      </c>
      <c r="J1013" s="6">
        <f>表1[[#This Row],[销售金额]]-表1[[#This Row],[退款金额]]</f>
        <v>276.69574742168334</v>
      </c>
      <c r="K1013" s="1">
        <v>598</v>
      </c>
      <c r="L1013" s="1">
        <v>304</v>
      </c>
    </row>
    <row r="1014" spans="1:12" x14ac:dyDescent="0.3">
      <c r="A1014" s="2">
        <v>45918</v>
      </c>
      <c r="B1014" s="1" t="s">
        <v>250</v>
      </c>
      <c r="C1014" s="1" t="s">
        <v>10</v>
      </c>
      <c r="D1014" s="1" t="s">
        <v>202</v>
      </c>
      <c r="E1014" s="1" t="s">
        <v>8</v>
      </c>
      <c r="F1014" s="1" t="s">
        <v>9</v>
      </c>
      <c r="G1014" s="4">
        <v>13</v>
      </c>
      <c r="H1014" s="4">
        <v>40895</v>
      </c>
      <c r="I1014" s="6">
        <v>40228.304252578317</v>
      </c>
      <c r="J1014" s="6">
        <f>表1[[#This Row],[销售金额]]-表1[[#This Row],[退款金额]]</f>
        <v>666.69574742168334</v>
      </c>
      <c r="K1014" s="1">
        <v>598</v>
      </c>
      <c r="L1014" s="1">
        <v>304</v>
      </c>
    </row>
    <row r="1015" spans="1:12" x14ac:dyDescent="0.3">
      <c r="A1015" s="2">
        <v>45918</v>
      </c>
      <c r="B1015" s="1" t="s">
        <v>250</v>
      </c>
      <c r="C1015" s="1" t="s">
        <v>10</v>
      </c>
      <c r="D1015" s="1" t="s">
        <v>202</v>
      </c>
      <c r="E1015" s="1" t="s">
        <v>8</v>
      </c>
      <c r="F1015" s="1" t="s">
        <v>9</v>
      </c>
      <c r="G1015" s="4">
        <v>13</v>
      </c>
      <c r="H1015" s="4">
        <v>44678</v>
      </c>
      <c r="I1015" s="6">
        <v>40228.304252578317</v>
      </c>
      <c r="J1015" s="6">
        <f>表1[[#This Row],[销售金额]]-表1[[#This Row],[退款金额]]</f>
        <v>4449.6957474216833</v>
      </c>
      <c r="K1015" s="1">
        <v>598</v>
      </c>
      <c r="L1015" s="1">
        <v>304</v>
      </c>
    </row>
    <row r="1016" spans="1:12" x14ac:dyDescent="0.3">
      <c r="A1016" s="2">
        <v>45918</v>
      </c>
      <c r="B1016" s="1" t="s">
        <v>250</v>
      </c>
      <c r="C1016" s="1" t="s">
        <v>10</v>
      </c>
      <c r="D1016" s="1" t="s">
        <v>82</v>
      </c>
      <c r="E1016" s="1" t="s">
        <v>13</v>
      </c>
      <c r="F1016" s="1" t="s">
        <v>14</v>
      </c>
      <c r="G1016" s="4">
        <v>17</v>
      </c>
      <c r="H1016" s="4">
        <v>72209</v>
      </c>
      <c r="I1016" s="6">
        <v>72093.038524869888</v>
      </c>
      <c r="J1016" s="6">
        <f>表1[[#This Row],[销售金额]]-表1[[#This Row],[退款金额]]</f>
        <v>115.96147513011238</v>
      </c>
      <c r="K1016" s="1">
        <v>332</v>
      </c>
      <c r="L1016" s="1">
        <v>833</v>
      </c>
    </row>
    <row r="1017" spans="1:12" x14ac:dyDescent="0.3">
      <c r="A1017" s="2">
        <v>45918</v>
      </c>
      <c r="B1017" s="1" t="s">
        <v>250</v>
      </c>
      <c r="C1017" s="1" t="s">
        <v>10</v>
      </c>
      <c r="D1017" s="1" t="s">
        <v>82</v>
      </c>
      <c r="E1017" s="1" t="s">
        <v>13</v>
      </c>
      <c r="F1017" s="1" t="s">
        <v>14</v>
      </c>
      <c r="G1017" s="4">
        <v>17</v>
      </c>
      <c r="H1017" s="4">
        <v>73703</v>
      </c>
      <c r="I1017" s="6">
        <v>72093.038524869888</v>
      </c>
      <c r="J1017" s="6">
        <f>表1[[#This Row],[销售金额]]-表1[[#This Row],[退款金额]]</f>
        <v>1609.9614751301124</v>
      </c>
      <c r="K1017" s="1">
        <v>332</v>
      </c>
      <c r="L1017" s="1">
        <v>833</v>
      </c>
    </row>
    <row r="1018" spans="1:12" x14ac:dyDescent="0.3">
      <c r="A1018" s="2">
        <v>45918</v>
      </c>
      <c r="B1018" s="1" t="s">
        <v>11</v>
      </c>
      <c r="C1018" s="1" t="s">
        <v>19</v>
      </c>
      <c r="D1018" s="1" t="s">
        <v>53</v>
      </c>
      <c r="E1018" s="1" t="s">
        <v>17</v>
      </c>
      <c r="F1018" s="1" t="s">
        <v>18</v>
      </c>
      <c r="G1018" s="4">
        <v>17</v>
      </c>
      <c r="H1018" s="4">
        <v>8099</v>
      </c>
      <c r="I1018" s="6">
        <v>6950.6613692259152</v>
      </c>
      <c r="J1018" s="6">
        <f>表1[[#This Row],[销售金额]]-表1[[#This Row],[退款金额]]</f>
        <v>1148.3386307740848</v>
      </c>
      <c r="K1018" s="1">
        <v>545</v>
      </c>
      <c r="L1018" s="1">
        <v>774</v>
      </c>
    </row>
    <row r="1019" spans="1:12" x14ac:dyDescent="0.3">
      <c r="A1019" s="2">
        <v>45918</v>
      </c>
      <c r="B1019" s="1" t="s">
        <v>250</v>
      </c>
      <c r="C1019" s="1" t="s">
        <v>10</v>
      </c>
      <c r="D1019" s="1" t="s">
        <v>82</v>
      </c>
      <c r="E1019" s="1" t="s">
        <v>13</v>
      </c>
      <c r="F1019" s="1" t="s">
        <v>14</v>
      </c>
      <c r="G1019" s="4">
        <v>17</v>
      </c>
      <c r="H1019" s="4">
        <v>76608</v>
      </c>
      <c r="I1019" s="6">
        <v>72093.038524869888</v>
      </c>
      <c r="J1019" s="6">
        <f>表1[[#This Row],[销售金额]]-表1[[#This Row],[退款金额]]</f>
        <v>4514.9614751301124</v>
      </c>
      <c r="K1019" s="1">
        <v>332</v>
      </c>
      <c r="L1019" s="1">
        <v>833</v>
      </c>
    </row>
    <row r="1020" spans="1:12" x14ac:dyDescent="0.3">
      <c r="A1020" s="2">
        <v>45918</v>
      </c>
      <c r="B1020" s="1" t="s">
        <v>250</v>
      </c>
      <c r="C1020" s="1" t="s">
        <v>10</v>
      </c>
      <c r="D1020" s="1" t="s">
        <v>82</v>
      </c>
      <c r="E1020" s="1" t="s">
        <v>13</v>
      </c>
      <c r="F1020" s="1" t="s">
        <v>14</v>
      </c>
      <c r="G1020" s="4">
        <v>17</v>
      </c>
      <c r="H1020" s="4">
        <v>74799</v>
      </c>
      <c r="I1020" s="6">
        <v>72093.038524869888</v>
      </c>
      <c r="J1020" s="6">
        <f>表1[[#This Row],[销售金额]]-表1[[#This Row],[退款金额]]</f>
        <v>2705.9614751301124</v>
      </c>
      <c r="K1020" s="1">
        <v>332</v>
      </c>
      <c r="L1020" s="1">
        <v>833</v>
      </c>
    </row>
    <row r="1021" spans="1:12" x14ac:dyDescent="0.3">
      <c r="A1021" s="2">
        <v>45918</v>
      </c>
      <c r="B1021" s="1" t="s">
        <v>11</v>
      </c>
      <c r="C1021" s="1" t="s">
        <v>19</v>
      </c>
      <c r="D1021" s="1" t="s">
        <v>53</v>
      </c>
      <c r="E1021" s="1" t="s">
        <v>17</v>
      </c>
      <c r="F1021" s="1" t="s">
        <v>18</v>
      </c>
      <c r="G1021" s="4">
        <v>17</v>
      </c>
      <c r="H1021" s="4">
        <v>10217</v>
      </c>
      <c r="I1021" s="6">
        <v>6950.6613692259152</v>
      </c>
      <c r="J1021" s="6">
        <f>表1[[#This Row],[销售金额]]-表1[[#This Row],[退款金额]]</f>
        <v>3266.3386307740848</v>
      </c>
      <c r="K1021" s="1">
        <v>545</v>
      </c>
      <c r="L1021" s="1">
        <v>774</v>
      </c>
    </row>
    <row r="1022" spans="1:12" x14ac:dyDescent="0.3">
      <c r="A1022" s="2">
        <v>45918</v>
      </c>
      <c r="B1022" s="1" t="s">
        <v>250</v>
      </c>
      <c r="C1022" s="1" t="s">
        <v>10</v>
      </c>
      <c r="D1022" s="1" t="s">
        <v>82</v>
      </c>
      <c r="E1022" s="1" t="s">
        <v>13</v>
      </c>
      <c r="F1022" s="1" t="s">
        <v>14</v>
      </c>
      <c r="G1022" s="4">
        <v>17</v>
      </c>
      <c r="H1022" s="4">
        <v>74358</v>
      </c>
      <c r="I1022" s="6">
        <v>72093.038524869888</v>
      </c>
      <c r="J1022" s="6">
        <f>表1[[#This Row],[销售金额]]-表1[[#This Row],[退款金额]]</f>
        <v>2264.9614751301124</v>
      </c>
      <c r="K1022" s="1">
        <v>332</v>
      </c>
      <c r="L1022" s="1">
        <v>833</v>
      </c>
    </row>
    <row r="1023" spans="1:12" x14ac:dyDescent="0.3">
      <c r="A1023" s="2">
        <v>45918</v>
      </c>
      <c r="B1023" s="1" t="s">
        <v>250</v>
      </c>
      <c r="C1023" s="1" t="s">
        <v>10</v>
      </c>
      <c r="D1023" s="1" t="s">
        <v>82</v>
      </c>
      <c r="E1023" s="1" t="s">
        <v>13</v>
      </c>
      <c r="F1023" s="1" t="s">
        <v>14</v>
      </c>
      <c r="G1023" s="4">
        <v>17</v>
      </c>
      <c r="H1023" s="4">
        <v>75961</v>
      </c>
      <c r="I1023" s="6">
        <v>72093.038524869888</v>
      </c>
      <c r="J1023" s="6">
        <f>表1[[#This Row],[销售金额]]-表1[[#This Row],[退款金额]]</f>
        <v>3867.9614751301124</v>
      </c>
      <c r="K1023" s="1">
        <v>332</v>
      </c>
      <c r="L1023" s="1">
        <v>833</v>
      </c>
    </row>
    <row r="1024" spans="1:12" x14ac:dyDescent="0.3">
      <c r="A1024" s="2">
        <v>45918</v>
      </c>
      <c r="B1024" s="1" t="s">
        <v>11</v>
      </c>
      <c r="C1024" s="1" t="s">
        <v>19</v>
      </c>
      <c r="D1024" s="1" t="s">
        <v>53</v>
      </c>
      <c r="E1024" s="1" t="s">
        <v>17</v>
      </c>
      <c r="F1024" s="1" t="s">
        <v>18</v>
      </c>
      <c r="G1024" s="4">
        <v>17</v>
      </c>
      <c r="H1024" s="4">
        <v>8622</v>
      </c>
      <c r="I1024" s="6">
        <v>6950.6613692259152</v>
      </c>
      <c r="J1024" s="6">
        <f>表1[[#This Row],[销售金额]]-表1[[#This Row],[退款金额]]</f>
        <v>1671.3386307740848</v>
      </c>
      <c r="K1024" s="1">
        <v>545</v>
      </c>
      <c r="L1024" s="1">
        <v>774</v>
      </c>
    </row>
    <row r="1025" spans="1:12" x14ac:dyDescent="0.3">
      <c r="A1025" s="2">
        <v>45918</v>
      </c>
      <c r="B1025" s="1" t="s">
        <v>250</v>
      </c>
      <c r="C1025" s="1" t="s">
        <v>10</v>
      </c>
      <c r="D1025" s="1" t="s">
        <v>82</v>
      </c>
      <c r="E1025" s="1" t="s">
        <v>13</v>
      </c>
      <c r="F1025" s="1" t="s">
        <v>14</v>
      </c>
      <c r="G1025" s="4">
        <v>17</v>
      </c>
      <c r="H1025" s="4">
        <v>72801</v>
      </c>
      <c r="I1025" s="6">
        <v>72093.038524869888</v>
      </c>
      <c r="J1025" s="6">
        <f>表1[[#This Row],[销售金额]]-表1[[#This Row],[退款金额]]</f>
        <v>707.96147513011238</v>
      </c>
      <c r="K1025" s="1">
        <v>332</v>
      </c>
      <c r="L1025" s="1">
        <v>833</v>
      </c>
    </row>
    <row r="1026" spans="1:12" x14ac:dyDescent="0.3">
      <c r="A1026" s="2">
        <v>45918</v>
      </c>
      <c r="B1026" s="1" t="s">
        <v>250</v>
      </c>
      <c r="C1026" s="1" t="s">
        <v>10</v>
      </c>
      <c r="D1026" s="1" t="s">
        <v>82</v>
      </c>
      <c r="E1026" s="1" t="s">
        <v>13</v>
      </c>
      <c r="F1026" s="1" t="s">
        <v>14</v>
      </c>
      <c r="G1026" s="4">
        <v>17</v>
      </c>
      <c r="H1026" s="4">
        <v>75171</v>
      </c>
      <c r="I1026" s="6">
        <v>72093.038524869888</v>
      </c>
      <c r="J1026" s="6">
        <f>表1[[#This Row],[销售金额]]-表1[[#This Row],[退款金额]]</f>
        <v>3077.9614751301124</v>
      </c>
      <c r="K1026" s="1">
        <v>332</v>
      </c>
      <c r="L1026" s="1">
        <v>833</v>
      </c>
    </row>
    <row r="1027" spans="1:12" x14ac:dyDescent="0.3">
      <c r="A1027" s="2">
        <v>45918</v>
      </c>
      <c r="B1027" s="1" t="s">
        <v>11</v>
      </c>
      <c r="C1027" s="1" t="s">
        <v>19</v>
      </c>
      <c r="D1027" s="1" t="s">
        <v>53</v>
      </c>
      <c r="E1027" s="1" t="s">
        <v>17</v>
      </c>
      <c r="F1027" s="1" t="s">
        <v>18</v>
      </c>
      <c r="G1027" s="4">
        <v>17</v>
      </c>
      <c r="H1027" s="4">
        <v>11099</v>
      </c>
      <c r="I1027" s="6">
        <v>6950.6613692259152</v>
      </c>
      <c r="J1027" s="6">
        <f>表1[[#This Row],[销售金额]]-表1[[#This Row],[退款金额]]</f>
        <v>4148.3386307740848</v>
      </c>
      <c r="K1027" s="1">
        <v>545</v>
      </c>
      <c r="L1027" s="1">
        <v>774</v>
      </c>
    </row>
    <row r="1028" spans="1:12" x14ac:dyDescent="0.3">
      <c r="A1028" s="2">
        <v>45918</v>
      </c>
      <c r="B1028" s="1" t="s">
        <v>250</v>
      </c>
      <c r="C1028" s="1" t="s">
        <v>10</v>
      </c>
      <c r="D1028" s="1" t="s">
        <v>82</v>
      </c>
      <c r="E1028" s="1" t="s">
        <v>13</v>
      </c>
      <c r="F1028" s="1" t="s">
        <v>14</v>
      </c>
      <c r="G1028" s="4">
        <v>17</v>
      </c>
      <c r="H1028" s="4">
        <v>76395</v>
      </c>
      <c r="I1028" s="6">
        <v>72093.038524869888</v>
      </c>
      <c r="J1028" s="6">
        <f>表1[[#This Row],[销售金额]]-表1[[#This Row],[退款金额]]</f>
        <v>4301.9614751301124</v>
      </c>
      <c r="K1028" s="1">
        <v>332</v>
      </c>
      <c r="L1028" s="1">
        <v>833</v>
      </c>
    </row>
    <row r="1029" spans="1:12" x14ac:dyDescent="0.3">
      <c r="A1029" s="2">
        <v>45918</v>
      </c>
      <c r="B1029" s="1" t="s">
        <v>250</v>
      </c>
      <c r="C1029" s="1" t="s">
        <v>10</v>
      </c>
      <c r="D1029" s="1" t="s">
        <v>82</v>
      </c>
      <c r="E1029" s="1" t="s">
        <v>13</v>
      </c>
      <c r="F1029" s="1" t="s">
        <v>14</v>
      </c>
      <c r="G1029" s="4">
        <v>17</v>
      </c>
      <c r="H1029" s="4">
        <v>76432</v>
      </c>
      <c r="I1029" s="6">
        <v>72093.038524869888</v>
      </c>
      <c r="J1029" s="6">
        <f>表1[[#This Row],[销售金额]]-表1[[#This Row],[退款金额]]</f>
        <v>4338.9614751301124</v>
      </c>
      <c r="K1029" s="1">
        <v>332</v>
      </c>
      <c r="L1029" s="1">
        <v>833</v>
      </c>
    </row>
    <row r="1030" spans="1:12" x14ac:dyDescent="0.3">
      <c r="A1030" s="2">
        <v>45918</v>
      </c>
      <c r="B1030" s="1" t="s">
        <v>11</v>
      </c>
      <c r="C1030" s="1" t="s">
        <v>19</v>
      </c>
      <c r="D1030" s="1" t="s">
        <v>53</v>
      </c>
      <c r="E1030" s="1" t="s">
        <v>17</v>
      </c>
      <c r="F1030" s="1" t="s">
        <v>18</v>
      </c>
      <c r="G1030" s="4">
        <v>17</v>
      </c>
      <c r="H1030" s="4">
        <v>7492</v>
      </c>
      <c r="I1030" s="6">
        <v>6950.6613692259152</v>
      </c>
      <c r="J1030" s="6">
        <f>表1[[#This Row],[销售金额]]-表1[[#This Row],[退款金额]]</f>
        <v>541.33863077408478</v>
      </c>
      <c r="K1030" s="1">
        <v>545</v>
      </c>
      <c r="L1030" s="1">
        <v>774</v>
      </c>
    </row>
    <row r="1031" spans="1:12" x14ac:dyDescent="0.3">
      <c r="A1031" s="2">
        <v>45918</v>
      </c>
      <c r="B1031" s="1" t="s">
        <v>250</v>
      </c>
      <c r="C1031" s="1" t="s">
        <v>10</v>
      </c>
      <c r="D1031" s="1" t="s">
        <v>82</v>
      </c>
      <c r="E1031" s="1" t="s">
        <v>13</v>
      </c>
      <c r="F1031" s="1" t="s">
        <v>14</v>
      </c>
      <c r="G1031" s="4">
        <v>17</v>
      </c>
      <c r="H1031" s="4">
        <v>73740</v>
      </c>
      <c r="I1031" s="6">
        <v>72093.038524869888</v>
      </c>
      <c r="J1031" s="6">
        <f>表1[[#This Row],[销售金额]]-表1[[#This Row],[退款金额]]</f>
        <v>1646.9614751301124</v>
      </c>
      <c r="K1031" s="1">
        <v>332</v>
      </c>
      <c r="L1031" s="1">
        <v>833</v>
      </c>
    </row>
    <row r="1032" spans="1:12" x14ac:dyDescent="0.3">
      <c r="A1032" s="2">
        <v>45918</v>
      </c>
      <c r="B1032" s="1" t="s">
        <v>250</v>
      </c>
      <c r="C1032" s="1" t="s">
        <v>10</v>
      </c>
      <c r="D1032" s="1" t="s">
        <v>82</v>
      </c>
      <c r="E1032" s="1" t="s">
        <v>13</v>
      </c>
      <c r="F1032" s="1" t="s">
        <v>14</v>
      </c>
      <c r="G1032" s="4">
        <v>17</v>
      </c>
      <c r="H1032" s="4">
        <v>73167</v>
      </c>
      <c r="I1032" s="6">
        <v>72093.038524869888</v>
      </c>
      <c r="J1032" s="6">
        <f>表1[[#This Row],[销售金额]]-表1[[#This Row],[退款金额]]</f>
        <v>1073.9614751301124</v>
      </c>
      <c r="K1032" s="1">
        <v>332</v>
      </c>
      <c r="L1032" s="1">
        <v>833</v>
      </c>
    </row>
    <row r="1033" spans="1:12" x14ac:dyDescent="0.3">
      <c r="A1033" s="2">
        <v>45918</v>
      </c>
      <c r="B1033" s="1" t="s">
        <v>11</v>
      </c>
      <c r="C1033" s="1" t="s">
        <v>19</v>
      </c>
      <c r="D1033" s="1" t="s">
        <v>53</v>
      </c>
      <c r="E1033" s="1" t="s">
        <v>17</v>
      </c>
      <c r="F1033" s="1" t="s">
        <v>18</v>
      </c>
      <c r="G1033" s="4">
        <v>17</v>
      </c>
      <c r="H1033" s="4">
        <v>9409</v>
      </c>
      <c r="I1033" s="6">
        <v>6950.6613692259152</v>
      </c>
      <c r="J1033" s="6">
        <f>表1[[#This Row],[销售金额]]-表1[[#This Row],[退款金额]]</f>
        <v>2458.3386307740848</v>
      </c>
      <c r="K1033" s="1">
        <v>545</v>
      </c>
      <c r="L1033" s="1">
        <v>774</v>
      </c>
    </row>
    <row r="1034" spans="1:12" x14ac:dyDescent="0.3">
      <c r="A1034" s="2">
        <v>45918</v>
      </c>
      <c r="B1034" s="1" t="s">
        <v>250</v>
      </c>
      <c r="C1034" s="1" t="s">
        <v>10</v>
      </c>
      <c r="D1034" s="1" t="s">
        <v>82</v>
      </c>
      <c r="E1034" s="1" t="s">
        <v>13</v>
      </c>
      <c r="F1034" s="1" t="s">
        <v>14</v>
      </c>
      <c r="G1034" s="4">
        <v>17</v>
      </c>
      <c r="H1034" s="4">
        <v>73480</v>
      </c>
      <c r="I1034" s="6">
        <v>72093.038524869888</v>
      </c>
      <c r="J1034" s="6">
        <f>表1[[#This Row],[销售金额]]-表1[[#This Row],[退款金额]]</f>
        <v>1386.9614751301124</v>
      </c>
      <c r="K1034" s="1">
        <v>332</v>
      </c>
      <c r="L1034" s="1">
        <v>833</v>
      </c>
    </row>
    <row r="1035" spans="1:12" x14ac:dyDescent="0.3">
      <c r="A1035" s="2">
        <v>45918</v>
      </c>
      <c r="B1035" s="1" t="s">
        <v>250</v>
      </c>
      <c r="C1035" s="1" t="s">
        <v>10</v>
      </c>
      <c r="D1035" s="1" t="s">
        <v>82</v>
      </c>
      <c r="E1035" s="1" t="s">
        <v>13</v>
      </c>
      <c r="F1035" s="1" t="s">
        <v>14</v>
      </c>
      <c r="G1035" s="4">
        <v>17</v>
      </c>
      <c r="H1035" s="4">
        <v>74223</v>
      </c>
      <c r="I1035" s="6">
        <v>72093.038524869888</v>
      </c>
      <c r="J1035" s="6">
        <f>表1[[#This Row],[销售金额]]-表1[[#This Row],[退款金额]]</f>
        <v>2129.9614751301124</v>
      </c>
      <c r="K1035" s="1">
        <v>332</v>
      </c>
      <c r="L1035" s="1">
        <v>833</v>
      </c>
    </row>
    <row r="1036" spans="1:12" x14ac:dyDescent="0.3">
      <c r="A1036" s="2">
        <v>45918</v>
      </c>
      <c r="B1036" s="1" t="s">
        <v>11</v>
      </c>
      <c r="C1036" s="1" t="s">
        <v>19</v>
      </c>
      <c r="D1036" s="1" t="s">
        <v>53</v>
      </c>
      <c r="E1036" s="1" t="s">
        <v>17</v>
      </c>
      <c r="F1036" s="1" t="s">
        <v>18</v>
      </c>
      <c r="G1036" s="4">
        <v>17</v>
      </c>
      <c r="H1036" s="4">
        <v>9510</v>
      </c>
      <c r="I1036" s="6">
        <v>6950.6613692259152</v>
      </c>
      <c r="J1036" s="6">
        <f>表1[[#This Row],[销售金额]]-表1[[#This Row],[退款金额]]</f>
        <v>2559.3386307740848</v>
      </c>
      <c r="K1036" s="1">
        <v>545</v>
      </c>
      <c r="L1036" s="1">
        <v>774</v>
      </c>
    </row>
    <row r="1037" spans="1:12" x14ac:dyDescent="0.3">
      <c r="A1037" s="2">
        <v>45918</v>
      </c>
      <c r="B1037" s="1" t="s">
        <v>250</v>
      </c>
      <c r="C1037" s="1" t="s">
        <v>10</v>
      </c>
      <c r="D1037" s="1" t="s">
        <v>82</v>
      </c>
      <c r="E1037" s="1" t="s">
        <v>13</v>
      </c>
      <c r="F1037" s="1" t="s">
        <v>14</v>
      </c>
      <c r="G1037" s="4">
        <v>17</v>
      </c>
      <c r="H1037" s="4">
        <v>72633</v>
      </c>
      <c r="I1037" s="6">
        <v>72093.038524869888</v>
      </c>
      <c r="J1037" s="6">
        <f>表1[[#This Row],[销售金额]]-表1[[#This Row],[退款金额]]</f>
        <v>539.96147513011238</v>
      </c>
      <c r="K1037" s="1">
        <v>332</v>
      </c>
      <c r="L1037" s="1">
        <v>833</v>
      </c>
    </row>
    <row r="1038" spans="1:12" x14ac:dyDescent="0.3">
      <c r="A1038" s="2">
        <v>45918</v>
      </c>
      <c r="B1038" s="1" t="s">
        <v>250</v>
      </c>
      <c r="C1038" s="1" t="s">
        <v>10</v>
      </c>
      <c r="D1038" s="1" t="s">
        <v>82</v>
      </c>
      <c r="E1038" s="1" t="s">
        <v>13</v>
      </c>
      <c r="F1038" s="1" t="s">
        <v>14</v>
      </c>
      <c r="G1038" s="4">
        <v>17</v>
      </c>
      <c r="H1038" s="4">
        <v>76261</v>
      </c>
      <c r="I1038" s="6">
        <v>72093.038524869888</v>
      </c>
      <c r="J1038" s="6">
        <f>表1[[#This Row],[销售金额]]-表1[[#This Row],[退款金额]]</f>
        <v>4167.9614751301124</v>
      </c>
      <c r="K1038" s="1">
        <v>332</v>
      </c>
      <c r="L1038" s="1">
        <v>833</v>
      </c>
    </row>
    <row r="1039" spans="1:12" x14ac:dyDescent="0.3">
      <c r="A1039" s="2">
        <v>45918</v>
      </c>
      <c r="B1039" s="1" t="s">
        <v>11</v>
      </c>
      <c r="C1039" s="1" t="s">
        <v>19</v>
      </c>
      <c r="D1039" s="1" t="s">
        <v>53</v>
      </c>
      <c r="E1039" s="1" t="s">
        <v>17</v>
      </c>
      <c r="F1039" s="1" t="s">
        <v>18</v>
      </c>
      <c r="G1039" s="4">
        <v>17</v>
      </c>
      <c r="H1039" s="4">
        <v>10094</v>
      </c>
      <c r="I1039" s="6">
        <v>6950.6613692259152</v>
      </c>
      <c r="J1039" s="6">
        <f>表1[[#This Row],[销售金额]]-表1[[#This Row],[退款金额]]</f>
        <v>3143.3386307740848</v>
      </c>
      <c r="K1039" s="1">
        <v>545</v>
      </c>
      <c r="L1039" s="1">
        <v>774</v>
      </c>
    </row>
    <row r="1040" spans="1:12" x14ac:dyDescent="0.3">
      <c r="A1040" s="2">
        <v>45918</v>
      </c>
      <c r="B1040" s="1" t="s">
        <v>250</v>
      </c>
      <c r="C1040" s="1" t="s">
        <v>10</v>
      </c>
      <c r="D1040" s="1" t="s">
        <v>82</v>
      </c>
      <c r="E1040" s="1" t="s">
        <v>13</v>
      </c>
      <c r="F1040" s="1" t="s">
        <v>14</v>
      </c>
      <c r="G1040" s="4">
        <v>17</v>
      </c>
      <c r="H1040" s="4">
        <v>74179</v>
      </c>
      <c r="I1040" s="6">
        <v>72093.038524869888</v>
      </c>
      <c r="J1040" s="6">
        <f>表1[[#This Row],[销售金额]]-表1[[#This Row],[退款金额]]</f>
        <v>2085.9614751301124</v>
      </c>
      <c r="K1040" s="1">
        <v>332</v>
      </c>
      <c r="L1040" s="1">
        <v>833</v>
      </c>
    </row>
    <row r="1041" spans="1:12" x14ac:dyDescent="0.3">
      <c r="A1041" s="2">
        <v>45918</v>
      </c>
      <c r="B1041" s="1" t="s">
        <v>250</v>
      </c>
      <c r="C1041" s="1" t="s">
        <v>10</v>
      </c>
      <c r="D1041" s="1" t="s">
        <v>82</v>
      </c>
      <c r="E1041" s="1" t="s">
        <v>13</v>
      </c>
      <c r="F1041" s="1" t="s">
        <v>14</v>
      </c>
      <c r="G1041" s="4">
        <v>17</v>
      </c>
      <c r="H1041" s="4">
        <v>75015</v>
      </c>
      <c r="I1041" s="6">
        <v>72093.038524869888</v>
      </c>
      <c r="J1041" s="6">
        <f>表1[[#This Row],[销售金额]]-表1[[#This Row],[退款金额]]</f>
        <v>2921.9614751301124</v>
      </c>
      <c r="K1041" s="1">
        <v>332</v>
      </c>
      <c r="L1041" s="1">
        <v>833</v>
      </c>
    </row>
    <row r="1042" spans="1:12" x14ac:dyDescent="0.3">
      <c r="A1042" s="2">
        <v>45918</v>
      </c>
      <c r="B1042" s="1" t="s">
        <v>247</v>
      </c>
      <c r="C1042" s="1" t="s">
        <v>10</v>
      </c>
      <c r="D1042" s="1" t="s">
        <v>90</v>
      </c>
      <c r="E1042" s="1" t="s">
        <v>8</v>
      </c>
      <c r="F1042" s="1" t="s">
        <v>9</v>
      </c>
      <c r="G1042" s="4">
        <v>18</v>
      </c>
      <c r="H1042" s="4">
        <v>25408</v>
      </c>
      <c r="I1042" s="6">
        <v>23869.796713167823</v>
      </c>
      <c r="J1042" s="6">
        <f>表1[[#This Row],[销售金额]]-表1[[#This Row],[退款金额]]</f>
        <v>1538.2032868321767</v>
      </c>
      <c r="K1042" s="1">
        <v>597</v>
      </c>
      <c r="L1042" s="1">
        <v>6</v>
      </c>
    </row>
    <row r="1043" spans="1:12" x14ac:dyDescent="0.3">
      <c r="A1043" s="2">
        <v>45918</v>
      </c>
      <c r="B1043" s="1" t="s">
        <v>247</v>
      </c>
      <c r="C1043" s="1" t="s">
        <v>10</v>
      </c>
      <c r="D1043" s="1" t="s">
        <v>90</v>
      </c>
      <c r="E1043" s="1" t="s">
        <v>8</v>
      </c>
      <c r="F1043" s="1" t="s">
        <v>9</v>
      </c>
      <c r="G1043" s="4">
        <v>18</v>
      </c>
      <c r="H1043" s="4">
        <v>24237</v>
      </c>
      <c r="I1043" s="6">
        <v>23869.796713167823</v>
      </c>
      <c r="J1043" s="6">
        <f>表1[[#This Row],[销售金额]]-表1[[#This Row],[退款金额]]</f>
        <v>367.20328683217667</v>
      </c>
      <c r="K1043" s="1">
        <v>597</v>
      </c>
      <c r="L1043" s="1">
        <v>6</v>
      </c>
    </row>
    <row r="1044" spans="1:12" x14ac:dyDescent="0.3">
      <c r="A1044" s="2">
        <v>45918</v>
      </c>
      <c r="B1044" s="1" t="s">
        <v>247</v>
      </c>
      <c r="C1044" s="1" t="s">
        <v>10</v>
      </c>
      <c r="D1044" s="1" t="s">
        <v>90</v>
      </c>
      <c r="E1044" s="1" t="s">
        <v>8</v>
      </c>
      <c r="F1044" s="1" t="s">
        <v>9</v>
      </c>
      <c r="G1044" s="4">
        <v>18</v>
      </c>
      <c r="H1044" s="4">
        <v>26603</v>
      </c>
      <c r="I1044" s="6">
        <v>23869.796713167823</v>
      </c>
      <c r="J1044" s="6">
        <f>表1[[#This Row],[销售金额]]-表1[[#This Row],[退款金额]]</f>
        <v>2733.2032868321767</v>
      </c>
      <c r="K1044" s="1">
        <v>597</v>
      </c>
      <c r="L1044" s="1">
        <v>6</v>
      </c>
    </row>
    <row r="1045" spans="1:12" x14ac:dyDescent="0.3">
      <c r="A1045" s="2">
        <v>45918</v>
      </c>
      <c r="B1045" s="1" t="s">
        <v>247</v>
      </c>
      <c r="C1045" s="1" t="s">
        <v>10</v>
      </c>
      <c r="D1045" s="1" t="s">
        <v>90</v>
      </c>
      <c r="E1045" s="1" t="s">
        <v>8</v>
      </c>
      <c r="F1045" s="1" t="s">
        <v>9</v>
      </c>
      <c r="G1045" s="4">
        <v>18</v>
      </c>
      <c r="H1045" s="4">
        <v>25371</v>
      </c>
      <c r="I1045" s="6">
        <v>23869.796713167823</v>
      </c>
      <c r="J1045" s="6">
        <f>表1[[#This Row],[销售金额]]-表1[[#This Row],[退款金额]]</f>
        <v>1501.2032868321767</v>
      </c>
      <c r="K1045" s="1">
        <v>597</v>
      </c>
      <c r="L1045" s="1">
        <v>6</v>
      </c>
    </row>
    <row r="1046" spans="1:12" x14ac:dyDescent="0.3">
      <c r="A1046" s="2">
        <v>45918</v>
      </c>
      <c r="B1046" s="1" t="s">
        <v>247</v>
      </c>
      <c r="C1046" s="1" t="s">
        <v>10</v>
      </c>
      <c r="D1046" s="1" t="s">
        <v>90</v>
      </c>
      <c r="E1046" s="1" t="s">
        <v>8</v>
      </c>
      <c r="F1046" s="1" t="s">
        <v>9</v>
      </c>
      <c r="G1046" s="4">
        <v>18</v>
      </c>
      <c r="H1046" s="4">
        <v>24359</v>
      </c>
      <c r="I1046" s="6">
        <v>23869.796713167823</v>
      </c>
      <c r="J1046" s="6">
        <f>表1[[#This Row],[销售金额]]-表1[[#This Row],[退款金额]]</f>
        <v>489.20328683217667</v>
      </c>
      <c r="K1046" s="1">
        <v>597</v>
      </c>
      <c r="L1046" s="1">
        <v>6</v>
      </c>
    </row>
    <row r="1047" spans="1:12" x14ac:dyDescent="0.3">
      <c r="A1047" s="2">
        <v>45918</v>
      </c>
      <c r="B1047" s="1" t="s">
        <v>247</v>
      </c>
      <c r="C1047" s="1" t="s">
        <v>10</v>
      </c>
      <c r="D1047" s="1" t="s">
        <v>90</v>
      </c>
      <c r="E1047" s="1" t="s">
        <v>8</v>
      </c>
      <c r="F1047" s="1" t="s">
        <v>9</v>
      </c>
      <c r="G1047" s="4">
        <v>18</v>
      </c>
      <c r="H1047" s="4">
        <v>25389</v>
      </c>
      <c r="I1047" s="6">
        <v>23869.796713167823</v>
      </c>
      <c r="J1047" s="6">
        <f>表1[[#This Row],[销售金额]]-表1[[#This Row],[退款金额]]</f>
        <v>1519.2032868321767</v>
      </c>
      <c r="K1047" s="1">
        <v>597</v>
      </c>
      <c r="L1047" s="1">
        <v>6</v>
      </c>
    </row>
    <row r="1048" spans="1:12" x14ac:dyDescent="0.3">
      <c r="A1048" s="2">
        <v>45918</v>
      </c>
      <c r="B1048" s="1" t="s">
        <v>247</v>
      </c>
      <c r="C1048" s="1" t="s">
        <v>10</v>
      </c>
      <c r="D1048" s="1" t="s">
        <v>90</v>
      </c>
      <c r="E1048" s="1" t="s">
        <v>8</v>
      </c>
      <c r="F1048" s="1" t="s">
        <v>9</v>
      </c>
      <c r="G1048" s="4">
        <v>18</v>
      </c>
      <c r="H1048" s="4">
        <v>24001</v>
      </c>
      <c r="I1048" s="6">
        <v>23869.796713167823</v>
      </c>
      <c r="J1048" s="6">
        <f>表1[[#This Row],[销售金额]]-表1[[#This Row],[退款金额]]</f>
        <v>131.20328683217667</v>
      </c>
      <c r="K1048" s="1">
        <v>597</v>
      </c>
      <c r="L1048" s="1">
        <v>6</v>
      </c>
    </row>
    <row r="1049" spans="1:12" x14ac:dyDescent="0.3">
      <c r="A1049" s="2">
        <v>45918</v>
      </c>
      <c r="B1049" s="1" t="s">
        <v>247</v>
      </c>
      <c r="C1049" s="1" t="s">
        <v>10</v>
      </c>
      <c r="D1049" s="1" t="s">
        <v>90</v>
      </c>
      <c r="E1049" s="1" t="s">
        <v>8</v>
      </c>
      <c r="F1049" s="1" t="s">
        <v>9</v>
      </c>
      <c r="G1049" s="4">
        <v>18</v>
      </c>
      <c r="H1049" s="4">
        <v>24763</v>
      </c>
      <c r="I1049" s="6">
        <v>23869.796713167823</v>
      </c>
      <c r="J1049" s="6">
        <f>表1[[#This Row],[销售金额]]-表1[[#This Row],[退款金额]]</f>
        <v>893.20328683217667</v>
      </c>
      <c r="K1049" s="1">
        <v>597</v>
      </c>
      <c r="L1049" s="1">
        <v>6</v>
      </c>
    </row>
    <row r="1050" spans="1:12" x14ac:dyDescent="0.3">
      <c r="A1050" s="2">
        <v>45918</v>
      </c>
      <c r="B1050" s="1" t="s">
        <v>247</v>
      </c>
      <c r="C1050" s="1" t="s">
        <v>10</v>
      </c>
      <c r="D1050" s="1" t="s">
        <v>90</v>
      </c>
      <c r="E1050" s="1" t="s">
        <v>8</v>
      </c>
      <c r="F1050" s="1" t="s">
        <v>9</v>
      </c>
      <c r="G1050" s="4">
        <v>18</v>
      </c>
      <c r="H1050" s="4">
        <v>26211</v>
      </c>
      <c r="I1050" s="6">
        <v>23869.796713167823</v>
      </c>
      <c r="J1050" s="6">
        <f>表1[[#This Row],[销售金额]]-表1[[#This Row],[退款金额]]</f>
        <v>2341.2032868321767</v>
      </c>
      <c r="K1050" s="1">
        <v>597</v>
      </c>
      <c r="L1050" s="1">
        <v>6</v>
      </c>
    </row>
    <row r="1051" spans="1:12" x14ac:dyDescent="0.3">
      <c r="A1051" s="2">
        <v>45918</v>
      </c>
      <c r="B1051" s="1" t="s">
        <v>247</v>
      </c>
      <c r="C1051" s="1" t="s">
        <v>10</v>
      </c>
      <c r="D1051" s="1" t="s">
        <v>90</v>
      </c>
      <c r="E1051" s="1" t="s">
        <v>8</v>
      </c>
      <c r="F1051" s="1" t="s">
        <v>9</v>
      </c>
      <c r="G1051" s="4">
        <v>18</v>
      </c>
      <c r="H1051" s="4">
        <v>27085</v>
      </c>
      <c r="I1051" s="6">
        <v>23869.796713167823</v>
      </c>
      <c r="J1051" s="6">
        <f>表1[[#This Row],[销售金额]]-表1[[#This Row],[退款金额]]</f>
        <v>3215.2032868321767</v>
      </c>
      <c r="K1051" s="1">
        <v>597</v>
      </c>
      <c r="L1051" s="1">
        <v>6</v>
      </c>
    </row>
    <row r="1052" spans="1:12" x14ac:dyDescent="0.3">
      <c r="A1052" s="2">
        <v>45918</v>
      </c>
      <c r="B1052" s="1" t="s">
        <v>247</v>
      </c>
      <c r="C1052" s="1" t="s">
        <v>10</v>
      </c>
      <c r="D1052" s="1" t="s">
        <v>90</v>
      </c>
      <c r="E1052" s="1" t="s">
        <v>8</v>
      </c>
      <c r="F1052" s="1" t="s">
        <v>9</v>
      </c>
      <c r="G1052" s="4">
        <v>18</v>
      </c>
      <c r="H1052" s="4">
        <v>28426</v>
      </c>
      <c r="I1052" s="6">
        <v>23869.796713167823</v>
      </c>
      <c r="J1052" s="6">
        <f>表1[[#This Row],[销售金额]]-表1[[#This Row],[退款金额]]</f>
        <v>4556.2032868321767</v>
      </c>
      <c r="K1052" s="1">
        <v>597</v>
      </c>
      <c r="L1052" s="1">
        <v>6</v>
      </c>
    </row>
    <row r="1053" spans="1:12" x14ac:dyDescent="0.3">
      <c r="A1053" s="2">
        <v>45918</v>
      </c>
      <c r="B1053" s="1" t="s">
        <v>247</v>
      </c>
      <c r="C1053" s="1" t="s">
        <v>10</v>
      </c>
      <c r="D1053" s="1" t="s">
        <v>90</v>
      </c>
      <c r="E1053" s="1" t="s">
        <v>8</v>
      </c>
      <c r="F1053" s="1" t="s">
        <v>9</v>
      </c>
      <c r="G1053" s="4">
        <v>18</v>
      </c>
      <c r="H1053" s="4">
        <v>24938</v>
      </c>
      <c r="I1053" s="6">
        <v>23869.796713167823</v>
      </c>
      <c r="J1053" s="6">
        <f>表1[[#This Row],[销售金额]]-表1[[#This Row],[退款金额]]</f>
        <v>1068.2032868321767</v>
      </c>
      <c r="K1053" s="1">
        <v>597</v>
      </c>
      <c r="L1053" s="1">
        <v>6</v>
      </c>
    </row>
    <row r="1054" spans="1:12" x14ac:dyDescent="0.3">
      <c r="A1054" s="2">
        <v>45918</v>
      </c>
      <c r="B1054" s="1" t="s">
        <v>247</v>
      </c>
      <c r="C1054" s="1" t="s">
        <v>10</v>
      </c>
      <c r="D1054" s="1" t="s">
        <v>90</v>
      </c>
      <c r="E1054" s="1" t="s">
        <v>8</v>
      </c>
      <c r="F1054" s="1" t="s">
        <v>9</v>
      </c>
      <c r="G1054" s="4">
        <v>18</v>
      </c>
      <c r="H1054" s="4">
        <v>26518</v>
      </c>
      <c r="I1054" s="6">
        <v>23869.796713167823</v>
      </c>
      <c r="J1054" s="6">
        <f>表1[[#This Row],[销售金额]]-表1[[#This Row],[退款金额]]</f>
        <v>2648.2032868321767</v>
      </c>
      <c r="K1054" s="1">
        <v>597</v>
      </c>
      <c r="L1054" s="1">
        <v>6</v>
      </c>
    </row>
    <row r="1055" spans="1:12" x14ac:dyDescent="0.3">
      <c r="A1055" s="2">
        <v>45918</v>
      </c>
      <c r="B1055" s="1" t="s">
        <v>247</v>
      </c>
      <c r="C1055" s="1" t="s">
        <v>10</v>
      </c>
      <c r="D1055" s="1" t="s">
        <v>90</v>
      </c>
      <c r="E1055" s="1" t="s">
        <v>8</v>
      </c>
      <c r="F1055" s="1" t="s">
        <v>9</v>
      </c>
      <c r="G1055" s="4">
        <v>18</v>
      </c>
      <c r="H1055" s="4">
        <v>25047</v>
      </c>
      <c r="I1055" s="6">
        <v>23869.796713167823</v>
      </c>
      <c r="J1055" s="6">
        <f>表1[[#This Row],[销售金额]]-表1[[#This Row],[退款金额]]</f>
        <v>1177.2032868321767</v>
      </c>
      <c r="K1055" s="1">
        <v>597</v>
      </c>
      <c r="L1055" s="1">
        <v>6</v>
      </c>
    </row>
    <row r="1056" spans="1:12" x14ac:dyDescent="0.3">
      <c r="A1056" s="2">
        <v>45918</v>
      </c>
      <c r="B1056" s="1" t="s">
        <v>247</v>
      </c>
      <c r="C1056" s="1" t="s">
        <v>10</v>
      </c>
      <c r="D1056" s="1" t="s">
        <v>90</v>
      </c>
      <c r="E1056" s="1" t="s">
        <v>8</v>
      </c>
      <c r="F1056" s="1" t="s">
        <v>9</v>
      </c>
      <c r="G1056" s="4">
        <v>18</v>
      </c>
      <c r="H1056" s="4">
        <v>26625</v>
      </c>
      <c r="I1056" s="6">
        <v>23869.796713167823</v>
      </c>
      <c r="J1056" s="6">
        <f>表1[[#This Row],[销售金额]]-表1[[#This Row],[退款金额]]</f>
        <v>2755.2032868321767</v>
      </c>
      <c r="K1056" s="1">
        <v>597</v>
      </c>
      <c r="L1056" s="1">
        <v>6</v>
      </c>
    </row>
    <row r="1057" spans="1:12" x14ac:dyDescent="0.3">
      <c r="A1057" s="2">
        <v>45918</v>
      </c>
      <c r="B1057" s="1" t="s">
        <v>247</v>
      </c>
      <c r="C1057" s="1" t="s">
        <v>10</v>
      </c>
      <c r="D1057" s="1" t="s">
        <v>90</v>
      </c>
      <c r="E1057" s="1" t="s">
        <v>8</v>
      </c>
      <c r="F1057" s="1" t="s">
        <v>9</v>
      </c>
      <c r="G1057" s="4">
        <v>18</v>
      </c>
      <c r="H1057" s="4">
        <v>28457</v>
      </c>
      <c r="I1057" s="6">
        <v>23869.796713167823</v>
      </c>
      <c r="J1057" s="6">
        <f>表1[[#This Row],[销售金额]]-表1[[#This Row],[退款金额]]</f>
        <v>4587.2032868321767</v>
      </c>
      <c r="K1057" s="1">
        <v>597</v>
      </c>
      <c r="L1057" s="1">
        <v>6</v>
      </c>
    </row>
    <row r="1058" spans="1:12" x14ac:dyDescent="0.3">
      <c r="A1058" s="2">
        <v>45918</v>
      </c>
      <c r="B1058" s="1" t="s">
        <v>247</v>
      </c>
      <c r="C1058" s="1" t="s">
        <v>10</v>
      </c>
      <c r="D1058" s="1" t="s">
        <v>90</v>
      </c>
      <c r="E1058" s="1" t="s">
        <v>8</v>
      </c>
      <c r="F1058" s="1" t="s">
        <v>9</v>
      </c>
      <c r="G1058" s="4">
        <v>18</v>
      </c>
      <c r="H1058" s="4">
        <v>28729</v>
      </c>
      <c r="I1058" s="6">
        <v>23869.796713167823</v>
      </c>
      <c r="J1058" s="6">
        <f>表1[[#This Row],[销售金额]]-表1[[#This Row],[退款金额]]</f>
        <v>4859.2032868321767</v>
      </c>
      <c r="K1058" s="1">
        <v>597</v>
      </c>
      <c r="L1058" s="1">
        <v>6</v>
      </c>
    </row>
    <row r="1059" spans="1:12" x14ac:dyDescent="0.3">
      <c r="A1059" s="2">
        <v>45918</v>
      </c>
      <c r="B1059" s="1" t="s">
        <v>247</v>
      </c>
      <c r="C1059" s="1" t="s">
        <v>10</v>
      </c>
      <c r="D1059" s="1" t="s">
        <v>90</v>
      </c>
      <c r="E1059" s="1" t="s">
        <v>8</v>
      </c>
      <c r="F1059" s="1" t="s">
        <v>9</v>
      </c>
      <c r="G1059" s="4">
        <v>18</v>
      </c>
      <c r="H1059" s="4">
        <v>27586</v>
      </c>
      <c r="I1059" s="6">
        <v>23869.796713167823</v>
      </c>
      <c r="J1059" s="6">
        <f>表1[[#This Row],[销售金额]]-表1[[#This Row],[退款金额]]</f>
        <v>3716.2032868321767</v>
      </c>
      <c r="K1059" s="1">
        <v>597</v>
      </c>
      <c r="L1059" s="1">
        <v>6</v>
      </c>
    </row>
    <row r="1060" spans="1:12" x14ac:dyDescent="0.3">
      <c r="A1060" s="2">
        <v>45918</v>
      </c>
      <c r="B1060" s="1" t="s">
        <v>247</v>
      </c>
      <c r="C1060" s="1" t="s">
        <v>10</v>
      </c>
      <c r="D1060" s="1" t="s">
        <v>90</v>
      </c>
      <c r="E1060" s="1" t="s">
        <v>8</v>
      </c>
      <c r="F1060" s="1" t="s">
        <v>9</v>
      </c>
      <c r="G1060" s="4">
        <v>18</v>
      </c>
      <c r="H1060" s="4">
        <v>25899</v>
      </c>
      <c r="I1060" s="6">
        <v>23869.796713167823</v>
      </c>
      <c r="J1060" s="6">
        <f>表1[[#This Row],[销售金额]]-表1[[#This Row],[退款金额]]</f>
        <v>2029.2032868321767</v>
      </c>
      <c r="K1060" s="1">
        <v>597</v>
      </c>
      <c r="L1060" s="1">
        <v>6</v>
      </c>
    </row>
    <row r="1061" spans="1:12" x14ac:dyDescent="0.3">
      <c r="A1061" s="2">
        <v>45918</v>
      </c>
      <c r="B1061" s="1" t="s">
        <v>247</v>
      </c>
      <c r="C1061" s="1" t="s">
        <v>10</v>
      </c>
      <c r="D1061" s="1" t="s">
        <v>90</v>
      </c>
      <c r="E1061" s="1" t="s">
        <v>8</v>
      </c>
      <c r="F1061" s="1" t="s">
        <v>9</v>
      </c>
      <c r="G1061" s="4">
        <v>18</v>
      </c>
      <c r="H1061" s="4">
        <v>28802</v>
      </c>
      <c r="I1061" s="6">
        <v>23869.796713167823</v>
      </c>
      <c r="J1061" s="6">
        <f>表1[[#This Row],[销售金额]]-表1[[#This Row],[退款金额]]</f>
        <v>4932.2032868321767</v>
      </c>
      <c r="K1061" s="1">
        <v>597</v>
      </c>
      <c r="L1061" s="1">
        <v>6</v>
      </c>
    </row>
    <row r="1062" spans="1:12" x14ac:dyDescent="0.3">
      <c r="A1062" s="2">
        <v>45918</v>
      </c>
      <c r="B1062" s="1" t="s">
        <v>247</v>
      </c>
      <c r="C1062" s="1" t="s">
        <v>10</v>
      </c>
      <c r="D1062" s="1" t="s">
        <v>90</v>
      </c>
      <c r="E1062" s="1" t="s">
        <v>8</v>
      </c>
      <c r="F1062" s="1" t="s">
        <v>9</v>
      </c>
      <c r="G1062" s="4">
        <v>18</v>
      </c>
      <c r="H1062" s="4">
        <v>27040</v>
      </c>
      <c r="I1062" s="6">
        <v>23869.796713167823</v>
      </c>
      <c r="J1062" s="6">
        <f>表1[[#This Row],[销售金额]]-表1[[#This Row],[退款金额]]</f>
        <v>3170.2032868321767</v>
      </c>
      <c r="K1062" s="1">
        <v>597</v>
      </c>
      <c r="L1062" s="1">
        <v>6</v>
      </c>
    </row>
    <row r="1063" spans="1:12" x14ac:dyDescent="0.3">
      <c r="A1063" s="2">
        <v>45918</v>
      </c>
      <c r="B1063" s="1" t="s">
        <v>247</v>
      </c>
      <c r="C1063" s="1" t="s">
        <v>10</v>
      </c>
      <c r="D1063" s="1" t="s">
        <v>90</v>
      </c>
      <c r="E1063" s="1" t="s">
        <v>8</v>
      </c>
      <c r="F1063" s="1" t="s">
        <v>9</v>
      </c>
      <c r="G1063" s="4">
        <v>18</v>
      </c>
      <c r="H1063" s="4">
        <v>24932</v>
      </c>
      <c r="I1063" s="6">
        <v>23869.796713167823</v>
      </c>
      <c r="J1063" s="6">
        <f>表1[[#This Row],[销售金额]]-表1[[#This Row],[退款金额]]</f>
        <v>1062.2032868321767</v>
      </c>
      <c r="K1063" s="1">
        <v>597</v>
      </c>
      <c r="L1063" s="1">
        <v>6</v>
      </c>
    </row>
    <row r="1064" spans="1:12" x14ac:dyDescent="0.3">
      <c r="A1064" s="2">
        <v>45918</v>
      </c>
      <c r="B1064" s="1" t="s">
        <v>247</v>
      </c>
      <c r="C1064" s="1" t="s">
        <v>10</v>
      </c>
      <c r="D1064" s="1" t="s">
        <v>90</v>
      </c>
      <c r="E1064" s="1" t="s">
        <v>8</v>
      </c>
      <c r="F1064" s="1" t="s">
        <v>9</v>
      </c>
      <c r="G1064" s="4">
        <v>18</v>
      </c>
      <c r="H1064" s="4">
        <v>25776</v>
      </c>
      <c r="I1064" s="6">
        <v>23869.796713167823</v>
      </c>
      <c r="J1064" s="6">
        <f>表1[[#This Row],[销售金额]]-表1[[#This Row],[退款金额]]</f>
        <v>1906.2032868321767</v>
      </c>
      <c r="K1064" s="1">
        <v>597</v>
      </c>
      <c r="L1064" s="1">
        <v>6</v>
      </c>
    </row>
    <row r="1065" spans="1:12" x14ac:dyDescent="0.3">
      <c r="A1065" s="2">
        <v>45918</v>
      </c>
      <c r="B1065" s="1" t="s">
        <v>247</v>
      </c>
      <c r="C1065" s="1" t="s">
        <v>10</v>
      </c>
      <c r="D1065" s="1" t="s">
        <v>90</v>
      </c>
      <c r="E1065" s="1" t="s">
        <v>8</v>
      </c>
      <c r="F1065" s="1" t="s">
        <v>9</v>
      </c>
      <c r="G1065" s="4">
        <v>18</v>
      </c>
      <c r="H1065" s="4">
        <v>25499</v>
      </c>
      <c r="I1065" s="6">
        <v>23869.796713167823</v>
      </c>
      <c r="J1065" s="6">
        <f>表1[[#This Row],[销售金额]]-表1[[#This Row],[退款金额]]</f>
        <v>1629.2032868321767</v>
      </c>
      <c r="K1065" s="1">
        <v>597</v>
      </c>
      <c r="L1065" s="1">
        <v>6</v>
      </c>
    </row>
    <row r="1066" spans="1:12" x14ac:dyDescent="0.3">
      <c r="A1066" s="2">
        <v>45918</v>
      </c>
      <c r="B1066" s="1" t="s">
        <v>247</v>
      </c>
      <c r="C1066" s="1" t="s">
        <v>10</v>
      </c>
      <c r="D1066" s="1" t="s">
        <v>90</v>
      </c>
      <c r="E1066" s="1" t="s">
        <v>8</v>
      </c>
      <c r="F1066" s="1" t="s">
        <v>9</v>
      </c>
      <c r="G1066" s="4">
        <v>18</v>
      </c>
      <c r="H1066" s="4">
        <v>28191</v>
      </c>
      <c r="I1066" s="6">
        <v>23869.796713167823</v>
      </c>
      <c r="J1066" s="6">
        <f>表1[[#This Row],[销售金额]]-表1[[#This Row],[退款金额]]</f>
        <v>4321.2032868321767</v>
      </c>
      <c r="K1066" s="1">
        <v>597</v>
      </c>
      <c r="L1066" s="1">
        <v>6</v>
      </c>
    </row>
    <row r="1067" spans="1:12" x14ac:dyDescent="0.3">
      <c r="A1067" s="2">
        <v>45918</v>
      </c>
      <c r="B1067" s="1" t="s">
        <v>247</v>
      </c>
      <c r="C1067" s="1" t="s">
        <v>10</v>
      </c>
      <c r="D1067" s="1" t="s">
        <v>90</v>
      </c>
      <c r="E1067" s="1" t="s">
        <v>8</v>
      </c>
      <c r="F1067" s="1" t="s">
        <v>9</v>
      </c>
      <c r="G1067" s="4">
        <v>18</v>
      </c>
      <c r="H1067" s="4">
        <v>25177</v>
      </c>
      <c r="I1067" s="6">
        <v>23869.796713167823</v>
      </c>
      <c r="J1067" s="6">
        <f>表1[[#This Row],[销售金额]]-表1[[#This Row],[退款金额]]</f>
        <v>1307.2032868321767</v>
      </c>
      <c r="K1067" s="1">
        <v>597</v>
      </c>
      <c r="L1067" s="1">
        <v>6</v>
      </c>
    </row>
    <row r="1068" spans="1:12" x14ac:dyDescent="0.3">
      <c r="A1068" s="2">
        <v>45918</v>
      </c>
      <c r="B1068" s="1" t="s">
        <v>247</v>
      </c>
      <c r="C1068" s="1" t="s">
        <v>10</v>
      </c>
      <c r="D1068" s="1" t="s">
        <v>90</v>
      </c>
      <c r="E1068" s="1" t="s">
        <v>8</v>
      </c>
      <c r="F1068" s="1" t="s">
        <v>9</v>
      </c>
      <c r="G1068" s="4">
        <v>18</v>
      </c>
      <c r="H1068" s="4">
        <v>26802</v>
      </c>
      <c r="I1068" s="6">
        <v>23869.796713167823</v>
      </c>
      <c r="J1068" s="6">
        <f>表1[[#This Row],[销售金额]]-表1[[#This Row],[退款金额]]</f>
        <v>2932.2032868321767</v>
      </c>
      <c r="K1068" s="1">
        <v>597</v>
      </c>
      <c r="L1068" s="1">
        <v>6</v>
      </c>
    </row>
    <row r="1069" spans="1:12" x14ac:dyDescent="0.3">
      <c r="A1069" s="2">
        <v>45919</v>
      </c>
      <c r="B1069" s="1" t="s">
        <v>250</v>
      </c>
      <c r="C1069" s="1" t="s">
        <v>19</v>
      </c>
      <c r="D1069" s="1" t="s">
        <v>228</v>
      </c>
      <c r="E1069" s="1" t="s">
        <v>21</v>
      </c>
      <c r="F1069" s="1" t="s">
        <v>22</v>
      </c>
      <c r="G1069" s="4">
        <v>2</v>
      </c>
      <c r="H1069" s="4">
        <v>4626</v>
      </c>
      <c r="I1069" s="6">
        <v>108.57644489757162</v>
      </c>
      <c r="J1069" s="6">
        <f>表1[[#This Row],[销售金额]]-表1[[#This Row],[退款金额]]</f>
        <v>4517.4235551024285</v>
      </c>
      <c r="K1069" s="1">
        <v>632</v>
      </c>
      <c r="L1069" s="1">
        <v>764</v>
      </c>
    </row>
    <row r="1070" spans="1:12" x14ac:dyDescent="0.3">
      <c r="A1070" s="2">
        <v>45919</v>
      </c>
      <c r="B1070" s="1" t="s">
        <v>250</v>
      </c>
      <c r="C1070" s="1" t="s">
        <v>19</v>
      </c>
      <c r="D1070" s="1" t="s">
        <v>228</v>
      </c>
      <c r="E1070" s="1" t="s">
        <v>21</v>
      </c>
      <c r="F1070" s="1" t="s">
        <v>22</v>
      </c>
      <c r="G1070" s="4">
        <v>2</v>
      </c>
      <c r="H1070" s="4">
        <v>2376</v>
      </c>
      <c r="I1070" s="6">
        <v>108.57644489757162</v>
      </c>
      <c r="J1070" s="6">
        <f>表1[[#This Row],[销售金额]]-表1[[#This Row],[退款金额]]</f>
        <v>2267.4235551024285</v>
      </c>
      <c r="K1070" s="1">
        <v>632</v>
      </c>
      <c r="L1070" s="1">
        <v>764</v>
      </c>
    </row>
    <row r="1071" spans="1:12" x14ac:dyDescent="0.3">
      <c r="A1071" s="2">
        <v>45919</v>
      </c>
      <c r="B1071" s="1" t="s">
        <v>250</v>
      </c>
      <c r="C1071" s="1" t="s">
        <v>19</v>
      </c>
      <c r="D1071" s="1" t="s">
        <v>228</v>
      </c>
      <c r="E1071" s="1" t="s">
        <v>21</v>
      </c>
      <c r="F1071" s="1" t="s">
        <v>22</v>
      </c>
      <c r="G1071" s="4">
        <v>2</v>
      </c>
      <c r="H1071" s="4">
        <v>4935</v>
      </c>
      <c r="I1071" s="6">
        <v>108.57644489757162</v>
      </c>
      <c r="J1071" s="6">
        <f>表1[[#This Row],[销售金额]]-表1[[#This Row],[退款金额]]</f>
        <v>4826.4235551024285</v>
      </c>
      <c r="K1071" s="1">
        <v>632</v>
      </c>
      <c r="L1071" s="1">
        <v>764</v>
      </c>
    </row>
    <row r="1072" spans="1:12" x14ac:dyDescent="0.3">
      <c r="A1072" s="2">
        <v>45919</v>
      </c>
      <c r="B1072" s="1" t="s">
        <v>250</v>
      </c>
      <c r="C1072" s="1" t="s">
        <v>19</v>
      </c>
      <c r="D1072" s="1" t="s">
        <v>228</v>
      </c>
      <c r="E1072" s="1" t="s">
        <v>21</v>
      </c>
      <c r="F1072" s="1" t="s">
        <v>22</v>
      </c>
      <c r="G1072" s="4">
        <v>2</v>
      </c>
      <c r="H1072" s="4">
        <v>3636</v>
      </c>
      <c r="I1072" s="6">
        <v>108.57644489757162</v>
      </c>
      <c r="J1072" s="6">
        <f>表1[[#This Row],[销售金额]]-表1[[#This Row],[退款金额]]</f>
        <v>3527.4235551024285</v>
      </c>
      <c r="K1072" s="1">
        <v>632</v>
      </c>
      <c r="L1072" s="1">
        <v>764</v>
      </c>
    </row>
    <row r="1073" spans="1:12" x14ac:dyDescent="0.3">
      <c r="A1073" s="2">
        <v>45919</v>
      </c>
      <c r="B1073" s="1" t="s">
        <v>250</v>
      </c>
      <c r="C1073" s="1" t="s">
        <v>19</v>
      </c>
      <c r="D1073" s="1" t="s">
        <v>228</v>
      </c>
      <c r="E1073" s="1" t="s">
        <v>21</v>
      </c>
      <c r="F1073" s="1" t="s">
        <v>22</v>
      </c>
      <c r="G1073" s="4">
        <v>2</v>
      </c>
      <c r="H1073" s="4">
        <v>3109</v>
      </c>
      <c r="I1073" s="6">
        <v>108.57644489757162</v>
      </c>
      <c r="J1073" s="6">
        <f>表1[[#This Row],[销售金额]]-表1[[#This Row],[退款金额]]</f>
        <v>3000.4235551024285</v>
      </c>
      <c r="K1073" s="1">
        <v>632</v>
      </c>
      <c r="L1073" s="1">
        <v>764</v>
      </c>
    </row>
    <row r="1074" spans="1:12" x14ac:dyDescent="0.3">
      <c r="A1074" s="2">
        <v>45919</v>
      </c>
      <c r="B1074" s="1" t="s">
        <v>250</v>
      </c>
      <c r="C1074" s="1" t="s">
        <v>19</v>
      </c>
      <c r="D1074" s="1" t="s">
        <v>228</v>
      </c>
      <c r="E1074" s="1" t="s">
        <v>21</v>
      </c>
      <c r="F1074" s="1" t="s">
        <v>22</v>
      </c>
      <c r="G1074" s="4">
        <v>2</v>
      </c>
      <c r="H1074" s="4">
        <v>3098</v>
      </c>
      <c r="I1074" s="6">
        <v>108.57644489757162</v>
      </c>
      <c r="J1074" s="6">
        <f>表1[[#This Row],[销售金额]]-表1[[#This Row],[退款金额]]</f>
        <v>2989.4235551024285</v>
      </c>
      <c r="K1074" s="1">
        <v>632</v>
      </c>
      <c r="L1074" s="1">
        <v>764</v>
      </c>
    </row>
    <row r="1075" spans="1:12" x14ac:dyDescent="0.3">
      <c r="A1075" s="2">
        <v>45919</v>
      </c>
      <c r="B1075" s="1" t="s">
        <v>250</v>
      </c>
      <c r="C1075" s="1" t="s">
        <v>19</v>
      </c>
      <c r="D1075" s="1" t="s">
        <v>228</v>
      </c>
      <c r="E1075" s="1" t="s">
        <v>21</v>
      </c>
      <c r="F1075" s="1" t="s">
        <v>22</v>
      </c>
      <c r="G1075" s="4">
        <v>2</v>
      </c>
      <c r="H1075" s="4">
        <v>536</v>
      </c>
      <c r="I1075" s="6">
        <v>108.57644489757162</v>
      </c>
      <c r="J1075" s="6">
        <f>表1[[#This Row],[销售金额]]-表1[[#This Row],[退款金额]]</f>
        <v>427.4235551024284</v>
      </c>
      <c r="K1075" s="1">
        <v>632</v>
      </c>
      <c r="L1075" s="1">
        <v>764</v>
      </c>
    </row>
    <row r="1076" spans="1:12" x14ac:dyDescent="0.3">
      <c r="A1076" s="2">
        <v>45919</v>
      </c>
      <c r="B1076" s="1" t="s">
        <v>250</v>
      </c>
      <c r="C1076" s="1" t="s">
        <v>19</v>
      </c>
      <c r="D1076" s="1" t="s">
        <v>228</v>
      </c>
      <c r="E1076" s="1" t="s">
        <v>21</v>
      </c>
      <c r="F1076" s="1" t="s">
        <v>22</v>
      </c>
      <c r="G1076" s="4">
        <v>2</v>
      </c>
      <c r="H1076" s="4">
        <v>1261</v>
      </c>
      <c r="I1076" s="6">
        <v>108.57644489757162</v>
      </c>
      <c r="J1076" s="6">
        <f>表1[[#This Row],[销售金额]]-表1[[#This Row],[退款金额]]</f>
        <v>1152.4235551024283</v>
      </c>
      <c r="K1076" s="1">
        <v>632</v>
      </c>
      <c r="L1076" s="1">
        <v>764</v>
      </c>
    </row>
    <row r="1077" spans="1:12" x14ac:dyDescent="0.3">
      <c r="A1077" s="2">
        <v>45919</v>
      </c>
      <c r="B1077" s="1" t="s">
        <v>15</v>
      </c>
      <c r="C1077" s="1" t="s">
        <v>32</v>
      </c>
      <c r="D1077" s="1" t="s">
        <v>215</v>
      </c>
      <c r="E1077" s="1" t="s">
        <v>30</v>
      </c>
      <c r="F1077" s="1" t="s">
        <v>31</v>
      </c>
      <c r="G1077" s="4">
        <v>4</v>
      </c>
      <c r="H1077" s="4">
        <v>4934</v>
      </c>
      <c r="I1077" s="6">
        <v>1576.1812434474527</v>
      </c>
      <c r="J1077" s="6">
        <f>表1[[#This Row],[销售金额]]-表1[[#This Row],[退款金额]]</f>
        <v>3357.8187565525473</v>
      </c>
      <c r="K1077" s="1">
        <v>49</v>
      </c>
      <c r="L1077" s="1">
        <v>107</v>
      </c>
    </row>
    <row r="1078" spans="1:12" x14ac:dyDescent="0.3">
      <c r="A1078" s="2">
        <v>45919</v>
      </c>
      <c r="B1078" s="1" t="s">
        <v>15</v>
      </c>
      <c r="C1078" s="1" t="s">
        <v>32</v>
      </c>
      <c r="D1078" s="1" t="s">
        <v>215</v>
      </c>
      <c r="E1078" s="1" t="s">
        <v>30</v>
      </c>
      <c r="F1078" s="1" t="s">
        <v>31</v>
      </c>
      <c r="G1078" s="4">
        <v>4</v>
      </c>
      <c r="H1078" s="4">
        <v>4702</v>
      </c>
      <c r="I1078" s="6">
        <v>1576.1812434474527</v>
      </c>
      <c r="J1078" s="6">
        <f>表1[[#This Row],[销售金额]]-表1[[#This Row],[退款金额]]</f>
        <v>3125.8187565525473</v>
      </c>
      <c r="K1078" s="1">
        <v>49</v>
      </c>
      <c r="L1078" s="1">
        <v>107</v>
      </c>
    </row>
    <row r="1079" spans="1:12" x14ac:dyDescent="0.3">
      <c r="A1079" s="2">
        <v>45919</v>
      </c>
      <c r="B1079" s="1" t="s">
        <v>15</v>
      </c>
      <c r="C1079" s="1" t="s">
        <v>32</v>
      </c>
      <c r="D1079" s="1" t="s">
        <v>215</v>
      </c>
      <c r="E1079" s="1" t="s">
        <v>30</v>
      </c>
      <c r="F1079" s="1" t="s">
        <v>31</v>
      </c>
      <c r="G1079" s="4">
        <v>4</v>
      </c>
      <c r="H1079" s="4">
        <v>2483</v>
      </c>
      <c r="I1079" s="6">
        <v>1576.1812434474527</v>
      </c>
      <c r="J1079" s="6">
        <f>表1[[#This Row],[销售金额]]-表1[[#This Row],[退款金额]]</f>
        <v>906.81875655254726</v>
      </c>
      <c r="K1079" s="1">
        <v>49</v>
      </c>
      <c r="L1079" s="1">
        <v>107</v>
      </c>
    </row>
    <row r="1080" spans="1:12" x14ac:dyDescent="0.3">
      <c r="A1080" s="2">
        <v>45919</v>
      </c>
      <c r="B1080" s="1" t="s">
        <v>15</v>
      </c>
      <c r="C1080" s="1" t="s">
        <v>32</v>
      </c>
      <c r="D1080" s="1" t="s">
        <v>215</v>
      </c>
      <c r="E1080" s="1" t="s">
        <v>30</v>
      </c>
      <c r="F1080" s="1" t="s">
        <v>31</v>
      </c>
      <c r="G1080" s="4">
        <v>4</v>
      </c>
      <c r="H1080" s="4">
        <v>3440</v>
      </c>
      <c r="I1080" s="6">
        <v>1576.1812434474527</v>
      </c>
      <c r="J1080" s="6">
        <f>表1[[#This Row],[销售金额]]-表1[[#This Row],[退款金额]]</f>
        <v>1863.8187565525473</v>
      </c>
      <c r="K1080" s="1">
        <v>49</v>
      </c>
      <c r="L1080" s="1">
        <v>107</v>
      </c>
    </row>
    <row r="1081" spans="1:12" x14ac:dyDescent="0.3">
      <c r="A1081" s="2">
        <v>45919</v>
      </c>
      <c r="B1081" s="1" t="s">
        <v>15</v>
      </c>
      <c r="C1081" s="1" t="s">
        <v>32</v>
      </c>
      <c r="D1081" s="1" t="s">
        <v>215</v>
      </c>
      <c r="E1081" s="1" t="s">
        <v>30</v>
      </c>
      <c r="F1081" s="1" t="s">
        <v>31</v>
      </c>
      <c r="G1081" s="4">
        <v>4</v>
      </c>
      <c r="H1081" s="4">
        <v>3828</v>
      </c>
      <c r="I1081" s="6">
        <v>1576.1812434474527</v>
      </c>
      <c r="J1081" s="6">
        <f>表1[[#This Row],[销售金额]]-表1[[#This Row],[退款金额]]</f>
        <v>2251.8187565525473</v>
      </c>
      <c r="K1081" s="1">
        <v>49</v>
      </c>
      <c r="L1081" s="1">
        <v>107</v>
      </c>
    </row>
    <row r="1082" spans="1:12" x14ac:dyDescent="0.3">
      <c r="A1082" s="2">
        <v>45919</v>
      </c>
      <c r="B1082" s="1" t="s">
        <v>15</v>
      </c>
      <c r="C1082" s="1" t="s">
        <v>32</v>
      </c>
      <c r="D1082" s="1" t="s">
        <v>215</v>
      </c>
      <c r="E1082" s="1" t="s">
        <v>30</v>
      </c>
      <c r="F1082" s="1" t="s">
        <v>31</v>
      </c>
      <c r="G1082" s="4">
        <v>4</v>
      </c>
      <c r="H1082" s="4">
        <v>2932</v>
      </c>
      <c r="I1082" s="6">
        <v>1576.1812434474527</v>
      </c>
      <c r="J1082" s="6">
        <f>表1[[#This Row],[销售金额]]-表1[[#This Row],[退款金额]]</f>
        <v>1355.8187565525473</v>
      </c>
      <c r="K1082" s="1">
        <v>49</v>
      </c>
      <c r="L1082" s="1">
        <v>107</v>
      </c>
    </row>
    <row r="1083" spans="1:12" x14ac:dyDescent="0.3">
      <c r="A1083" s="2">
        <v>45919</v>
      </c>
      <c r="B1083" s="1" t="s">
        <v>15</v>
      </c>
      <c r="C1083" s="1" t="s">
        <v>32</v>
      </c>
      <c r="D1083" s="1" t="s">
        <v>215</v>
      </c>
      <c r="E1083" s="1" t="s">
        <v>30</v>
      </c>
      <c r="F1083" s="1" t="s">
        <v>31</v>
      </c>
      <c r="G1083" s="4">
        <v>4</v>
      </c>
      <c r="H1083" s="4">
        <v>5246</v>
      </c>
      <c r="I1083" s="6">
        <v>1576.1812434474527</v>
      </c>
      <c r="J1083" s="6">
        <f>表1[[#This Row],[销售金额]]-表1[[#This Row],[退款金额]]</f>
        <v>3669.8187565525473</v>
      </c>
      <c r="K1083" s="1">
        <v>49</v>
      </c>
      <c r="L1083" s="1">
        <v>107</v>
      </c>
    </row>
    <row r="1084" spans="1:12" x14ac:dyDescent="0.3">
      <c r="A1084" s="2">
        <v>45919</v>
      </c>
      <c r="B1084" s="1" t="s">
        <v>15</v>
      </c>
      <c r="C1084" s="1" t="s">
        <v>32</v>
      </c>
      <c r="D1084" s="1" t="s">
        <v>215</v>
      </c>
      <c r="E1084" s="1" t="s">
        <v>30</v>
      </c>
      <c r="F1084" s="1" t="s">
        <v>31</v>
      </c>
      <c r="G1084" s="4">
        <v>4</v>
      </c>
      <c r="H1084" s="4">
        <v>3601</v>
      </c>
      <c r="I1084" s="6">
        <v>1576.1812434474527</v>
      </c>
      <c r="J1084" s="6">
        <f>表1[[#This Row],[销售金额]]-表1[[#This Row],[退款金额]]</f>
        <v>2024.8187565525473</v>
      </c>
      <c r="K1084" s="1">
        <v>49</v>
      </c>
      <c r="L1084" s="1">
        <v>107</v>
      </c>
    </row>
    <row r="1085" spans="1:12" x14ac:dyDescent="0.3">
      <c r="A1085" s="2">
        <v>45919</v>
      </c>
      <c r="B1085" s="1" t="s">
        <v>15</v>
      </c>
      <c r="C1085" s="1" t="s">
        <v>32</v>
      </c>
      <c r="D1085" s="1" t="s">
        <v>215</v>
      </c>
      <c r="E1085" s="1" t="s">
        <v>30</v>
      </c>
      <c r="F1085" s="1" t="s">
        <v>31</v>
      </c>
      <c r="G1085" s="4">
        <v>4</v>
      </c>
      <c r="H1085" s="4">
        <v>2724</v>
      </c>
      <c r="I1085" s="6">
        <v>1576.1812434474527</v>
      </c>
      <c r="J1085" s="6">
        <f>表1[[#This Row],[销售金额]]-表1[[#This Row],[退款金额]]</f>
        <v>1147.8187565525473</v>
      </c>
      <c r="K1085" s="1">
        <v>49</v>
      </c>
      <c r="L1085" s="1">
        <v>107</v>
      </c>
    </row>
    <row r="1086" spans="1:12" x14ac:dyDescent="0.3">
      <c r="A1086" s="2">
        <v>45919</v>
      </c>
      <c r="B1086" s="1" t="s">
        <v>250</v>
      </c>
      <c r="C1086" s="1" t="s">
        <v>32</v>
      </c>
      <c r="D1086" s="1" t="s">
        <v>72</v>
      </c>
      <c r="E1086" s="1" t="s">
        <v>60</v>
      </c>
      <c r="F1086" s="1" t="s">
        <v>61</v>
      </c>
      <c r="G1086" s="4">
        <v>6</v>
      </c>
      <c r="H1086" s="4">
        <v>8970</v>
      </c>
      <c r="I1086" s="6">
        <v>8691.6735277182015</v>
      </c>
      <c r="J1086" s="6">
        <f>表1[[#This Row],[销售金额]]-表1[[#This Row],[退款金额]]</f>
        <v>278.32647228179849</v>
      </c>
      <c r="K1086" s="1">
        <v>512</v>
      </c>
      <c r="L1086" s="1">
        <v>404</v>
      </c>
    </row>
    <row r="1087" spans="1:12" x14ac:dyDescent="0.3">
      <c r="A1087" s="2">
        <v>45919</v>
      </c>
      <c r="B1087" s="1" t="s">
        <v>250</v>
      </c>
      <c r="C1087" s="1" t="s">
        <v>32</v>
      </c>
      <c r="D1087" s="1" t="s">
        <v>72</v>
      </c>
      <c r="E1087" s="1" t="s">
        <v>60</v>
      </c>
      <c r="F1087" s="1" t="s">
        <v>61</v>
      </c>
      <c r="G1087" s="4">
        <v>6</v>
      </c>
      <c r="H1087" s="4">
        <v>8971</v>
      </c>
      <c r="I1087" s="6">
        <v>8691.6735277182015</v>
      </c>
      <c r="J1087" s="6">
        <f>表1[[#This Row],[销售金额]]-表1[[#This Row],[退款金额]]</f>
        <v>279.32647228179849</v>
      </c>
      <c r="K1087" s="1">
        <v>512</v>
      </c>
      <c r="L1087" s="1">
        <v>404</v>
      </c>
    </row>
    <row r="1088" spans="1:12" x14ac:dyDescent="0.3">
      <c r="A1088" s="2">
        <v>45919</v>
      </c>
      <c r="B1088" s="1" t="s">
        <v>250</v>
      </c>
      <c r="C1088" s="1" t="s">
        <v>32</v>
      </c>
      <c r="D1088" s="1" t="s">
        <v>72</v>
      </c>
      <c r="E1088" s="1" t="s">
        <v>60</v>
      </c>
      <c r="F1088" s="1" t="s">
        <v>61</v>
      </c>
      <c r="G1088" s="4">
        <v>6</v>
      </c>
      <c r="H1088" s="4">
        <v>9417</v>
      </c>
      <c r="I1088" s="6">
        <v>8691.6735277182015</v>
      </c>
      <c r="J1088" s="6">
        <f>表1[[#This Row],[销售金额]]-表1[[#This Row],[退款金额]]</f>
        <v>725.32647228179849</v>
      </c>
      <c r="K1088" s="1">
        <v>512</v>
      </c>
      <c r="L1088" s="1">
        <v>404</v>
      </c>
    </row>
    <row r="1089" spans="1:12" x14ac:dyDescent="0.3">
      <c r="A1089" s="2">
        <v>45919</v>
      </c>
      <c r="B1089" s="1" t="s">
        <v>250</v>
      </c>
      <c r="C1089" s="1" t="s">
        <v>32</v>
      </c>
      <c r="D1089" s="1" t="s">
        <v>72</v>
      </c>
      <c r="E1089" s="1" t="s">
        <v>60</v>
      </c>
      <c r="F1089" s="1" t="s">
        <v>61</v>
      </c>
      <c r="G1089" s="4">
        <v>6</v>
      </c>
      <c r="H1089" s="4">
        <v>9495</v>
      </c>
      <c r="I1089" s="6">
        <v>8691.6735277182015</v>
      </c>
      <c r="J1089" s="6">
        <f>表1[[#This Row],[销售金额]]-表1[[#This Row],[退款金额]]</f>
        <v>803.32647228179849</v>
      </c>
      <c r="K1089" s="1">
        <v>512</v>
      </c>
      <c r="L1089" s="1">
        <v>404</v>
      </c>
    </row>
    <row r="1090" spans="1:12" x14ac:dyDescent="0.3">
      <c r="A1090" s="2">
        <v>45919</v>
      </c>
      <c r="B1090" s="1" t="s">
        <v>250</v>
      </c>
      <c r="C1090" s="1" t="s">
        <v>32</v>
      </c>
      <c r="D1090" s="1" t="s">
        <v>72</v>
      </c>
      <c r="E1090" s="1" t="s">
        <v>60</v>
      </c>
      <c r="F1090" s="1" t="s">
        <v>61</v>
      </c>
      <c r="G1090" s="4">
        <v>6</v>
      </c>
      <c r="H1090" s="4">
        <v>11624</v>
      </c>
      <c r="I1090" s="6">
        <v>8691.6735277182015</v>
      </c>
      <c r="J1090" s="6">
        <f>表1[[#This Row],[销售金额]]-表1[[#This Row],[退款金额]]</f>
        <v>2932.3264722817985</v>
      </c>
      <c r="K1090" s="1">
        <v>512</v>
      </c>
      <c r="L1090" s="1">
        <v>404</v>
      </c>
    </row>
    <row r="1091" spans="1:12" x14ac:dyDescent="0.3">
      <c r="A1091" s="2">
        <v>45919</v>
      </c>
      <c r="B1091" s="1" t="s">
        <v>250</v>
      </c>
      <c r="C1091" s="1" t="s">
        <v>32</v>
      </c>
      <c r="D1091" s="1" t="s">
        <v>72</v>
      </c>
      <c r="E1091" s="1" t="s">
        <v>60</v>
      </c>
      <c r="F1091" s="1" t="s">
        <v>61</v>
      </c>
      <c r="G1091" s="4">
        <v>6</v>
      </c>
      <c r="H1091" s="4">
        <v>11271</v>
      </c>
      <c r="I1091" s="6">
        <v>8691.6735277182015</v>
      </c>
      <c r="J1091" s="6">
        <f>表1[[#This Row],[销售金额]]-表1[[#This Row],[退款金额]]</f>
        <v>2579.3264722817985</v>
      </c>
      <c r="K1091" s="1">
        <v>512</v>
      </c>
      <c r="L1091" s="1">
        <v>404</v>
      </c>
    </row>
    <row r="1092" spans="1:12" x14ac:dyDescent="0.3">
      <c r="A1092" s="2">
        <v>45919</v>
      </c>
      <c r="B1092" s="1" t="s">
        <v>250</v>
      </c>
      <c r="C1092" s="1" t="s">
        <v>32</v>
      </c>
      <c r="D1092" s="1" t="s">
        <v>72</v>
      </c>
      <c r="E1092" s="1" t="s">
        <v>60</v>
      </c>
      <c r="F1092" s="1" t="s">
        <v>61</v>
      </c>
      <c r="G1092" s="4">
        <v>6</v>
      </c>
      <c r="H1092" s="4">
        <v>10083</v>
      </c>
      <c r="I1092" s="6">
        <v>8691.6735277182015</v>
      </c>
      <c r="J1092" s="6">
        <f>表1[[#This Row],[销售金额]]-表1[[#This Row],[退款金额]]</f>
        <v>1391.3264722817985</v>
      </c>
      <c r="K1092" s="1">
        <v>512</v>
      </c>
      <c r="L1092" s="1">
        <v>404</v>
      </c>
    </row>
    <row r="1093" spans="1:12" x14ac:dyDescent="0.3">
      <c r="A1093" s="2">
        <v>45919</v>
      </c>
      <c r="B1093" s="1" t="s">
        <v>250</v>
      </c>
      <c r="C1093" s="1" t="s">
        <v>32</v>
      </c>
      <c r="D1093" s="1" t="s">
        <v>72</v>
      </c>
      <c r="E1093" s="1" t="s">
        <v>60</v>
      </c>
      <c r="F1093" s="1" t="s">
        <v>61</v>
      </c>
      <c r="G1093" s="4">
        <v>6</v>
      </c>
      <c r="H1093" s="4">
        <v>12969</v>
      </c>
      <c r="I1093" s="6">
        <v>8691.6735277182015</v>
      </c>
      <c r="J1093" s="6">
        <f>表1[[#This Row],[销售金额]]-表1[[#This Row],[退款金额]]</f>
        <v>4277.3264722817985</v>
      </c>
      <c r="K1093" s="1">
        <v>512</v>
      </c>
      <c r="L1093" s="1">
        <v>404</v>
      </c>
    </row>
    <row r="1094" spans="1:12" x14ac:dyDescent="0.3">
      <c r="A1094" s="2">
        <v>45919</v>
      </c>
      <c r="B1094" s="1" t="s">
        <v>250</v>
      </c>
      <c r="C1094" s="1" t="s">
        <v>32</v>
      </c>
      <c r="D1094" s="1" t="s">
        <v>72</v>
      </c>
      <c r="E1094" s="1" t="s">
        <v>60</v>
      </c>
      <c r="F1094" s="1" t="s">
        <v>61</v>
      </c>
      <c r="G1094" s="4">
        <v>6</v>
      </c>
      <c r="H1094" s="4">
        <v>13297</v>
      </c>
      <c r="I1094" s="6">
        <v>8691.6735277182015</v>
      </c>
      <c r="J1094" s="6">
        <f>表1[[#This Row],[销售金额]]-表1[[#This Row],[退款金额]]</f>
        <v>4605.3264722817985</v>
      </c>
      <c r="K1094" s="1">
        <v>512</v>
      </c>
      <c r="L1094" s="1">
        <v>404</v>
      </c>
    </row>
    <row r="1095" spans="1:12" x14ac:dyDescent="0.3">
      <c r="A1095" s="2">
        <v>45919</v>
      </c>
      <c r="B1095" s="1" t="s">
        <v>25</v>
      </c>
      <c r="C1095" s="1" t="s">
        <v>32</v>
      </c>
      <c r="D1095" s="1" t="s">
        <v>128</v>
      </c>
      <c r="E1095" s="1" t="s">
        <v>30</v>
      </c>
      <c r="F1095" s="1" t="s">
        <v>31</v>
      </c>
      <c r="G1095" s="4">
        <v>9</v>
      </c>
      <c r="H1095" s="4">
        <v>3938</v>
      </c>
      <c r="I1095" s="6">
        <v>1918.2388411147435</v>
      </c>
      <c r="J1095" s="6">
        <f>表1[[#This Row],[销售金额]]-表1[[#This Row],[退款金额]]</f>
        <v>2019.7611588852565</v>
      </c>
      <c r="K1095" s="1">
        <v>681</v>
      </c>
      <c r="L1095" s="1">
        <v>460</v>
      </c>
    </row>
    <row r="1096" spans="1:12" x14ac:dyDescent="0.3">
      <c r="A1096" s="2">
        <v>45919</v>
      </c>
      <c r="B1096" s="1" t="s">
        <v>250</v>
      </c>
      <c r="C1096" s="1" t="s">
        <v>32</v>
      </c>
      <c r="D1096" s="1" t="s">
        <v>206</v>
      </c>
      <c r="E1096" s="1" t="s">
        <v>60</v>
      </c>
      <c r="F1096" s="1" t="s">
        <v>61</v>
      </c>
      <c r="G1096" s="4">
        <v>9</v>
      </c>
      <c r="H1096" s="4">
        <v>7947</v>
      </c>
      <c r="I1096" s="6">
        <v>4344.0963727208718</v>
      </c>
      <c r="J1096" s="6">
        <f>表1[[#This Row],[销售金额]]-表1[[#This Row],[退款金额]]</f>
        <v>3602.9036272791282</v>
      </c>
      <c r="K1096" s="1">
        <v>593</v>
      </c>
      <c r="L1096" s="1">
        <v>342</v>
      </c>
    </row>
    <row r="1097" spans="1:12" x14ac:dyDescent="0.3">
      <c r="A1097" s="2">
        <v>45919</v>
      </c>
      <c r="B1097" s="1" t="s">
        <v>25</v>
      </c>
      <c r="C1097" s="1" t="s">
        <v>32</v>
      </c>
      <c r="D1097" s="1" t="s">
        <v>128</v>
      </c>
      <c r="E1097" s="1" t="s">
        <v>30</v>
      </c>
      <c r="F1097" s="1" t="s">
        <v>31</v>
      </c>
      <c r="G1097" s="4">
        <v>9</v>
      </c>
      <c r="H1097" s="4">
        <v>6793</v>
      </c>
      <c r="I1097" s="6">
        <v>1918.2388411147435</v>
      </c>
      <c r="J1097" s="6">
        <f>表1[[#This Row],[销售金额]]-表1[[#This Row],[退款金额]]</f>
        <v>4874.761158885256</v>
      </c>
      <c r="K1097" s="1">
        <v>681</v>
      </c>
      <c r="L1097" s="1">
        <v>460</v>
      </c>
    </row>
    <row r="1098" spans="1:12" x14ac:dyDescent="0.3">
      <c r="A1098" s="2">
        <v>45919</v>
      </c>
      <c r="B1098" s="1" t="s">
        <v>250</v>
      </c>
      <c r="C1098" s="1" t="s">
        <v>32</v>
      </c>
      <c r="D1098" s="1" t="s">
        <v>206</v>
      </c>
      <c r="E1098" s="1" t="s">
        <v>60</v>
      </c>
      <c r="F1098" s="1" t="s">
        <v>61</v>
      </c>
      <c r="G1098" s="4">
        <v>9</v>
      </c>
      <c r="H1098" s="4">
        <v>5800</v>
      </c>
      <c r="I1098" s="6">
        <v>4344.0963727208718</v>
      </c>
      <c r="J1098" s="6">
        <f>表1[[#This Row],[销售金额]]-表1[[#This Row],[退款金额]]</f>
        <v>1455.9036272791282</v>
      </c>
      <c r="K1098" s="1">
        <v>593</v>
      </c>
      <c r="L1098" s="1">
        <v>342</v>
      </c>
    </row>
    <row r="1099" spans="1:12" x14ac:dyDescent="0.3">
      <c r="A1099" s="2">
        <v>45919</v>
      </c>
      <c r="B1099" s="1" t="s">
        <v>25</v>
      </c>
      <c r="C1099" s="1" t="s">
        <v>32</v>
      </c>
      <c r="D1099" s="1" t="s">
        <v>128</v>
      </c>
      <c r="E1099" s="1" t="s">
        <v>30</v>
      </c>
      <c r="F1099" s="1" t="s">
        <v>31</v>
      </c>
      <c r="G1099" s="4">
        <v>9</v>
      </c>
      <c r="H1099" s="4">
        <v>4470</v>
      </c>
      <c r="I1099" s="6">
        <v>1918.2388411147435</v>
      </c>
      <c r="J1099" s="6">
        <f>表1[[#This Row],[销售金额]]-表1[[#This Row],[退款金额]]</f>
        <v>2551.7611588852565</v>
      </c>
      <c r="K1099" s="1">
        <v>681</v>
      </c>
      <c r="L1099" s="1">
        <v>460</v>
      </c>
    </row>
    <row r="1100" spans="1:12" x14ac:dyDescent="0.3">
      <c r="A1100" s="2">
        <v>45919</v>
      </c>
      <c r="B1100" s="1" t="s">
        <v>250</v>
      </c>
      <c r="C1100" s="1" t="s">
        <v>32</v>
      </c>
      <c r="D1100" s="1" t="s">
        <v>206</v>
      </c>
      <c r="E1100" s="1" t="s">
        <v>60</v>
      </c>
      <c r="F1100" s="1" t="s">
        <v>61</v>
      </c>
      <c r="G1100" s="4">
        <v>9</v>
      </c>
      <c r="H1100" s="4">
        <v>7640</v>
      </c>
      <c r="I1100" s="6">
        <v>4344.0963727208718</v>
      </c>
      <c r="J1100" s="6">
        <f>表1[[#This Row],[销售金额]]-表1[[#This Row],[退款金额]]</f>
        <v>3295.9036272791282</v>
      </c>
      <c r="K1100" s="1">
        <v>593</v>
      </c>
      <c r="L1100" s="1">
        <v>342</v>
      </c>
    </row>
    <row r="1101" spans="1:12" x14ac:dyDescent="0.3">
      <c r="A1101" s="2">
        <v>45919</v>
      </c>
      <c r="B1101" s="1" t="s">
        <v>25</v>
      </c>
      <c r="C1101" s="1" t="s">
        <v>32</v>
      </c>
      <c r="D1101" s="1" t="s">
        <v>128</v>
      </c>
      <c r="E1101" s="1" t="s">
        <v>30</v>
      </c>
      <c r="F1101" s="1" t="s">
        <v>31</v>
      </c>
      <c r="G1101" s="4">
        <v>9</v>
      </c>
      <c r="H1101" s="4">
        <v>2980</v>
      </c>
      <c r="I1101" s="6">
        <v>1918.2388411147435</v>
      </c>
      <c r="J1101" s="6">
        <f>表1[[#This Row],[销售金额]]-表1[[#This Row],[退款金额]]</f>
        <v>1061.7611588852565</v>
      </c>
      <c r="K1101" s="1">
        <v>681</v>
      </c>
      <c r="L1101" s="1">
        <v>460</v>
      </c>
    </row>
    <row r="1102" spans="1:12" x14ac:dyDescent="0.3">
      <c r="A1102" s="2">
        <v>45919</v>
      </c>
      <c r="B1102" s="1" t="s">
        <v>250</v>
      </c>
      <c r="C1102" s="1" t="s">
        <v>32</v>
      </c>
      <c r="D1102" s="1" t="s">
        <v>206</v>
      </c>
      <c r="E1102" s="1" t="s">
        <v>60</v>
      </c>
      <c r="F1102" s="1" t="s">
        <v>61</v>
      </c>
      <c r="G1102" s="4">
        <v>9</v>
      </c>
      <c r="H1102" s="4">
        <v>7885</v>
      </c>
      <c r="I1102" s="6">
        <v>4344.0963727208718</v>
      </c>
      <c r="J1102" s="6">
        <f>表1[[#This Row],[销售金额]]-表1[[#This Row],[退款金额]]</f>
        <v>3540.9036272791282</v>
      </c>
      <c r="K1102" s="1">
        <v>593</v>
      </c>
      <c r="L1102" s="1">
        <v>342</v>
      </c>
    </row>
    <row r="1103" spans="1:12" x14ac:dyDescent="0.3">
      <c r="A1103" s="2">
        <v>45919</v>
      </c>
      <c r="B1103" s="1" t="s">
        <v>25</v>
      </c>
      <c r="C1103" s="1" t="s">
        <v>32</v>
      </c>
      <c r="D1103" s="1" t="s">
        <v>128</v>
      </c>
      <c r="E1103" s="1" t="s">
        <v>30</v>
      </c>
      <c r="F1103" s="1" t="s">
        <v>31</v>
      </c>
      <c r="G1103" s="4">
        <v>9</v>
      </c>
      <c r="H1103" s="4">
        <v>4143</v>
      </c>
      <c r="I1103" s="6">
        <v>1918.2388411147435</v>
      </c>
      <c r="J1103" s="6">
        <f>表1[[#This Row],[销售金额]]-表1[[#This Row],[退款金额]]</f>
        <v>2224.7611588852565</v>
      </c>
      <c r="K1103" s="1">
        <v>681</v>
      </c>
      <c r="L1103" s="1">
        <v>460</v>
      </c>
    </row>
    <row r="1104" spans="1:12" x14ac:dyDescent="0.3">
      <c r="A1104" s="2">
        <v>45919</v>
      </c>
      <c r="B1104" s="1" t="s">
        <v>250</v>
      </c>
      <c r="C1104" s="1" t="s">
        <v>32</v>
      </c>
      <c r="D1104" s="1" t="s">
        <v>206</v>
      </c>
      <c r="E1104" s="1" t="s">
        <v>60</v>
      </c>
      <c r="F1104" s="1" t="s">
        <v>61</v>
      </c>
      <c r="G1104" s="4">
        <v>9</v>
      </c>
      <c r="H1104" s="4">
        <v>5768</v>
      </c>
      <c r="I1104" s="6">
        <v>4344.0963727208718</v>
      </c>
      <c r="J1104" s="6">
        <f>表1[[#This Row],[销售金额]]-表1[[#This Row],[退款金额]]</f>
        <v>1423.9036272791282</v>
      </c>
      <c r="K1104" s="1">
        <v>593</v>
      </c>
      <c r="L1104" s="1">
        <v>342</v>
      </c>
    </row>
    <row r="1105" spans="1:12" x14ac:dyDescent="0.3">
      <c r="A1105" s="2">
        <v>45919</v>
      </c>
      <c r="B1105" s="1" t="s">
        <v>25</v>
      </c>
      <c r="C1105" s="1" t="s">
        <v>32</v>
      </c>
      <c r="D1105" s="1" t="s">
        <v>128</v>
      </c>
      <c r="E1105" s="1" t="s">
        <v>30</v>
      </c>
      <c r="F1105" s="1" t="s">
        <v>31</v>
      </c>
      <c r="G1105" s="4">
        <v>9</v>
      </c>
      <c r="H1105" s="4">
        <v>4195</v>
      </c>
      <c r="I1105" s="6">
        <v>1918.2388411147435</v>
      </c>
      <c r="J1105" s="6">
        <f>表1[[#This Row],[销售金额]]-表1[[#This Row],[退款金额]]</f>
        <v>2276.7611588852565</v>
      </c>
      <c r="K1105" s="1">
        <v>681</v>
      </c>
      <c r="L1105" s="1">
        <v>460</v>
      </c>
    </row>
    <row r="1106" spans="1:12" x14ac:dyDescent="0.3">
      <c r="A1106" s="2">
        <v>45919</v>
      </c>
      <c r="B1106" s="1" t="s">
        <v>250</v>
      </c>
      <c r="C1106" s="1" t="s">
        <v>32</v>
      </c>
      <c r="D1106" s="1" t="s">
        <v>206</v>
      </c>
      <c r="E1106" s="1" t="s">
        <v>60</v>
      </c>
      <c r="F1106" s="1" t="s">
        <v>61</v>
      </c>
      <c r="G1106" s="4">
        <v>9</v>
      </c>
      <c r="H1106" s="4">
        <v>5647</v>
      </c>
      <c r="I1106" s="6">
        <v>4344.0963727208718</v>
      </c>
      <c r="J1106" s="6">
        <f>表1[[#This Row],[销售金额]]-表1[[#This Row],[退款金额]]</f>
        <v>1302.9036272791282</v>
      </c>
      <c r="K1106" s="1">
        <v>593</v>
      </c>
      <c r="L1106" s="1">
        <v>342</v>
      </c>
    </row>
    <row r="1107" spans="1:12" x14ac:dyDescent="0.3">
      <c r="A1107" s="2">
        <v>45919</v>
      </c>
      <c r="B1107" s="1" t="s">
        <v>25</v>
      </c>
      <c r="C1107" s="1" t="s">
        <v>32</v>
      </c>
      <c r="D1107" s="1" t="s">
        <v>128</v>
      </c>
      <c r="E1107" s="1" t="s">
        <v>30</v>
      </c>
      <c r="F1107" s="1" t="s">
        <v>31</v>
      </c>
      <c r="G1107" s="4">
        <v>9</v>
      </c>
      <c r="H1107" s="4">
        <v>2817</v>
      </c>
      <c r="I1107" s="6">
        <v>1918.2388411147435</v>
      </c>
      <c r="J1107" s="6">
        <f>表1[[#This Row],[销售金额]]-表1[[#This Row],[退款金额]]</f>
        <v>898.76115888525646</v>
      </c>
      <c r="K1107" s="1">
        <v>681</v>
      </c>
      <c r="L1107" s="1">
        <v>460</v>
      </c>
    </row>
    <row r="1108" spans="1:12" x14ac:dyDescent="0.3">
      <c r="A1108" s="2">
        <v>45919</v>
      </c>
      <c r="B1108" s="1" t="s">
        <v>250</v>
      </c>
      <c r="C1108" s="1" t="s">
        <v>32</v>
      </c>
      <c r="D1108" s="1" t="s">
        <v>206</v>
      </c>
      <c r="E1108" s="1" t="s">
        <v>60</v>
      </c>
      <c r="F1108" s="1" t="s">
        <v>61</v>
      </c>
      <c r="G1108" s="4">
        <v>9</v>
      </c>
      <c r="H1108" s="4">
        <v>8918</v>
      </c>
      <c r="I1108" s="6">
        <v>4344.0963727208718</v>
      </c>
      <c r="J1108" s="6">
        <f>表1[[#This Row],[销售金额]]-表1[[#This Row],[退款金额]]</f>
        <v>4573.9036272791282</v>
      </c>
      <c r="K1108" s="1">
        <v>593</v>
      </c>
      <c r="L1108" s="1">
        <v>342</v>
      </c>
    </row>
    <row r="1109" spans="1:12" x14ac:dyDescent="0.3">
      <c r="A1109" s="2">
        <v>45919</v>
      </c>
      <c r="B1109" s="1" t="s">
        <v>25</v>
      </c>
      <c r="C1109" s="1" t="s">
        <v>32</v>
      </c>
      <c r="D1109" s="1" t="s">
        <v>128</v>
      </c>
      <c r="E1109" s="1" t="s">
        <v>30</v>
      </c>
      <c r="F1109" s="1" t="s">
        <v>31</v>
      </c>
      <c r="G1109" s="4">
        <v>9</v>
      </c>
      <c r="H1109" s="4">
        <v>3276</v>
      </c>
      <c r="I1109" s="6">
        <v>1918.2388411147435</v>
      </c>
      <c r="J1109" s="6">
        <f>表1[[#This Row],[销售金额]]-表1[[#This Row],[退款金额]]</f>
        <v>1357.7611588852565</v>
      </c>
      <c r="K1109" s="1">
        <v>681</v>
      </c>
      <c r="L1109" s="1">
        <v>460</v>
      </c>
    </row>
    <row r="1110" spans="1:12" x14ac:dyDescent="0.3">
      <c r="A1110" s="2">
        <v>45919</v>
      </c>
      <c r="B1110" s="1" t="s">
        <v>250</v>
      </c>
      <c r="C1110" s="1" t="s">
        <v>32</v>
      </c>
      <c r="D1110" s="1" t="s">
        <v>206</v>
      </c>
      <c r="E1110" s="1" t="s">
        <v>60</v>
      </c>
      <c r="F1110" s="1" t="s">
        <v>61</v>
      </c>
      <c r="G1110" s="4">
        <v>9</v>
      </c>
      <c r="H1110" s="4">
        <v>5898</v>
      </c>
      <c r="I1110" s="6">
        <v>4344.0963727208718</v>
      </c>
      <c r="J1110" s="6">
        <f>表1[[#This Row],[销售金额]]-表1[[#This Row],[退款金额]]</f>
        <v>1553.9036272791282</v>
      </c>
      <c r="K1110" s="1">
        <v>593</v>
      </c>
      <c r="L1110" s="1">
        <v>342</v>
      </c>
    </row>
    <row r="1111" spans="1:12" x14ac:dyDescent="0.3">
      <c r="A1111" s="2">
        <v>45919</v>
      </c>
      <c r="B1111" s="1" t="s">
        <v>25</v>
      </c>
      <c r="C1111" s="1" t="s">
        <v>32</v>
      </c>
      <c r="D1111" s="1" t="s">
        <v>128</v>
      </c>
      <c r="E1111" s="1" t="s">
        <v>30</v>
      </c>
      <c r="F1111" s="1" t="s">
        <v>31</v>
      </c>
      <c r="G1111" s="4">
        <v>9</v>
      </c>
      <c r="H1111" s="4">
        <v>2684</v>
      </c>
      <c r="I1111" s="6">
        <v>1918.2388411147435</v>
      </c>
      <c r="J1111" s="6">
        <f>表1[[#This Row],[销售金额]]-表1[[#This Row],[退款金额]]</f>
        <v>765.76115888525646</v>
      </c>
      <c r="K1111" s="1">
        <v>681</v>
      </c>
      <c r="L1111" s="1">
        <v>460</v>
      </c>
    </row>
    <row r="1112" spans="1:12" x14ac:dyDescent="0.3">
      <c r="A1112" s="2">
        <v>45919</v>
      </c>
      <c r="B1112" s="1" t="s">
        <v>250</v>
      </c>
      <c r="C1112" s="1" t="s">
        <v>32</v>
      </c>
      <c r="D1112" s="1" t="s">
        <v>206</v>
      </c>
      <c r="E1112" s="1" t="s">
        <v>60</v>
      </c>
      <c r="F1112" s="1" t="s">
        <v>61</v>
      </c>
      <c r="G1112" s="4">
        <v>9</v>
      </c>
      <c r="H1112" s="4">
        <v>8228</v>
      </c>
      <c r="I1112" s="6">
        <v>4344.0963727208718</v>
      </c>
      <c r="J1112" s="6">
        <f>表1[[#This Row],[销售金额]]-表1[[#This Row],[退款金额]]</f>
        <v>3883.9036272791282</v>
      </c>
      <c r="K1112" s="1">
        <v>593</v>
      </c>
      <c r="L1112" s="1">
        <v>342</v>
      </c>
    </row>
    <row r="1113" spans="1:12" x14ac:dyDescent="0.3">
      <c r="A1113" s="2">
        <v>45919</v>
      </c>
      <c r="B1113" s="1" t="s">
        <v>11</v>
      </c>
      <c r="C1113" s="1" t="s">
        <v>19</v>
      </c>
      <c r="D1113" s="1" t="s">
        <v>113</v>
      </c>
      <c r="E1113" s="1" t="s">
        <v>27</v>
      </c>
      <c r="F1113" s="1" t="s">
        <v>28</v>
      </c>
      <c r="G1113" s="4">
        <v>16</v>
      </c>
      <c r="H1113" s="4">
        <v>2396</v>
      </c>
      <c r="I1113" s="6">
        <v>1463.4628573044672</v>
      </c>
      <c r="J1113" s="6">
        <f>表1[[#This Row],[销售金额]]-表1[[#This Row],[退款金额]]</f>
        <v>932.53714269553279</v>
      </c>
      <c r="K1113" s="1">
        <v>952</v>
      </c>
      <c r="L1113" s="1">
        <v>634</v>
      </c>
    </row>
    <row r="1114" spans="1:12" x14ac:dyDescent="0.3">
      <c r="A1114" s="2">
        <v>45919</v>
      </c>
      <c r="B1114" s="1" t="s">
        <v>250</v>
      </c>
      <c r="C1114" s="1" t="s">
        <v>19</v>
      </c>
      <c r="D1114" s="1" t="s">
        <v>207</v>
      </c>
      <c r="E1114" s="1" t="s">
        <v>51</v>
      </c>
      <c r="F1114" s="1" t="s">
        <v>52</v>
      </c>
      <c r="G1114" s="4">
        <v>16</v>
      </c>
      <c r="H1114" s="4">
        <v>3821</v>
      </c>
      <c r="I1114" s="6">
        <v>312.02924333526113</v>
      </c>
      <c r="J1114" s="6">
        <f>表1[[#This Row],[销售金额]]-表1[[#This Row],[退款金额]]</f>
        <v>3508.9707566647389</v>
      </c>
      <c r="K1114" s="1">
        <v>658</v>
      </c>
      <c r="L1114" s="1">
        <v>627</v>
      </c>
    </row>
    <row r="1115" spans="1:12" x14ac:dyDescent="0.3">
      <c r="A1115" s="2">
        <v>45919</v>
      </c>
      <c r="B1115" s="1" t="s">
        <v>11</v>
      </c>
      <c r="C1115" s="1" t="s">
        <v>19</v>
      </c>
      <c r="D1115" s="1" t="s">
        <v>113</v>
      </c>
      <c r="E1115" s="1" t="s">
        <v>27</v>
      </c>
      <c r="F1115" s="1" t="s">
        <v>28</v>
      </c>
      <c r="G1115" s="4">
        <v>16</v>
      </c>
      <c r="H1115" s="4">
        <v>6431</v>
      </c>
      <c r="I1115" s="6">
        <v>1463.4628573044672</v>
      </c>
      <c r="J1115" s="6">
        <f>表1[[#This Row],[销售金额]]-表1[[#This Row],[退款金额]]</f>
        <v>4967.5371426955326</v>
      </c>
      <c r="K1115" s="1">
        <v>952</v>
      </c>
      <c r="L1115" s="1">
        <v>634</v>
      </c>
    </row>
    <row r="1116" spans="1:12" x14ac:dyDescent="0.3">
      <c r="A1116" s="2">
        <v>45919</v>
      </c>
      <c r="B1116" s="1" t="s">
        <v>250</v>
      </c>
      <c r="C1116" s="1" t="s">
        <v>19</v>
      </c>
      <c r="D1116" s="1" t="s">
        <v>207</v>
      </c>
      <c r="E1116" s="1" t="s">
        <v>51</v>
      </c>
      <c r="F1116" s="1" t="s">
        <v>52</v>
      </c>
      <c r="G1116" s="4">
        <v>16</v>
      </c>
      <c r="H1116" s="4">
        <v>3122</v>
      </c>
      <c r="I1116" s="6">
        <v>312.02924333526113</v>
      </c>
      <c r="J1116" s="6">
        <f>表1[[#This Row],[销售金额]]-表1[[#This Row],[退款金额]]</f>
        <v>2809.9707566647389</v>
      </c>
      <c r="K1116" s="1">
        <v>658</v>
      </c>
      <c r="L1116" s="1">
        <v>627</v>
      </c>
    </row>
    <row r="1117" spans="1:12" x14ac:dyDescent="0.3">
      <c r="A1117" s="2">
        <v>45919</v>
      </c>
      <c r="B1117" s="1" t="s">
        <v>11</v>
      </c>
      <c r="C1117" s="1" t="s">
        <v>19</v>
      </c>
      <c r="D1117" s="1" t="s">
        <v>113</v>
      </c>
      <c r="E1117" s="1" t="s">
        <v>27</v>
      </c>
      <c r="F1117" s="1" t="s">
        <v>28</v>
      </c>
      <c r="G1117" s="4">
        <v>16</v>
      </c>
      <c r="H1117" s="4">
        <v>5263</v>
      </c>
      <c r="I1117" s="6">
        <v>1463.4628573044672</v>
      </c>
      <c r="J1117" s="6">
        <f>表1[[#This Row],[销售金额]]-表1[[#This Row],[退款金额]]</f>
        <v>3799.5371426955326</v>
      </c>
      <c r="K1117" s="1">
        <v>952</v>
      </c>
      <c r="L1117" s="1">
        <v>634</v>
      </c>
    </row>
    <row r="1118" spans="1:12" x14ac:dyDescent="0.3">
      <c r="A1118" s="2">
        <v>45919</v>
      </c>
      <c r="B1118" s="1" t="s">
        <v>250</v>
      </c>
      <c r="C1118" s="1" t="s">
        <v>19</v>
      </c>
      <c r="D1118" s="1" t="s">
        <v>207</v>
      </c>
      <c r="E1118" s="1" t="s">
        <v>51</v>
      </c>
      <c r="F1118" s="1" t="s">
        <v>52</v>
      </c>
      <c r="G1118" s="4">
        <v>16</v>
      </c>
      <c r="H1118" s="4">
        <v>4976</v>
      </c>
      <c r="I1118" s="6">
        <v>312.02924333526113</v>
      </c>
      <c r="J1118" s="6">
        <f>表1[[#This Row],[销售金额]]-表1[[#This Row],[退款金额]]</f>
        <v>4663.9707566647385</v>
      </c>
      <c r="K1118" s="1">
        <v>658</v>
      </c>
      <c r="L1118" s="1">
        <v>627</v>
      </c>
    </row>
    <row r="1119" spans="1:12" x14ac:dyDescent="0.3">
      <c r="A1119" s="2">
        <v>45919</v>
      </c>
      <c r="B1119" s="1" t="s">
        <v>11</v>
      </c>
      <c r="C1119" s="1" t="s">
        <v>19</v>
      </c>
      <c r="D1119" s="1" t="s">
        <v>113</v>
      </c>
      <c r="E1119" s="1" t="s">
        <v>27</v>
      </c>
      <c r="F1119" s="1" t="s">
        <v>28</v>
      </c>
      <c r="G1119" s="4">
        <v>16</v>
      </c>
      <c r="H1119" s="4">
        <v>1825</v>
      </c>
      <c r="I1119" s="6">
        <v>1463.4628573044672</v>
      </c>
      <c r="J1119" s="6">
        <f>表1[[#This Row],[销售金额]]-表1[[#This Row],[退款金额]]</f>
        <v>361.53714269553279</v>
      </c>
      <c r="K1119" s="1">
        <v>952</v>
      </c>
      <c r="L1119" s="1">
        <v>634</v>
      </c>
    </row>
    <row r="1120" spans="1:12" x14ac:dyDescent="0.3">
      <c r="A1120" s="2">
        <v>45919</v>
      </c>
      <c r="B1120" s="1" t="s">
        <v>250</v>
      </c>
      <c r="C1120" s="1" t="s">
        <v>19</v>
      </c>
      <c r="D1120" s="1" t="s">
        <v>207</v>
      </c>
      <c r="E1120" s="1" t="s">
        <v>51</v>
      </c>
      <c r="F1120" s="1" t="s">
        <v>52</v>
      </c>
      <c r="G1120" s="4">
        <v>16</v>
      </c>
      <c r="H1120" s="4">
        <v>1018</v>
      </c>
      <c r="I1120" s="6">
        <v>312.02924333526113</v>
      </c>
      <c r="J1120" s="6">
        <f>表1[[#This Row],[销售金额]]-表1[[#This Row],[退款金额]]</f>
        <v>705.97075666473893</v>
      </c>
      <c r="K1120" s="1">
        <v>658</v>
      </c>
      <c r="L1120" s="1">
        <v>627</v>
      </c>
    </row>
    <row r="1121" spans="1:12" x14ac:dyDescent="0.3">
      <c r="A1121" s="2">
        <v>45919</v>
      </c>
      <c r="B1121" s="1" t="s">
        <v>11</v>
      </c>
      <c r="C1121" s="1" t="s">
        <v>19</v>
      </c>
      <c r="D1121" s="1" t="s">
        <v>113</v>
      </c>
      <c r="E1121" s="1" t="s">
        <v>27</v>
      </c>
      <c r="F1121" s="1" t="s">
        <v>28</v>
      </c>
      <c r="G1121" s="4">
        <v>16</v>
      </c>
      <c r="H1121" s="4">
        <v>1664</v>
      </c>
      <c r="I1121" s="6">
        <v>1463.4628573044672</v>
      </c>
      <c r="J1121" s="6">
        <f>表1[[#This Row],[销售金额]]-表1[[#This Row],[退款金额]]</f>
        <v>200.53714269553279</v>
      </c>
      <c r="K1121" s="1">
        <v>952</v>
      </c>
      <c r="L1121" s="1">
        <v>634</v>
      </c>
    </row>
    <row r="1122" spans="1:12" x14ac:dyDescent="0.3">
      <c r="A1122" s="2">
        <v>45919</v>
      </c>
      <c r="B1122" s="1" t="s">
        <v>250</v>
      </c>
      <c r="C1122" s="1" t="s">
        <v>19</v>
      </c>
      <c r="D1122" s="1" t="s">
        <v>207</v>
      </c>
      <c r="E1122" s="1" t="s">
        <v>51</v>
      </c>
      <c r="F1122" s="1" t="s">
        <v>52</v>
      </c>
      <c r="G1122" s="4">
        <v>16</v>
      </c>
      <c r="H1122" s="4">
        <v>2669</v>
      </c>
      <c r="I1122" s="6">
        <v>312.02924333526113</v>
      </c>
      <c r="J1122" s="6">
        <f>表1[[#This Row],[销售金额]]-表1[[#This Row],[退款金额]]</f>
        <v>2356.9707566647389</v>
      </c>
      <c r="K1122" s="1">
        <v>658</v>
      </c>
      <c r="L1122" s="1">
        <v>627</v>
      </c>
    </row>
    <row r="1123" spans="1:12" x14ac:dyDescent="0.3">
      <c r="A1123" s="2">
        <v>45919</v>
      </c>
      <c r="B1123" s="1" t="s">
        <v>11</v>
      </c>
      <c r="C1123" s="1" t="s">
        <v>19</v>
      </c>
      <c r="D1123" s="1" t="s">
        <v>113</v>
      </c>
      <c r="E1123" s="1" t="s">
        <v>27</v>
      </c>
      <c r="F1123" s="1" t="s">
        <v>28</v>
      </c>
      <c r="G1123" s="4">
        <v>16</v>
      </c>
      <c r="H1123" s="4">
        <v>4609</v>
      </c>
      <c r="I1123" s="6">
        <v>1463.4628573044672</v>
      </c>
      <c r="J1123" s="6">
        <f>表1[[#This Row],[销售金额]]-表1[[#This Row],[退款金额]]</f>
        <v>3145.5371426955326</v>
      </c>
      <c r="K1123" s="1">
        <v>952</v>
      </c>
      <c r="L1123" s="1">
        <v>634</v>
      </c>
    </row>
    <row r="1124" spans="1:12" x14ac:dyDescent="0.3">
      <c r="A1124" s="2">
        <v>45919</v>
      </c>
      <c r="B1124" s="1" t="s">
        <v>250</v>
      </c>
      <c r="C1124" s="1" t="s">
        <v>19</v>
      </c>
      <c r="D1124" s="1" t="s">
        <v>207</v>
      </c>
      <c r="E1124" s="1" t="s">
        <v>51</v>
      </c>
      <c r="F1124" s="1" t="s">
        <v>52</v>
      </c>
      <c r="G1124" s="4">
        <v>16</v>
      </c>
      <c r="H1124" s="4">
        <v>634</v>
      </c>
      <c r="I1124" s="6">
        <v>312.02924333526113</v>
      </c>
      <c r="J1124" s="6">
        <f>表1[[#This Row],[销售金额]]-表1[[#This Row],[退款金额]]</f>
        <v>321.97075666473887</v>
      </c>
      <c r="K1124" s="1">
        <v>658</v>
      </c>
      <c r="L1124" s="1">
        <v>627</v>
      </c>
    </row>
    <row r="1125" spans="1:12" x14ac:dyDescent="0.3">
      <c r="A1125" s="2">
        <v>45919</v>
      </c>
      <c r="B1125" s="1" t="s">
        <v>11</v>
      </c>
      <c r="C1125" s="1" t="s">
        <v>19</v>
      </c>
      <c r="D1125" s="1" t="s">
        <v>113</v>
      </c>
      <c r="E1125" s="1" t="s">
        <v>27</v>
      </c>
      <c r="F1125" s="1" t="s">
        <v>28</v>
      </c>
      <c r="G1125" s="4">
        <v>16</v>
      </c>
      <c r="H1125" s="4">
        <v>4358</v>
      </c>
      <c r="I1125" s="6">
        <v>1463.4628573044672</v>
      </c>
      <c r="J1125" s="6">
        <f>表1[[#This Row],[销售金额]]-表1[[#This Row],[退款金额]]</f>
        <v>2894.5371426955326</v>
      </c>
      <c r="K1125" s="1">
        <v>952</v>
      </c>
      <c r="L1125" s="1">
        <v>634</v>
      </c>
    </row>
    <row r="1126" spans="1:12" x14ac:dyDescent="0.3">
      <c r="A1126" s="2">
        <v>45919</v>
      </c>
      <c r="B1126" s="1" t="s">
        <v>250</v>
      </c>
      <c r="C1126" s="1" t="s">
        <v>19</v>
      </c>
      <c r="D1126" s="1" t="s">
        <v>207</v>
      </c>
      <c r="E1126" s="1" t="s">
        <v>51</v>
      </c>
      <c r="F1126" s="1" t="s">
        <v>52</v>
      </c>
      <c r="G1126" s="4">
        <v>16</v>
      </c>
      <c r="H1126" s="4">
        <v>5208</v>
      </c>
      <c r="I1126" s="6">
        <v>312.02924333526113</v>
      </c>
      <c r="J1126" s="6">
        <f>表1[[#This Row],[销售金额]]-表1[[#This Row],[退款金额]]</f>
        <v>4895.9707566647385</v>
      </c>
      <c r="K1126" s="1">
        <v>658</v>
      </c>
      <c r="L1126" s="1">
        <v>627</v>
      </c>
    </row>
    <row r="1127" spans="1:12" x14ac:dyDescent="0.3">
      <c r="A1127" s="2">
        <v>45919</v>
      </c>
      <c r="B1127" s="1" t="s">
        <v>11</v>
      </c>
      <c r="C1127" s="1" t="s">
        <v>19</v>
      </c>
      <c r="D1127" s="1" t="s">
        <v>113</v>
      </c>
      <c r="E1127" s="1" t="s">
        <v>27</v>
      </c>
      <c r="F1127" s="1" t="s">
        <v>28</v>
      </c>
      <c r="G1127" s="4">
        <v>16</v>
      </c>
      <c r="H1127" s="4">
        <v>2497</v>
      </c>
      <c r="I1127" s="6">
        <v>1463.4628573044672</v>
      </c>
      <c r="J1127" s="6">
        <f>表1[[#This Row],[销售金额]]-表1[[#This Row],[退款金额]]</f>
        <v>1033.5371426955328</v>
      </c>
      <c r="K1127" s="1">
        <v>952</v>
      </c>
      <c r="L1127" s="1">
        <v>634</v>
      </c>
    </row>
    <row r="1128" spans="1:12" x14ac:dyDescent="0.3">
      <c r="A1128" s="2">
        <v>45919</v>
      </c>
      <c r="B1128" s="1" t="s">
        <v>250</v>
      </c>
      <c r="C1128" s="1" t="s">
        <v>19</v>
      </c>
      <c r="D1128" s="1" t="s">
        <v>207</v>
      </c>
      <c r="E1128" s="1" t="s">
        <v>51</v>
      </c>
      <c r="F1128" s="1" t="s">
        <v>52</v>
      </c>
      <c r="G1128" s="4">
        <v>16</v>
      </c>
      <c r="H1128" s="4">
        <v>2284</v>
      </c>
      <c r="I1128" s="6">
        <v>312.02924333526113</v>
      </c>
      <c r="J1128" s="6">
        <f>表1[[#This Row],[销售金额]]-表1[[#This Row],[退款金额]]</f>
        <v>1971.9707566647389</v>
      </c>
      <c r="K1128" s="1">
        <v>658</v>
      </c>
      <c r="L1128" s="1">
        <v>627</v>
      </c>
    </row>
    <row r="1129" spans="1:12" x14ac:dyDescent="0.3">
      <c r="A1129" s="2">
        <v>45919</v>
      </c>
      <c r="B1129" s="1" t="s">
        <v>11</v>
      </c>
      <c r="C1129" s="1" t="s">
        <v>19</v>
      </c>
      <c r="D1129" s="1" t="s">
        <v>113</v>
      </c>
      <c r="E1129" s="1" t="s">
        <v>27</v>
      </c>
      <c r="F1129" s="1" t="s">
        <v>28</v>
      </c>
      <c r="G1129" s="4">
        <v>16</v>
      </c>
      <c r="H1129" s="4">
        <v>6236</v>
      </c>
      <c r="I1129" s="6">
        <v>1463.4628573044672</v>
      </c>
      <c r="J1129" s="6">
        <f>表1[[#This Row],[销售金额]]-表1[[#This Row],[退款金额]]</f>
        <v>4772.5371426955326</v>
      </c>
      <c r="K1129" s="1">
        <v>952</v>
      </c>
      <c r="L1129" s="1">
        <v>634</v>
      </c>
    </row>
    <row r="1130" spans="1:12" x14ac:dyDescent="0.3">
      <c r="A1130" s="2">
        <v>45919</v>
      </c>
      <c r="B1130" s="1" t="s">
        <v>250</v>
      </c>
      <c r="C1130" s="1" t="s">
        <v>19</v>
      </c>
      <c r="D1130" s="1" t="s">
        <v>207</v>
      </c>
      <c r="E1130" s="1" t="s">
        <v>51</v>
      </c>
      <c r="F1130" s="1" t="s">
        <v>52</v>
      </c>
      <c r="G1130" s="4">
        <v>16</v>
      </c>
      <c r="H1130" s="4">
        <v>564</v>
      </c>
      <c r="I1130" s="6">
        <v>312.02924333526113</v>
      </c>
      <c r="J1130" s="6">
        <f>表1[[#This Row],[销售金额]]-表1[[#This Row],[退款金额]]</f>
        <v>251.97075666473887</v>
      </c>
      <c r="K1130" s="1">
        <v>658</v>
      </c>
      <c r="L1130" s="1">
        <v>627</v>
      </c>
    </row>
    <row r="1131" spans="1:12" x14ac:dyDescent="0.3">
      <c r="A1131" s="2">
        <v>45919</v>
      </c>
      <c r="B1131" s="1" t="s">
        <v>25</v>
      </c>
      <c r="C1131" s="1" t="s">
        <v>19</v>
      </c>
      <c r="D1131" s="1" t="s">
        <v>149</v>
      </c>
      <c r="E1131" s="1" t="s">
        <v>75</v>
      </c>
      <c r="F1131" s="1" t="s">
        <v>76</v>
      </c>
      <c r="G1131" s="4">
        <v>18</v>
      </c>
      <c r="H1131" s="4">
        <v>5338</v>
      </c>
      <c r="I1131" s="6">
        <v>4790.7197453095796</v>
      </c>
      <c r="J1131" s="6">
        <f>表1[[#This Row],[销售金额]]-表1[[#This Row],[退款金额]]</f>
        <v>547.28025469042041</v>
      </c>
      <c r="K1131" s="1">
        <v>761</v>
      </c>
      <c r="L1131" s="1">
        <v>523</v>
      </c>
    </row>
    <row r="1132" spans="1:12" x14ac:dyDescent="0.3">
      <c r="A1132" s="2">
        <v>45919</v>
      </c>
      <c r="B1132" s="1" t="s">
        <v>25</v>
      </c>
      <c r="C1132" s="1" t="s">
        <v>19</v>
      </c>
      <c r="D1132" s="1" t="s">
        <v>149</v>
      </c>
      <c r="E1132" s="1" t="s">
        <v>75</v>
      </c>
      <c r="F1132" s="1" t="s">
        <v>76</v>
      </c>
      <c r="G1132" s="4">
        <v>18</v>
      </c>
      <c r="H1132" s="4">
        <v>7227</v>
      </c>
      <c r="I1132" s="6">
        <v>4790.7197453095796</v>
      </c>
      <c r="J1132" s="6">
        <f>表1[[#This Row],[销售金额]]-表1[[#This Row],[退款金额]]</f>
        <v>2436.2802546904204</v>
      </c>
      <c r="K1132" s="1">
        <v>761</v>
      </c>
      <c r="L1132" s="1">
        <v>523</v>
      </c>
    </row>
    <row r="1133" spans="1:12" x14ac:dyDescent="0.3">
      <c r="A1133" s="2">
        <v>45919</v>
      </c>
      <c r="B1133" s="1" t="s">
        <v>25</v>
      </c>
      <c r="C1133" s="1" t="s">
        <v>19</v>
      </c>
      <c r="D1133" s="1" t="s">
        <v>149</v>
      </c>
      <c r="E1133" s="1" t="s">
        <v>75</v>
      </c>
      <c r="F1133" s="1" t="s">
        <v>76</v>
      </c>
      <c r="G1133" s="4">
        <v>18</v>
      </c>
      <c r="H1133" s="4">
        <v>8872</v>
      </c>
      <c r="I1133" s="6">
        <v>4790.7197453095796</v>
      </c>
      <c r="J1133" s="6">
        <f>表1[[#This Row],[销售金额]]-表1[[#This Row],[退款金额]]</f>
        <v>4081.2802546904204</v>
      </c>
      <c r="K1133" s="1">
        <v>761</v>
      </c>
      <c r="L1133" s="1">
        <v>523</v>
      </c>
    </row>
    <row r="1134" spans="1:12" x14ac:dyDescent="0.3">
      <c r="A1134" s="2">
        <v>45919</v>
      </c>
      <c r="B1134" s="1" t="s">
        <v>25</v>
      </c>
      <c r="C1134" s="1" t="s">
        <v>19</v>
      </c>
      <c r="D1134" s="1" t="s">
        <v>149</v>
      </c>
      <c r="E1134" s="1" t="s">
        <v>75</v>
      </c>
      <c r="F1134" s="1" t="s">
        <v>76</v>
      </c>
      <c r="G1134" s="4">
        <v>18</v>
      </c>
      <c r="H1134" s="4">
        <v>7325</v>
      </c>
      <c r="I1134" s="6">
        <v>4790.7197453095796</v>
      </c>
      <c r="J1134" s="6">
        <f>表1[[#This Row],[销售金额]]-表1[[#This Row],[退款金额]]</f>
        <v>2534.2802546904204</v>
      </c>
      <c r="K1134" s="1">
        <v>761</v>
      </c>
      <c r="L1134" s="1">
        <v>523</v>
      </c>
    </row>
    <row r="1135" spans="1:12" x14ac:dyDescent="0.3">
      <c r="A1135" s="2">
        <v>45919</v>
      </c>
      <c r="B1135" s="1" t="s">
        <v>25</v>
      </c>
      <c r="C1135" s="1" t="s">
        <v>19</v>
      </c>
      <c r="D1135" s="1" t="s">
        <v>149</v>
      </c>
      <c r="E1135" s="1" t="s">
        <v>75</v>
      </c>
      <c r="F1135" s="1" t="s">
        <v>76</v>
      </c>
      <c r="G1135" s="4">
        <v>18</v>
      </c>
      <c r="H1135" s="4">
        <v>9219</v>
      </c>
      <c r="I1135" s="6">
        <v>4790.7197453095796</v>
      </c>
      <c r="J1135" s="6">
        <f>表1[[#This Row],[销售金额]]-表1[[#This Row],[退款金额]]</f>
        <v>4428.2802546904204</v>
      </c>
      <c r="K1135" s="1">
        <v>761</v>
      </c>
      <c r="L1135" s="1">
        <v>523</v>
      </c>
    </row>
    <row r="1136" spans="1:12" x14ac:dyDescent="0.3">
      <c r="A1136" s="2">
        <v>45919</v>
      </c>
      <c r="B1136" s="1" t="s">
        <v>25</v>
      </c>
      <c r="C1136" s="1" t="s">
        <v>19</v>
      </c>
      <c r="D1136" s="1" t="s">
        <v>149</v>
      </c>
      <c r="E1136" s="1" t="s">
        <v>75</v>
      </c>
      <c r="F1136" s="1" t="s">
        <v>76</v>
      </c>
      <c r="G1136" s="4">
        <v>18</v>
      </c>
      <c r="H1136" s="4">
        <v>6102</v>
      </c>
      <c r="I1136" s="6">
        <v>4790.7197453095796</v>
      </c>
      <c r="J1136" s="6">
        <f>表1[[#This Row],[销售金额]]-表1[[#This Row],[退款金额]]</f>
        <v>1311.2802546904204</v>
      </c>
      <c r="K1136" s="1">
        <v>761</v>
      </c>
      <c r="L1136" s="1">
        <v>523</v>
      </c>
    </row>
    <row r="1137" spans="1:12" x14ac:dyDescent="0.3">
      <c r="A1137" s="2">
        <v>45919</v>
      </c>
      <c r="B1137" s="1" t="s">
        <v>25</v>
      </c>
      <c r="C1137" s="1" t="s">
        <v>19</v>
      </c>
      <c r="D1137" s="1" t="s">
        <v>149</v>
      </c>
      <c r="E1137" s="1" t="s">
        <v>75</v>
      </c>
      <c r="F1137" s="1" t="s">
        <v>76</v>
      </c>
      <c r="G1137" s="4">
        <v>18</v>
      </c>
      <c r="H1137" s="4">
        <v>4935</v>
      </c>
      <c r="I1137" s="6">
        <v>4790.7197453095796</v>
      </c>
      <c r="J1137" s="6">
        <f>表1[[#This Row],[销售金额]]-表1[[#This Row],[退款金额]]</f>
        <v>144.28025469042041</v>
      </c>
      <c r="K1137" s="1">
        <v>761</v>
      </c>
      <c r="L1137" s="1">
        <v>523</v>
      </c>
    </row>
    <row r="1138" spans="1:12" x14ac:dyDescent="0.3">
      <c r="A1138" s="2">
        <v>45919</v>
      </c>
      <c r="B1138" s="1" t="s">
        <v>25</v>
      </c>
      <c r="C1138" s="1" t="s">
        <v>19</v>
      </c>
      <c r="D1138" s="1" t="s">
        <v>149</v>
      </c>
      <c r="E1138" s="1" t="s">
        <v>75</v>
      </c>
      <c r="F1138" s="1" t="s">
        <v>76</v>
      </c>
      <c r="G1138" s="4">
        <v>18</v>
      </c>
      <c r="H1138" s="4">
        <v>6098</v>
      </c>
      <c r="I1138" s="6">
        <v>4790.7197453095796</v>
      </c>
      <c r="J1138" s="6">
        <f>表1[[#This Row],[销售金额]]-表1[[#This Row],[退款金额]]</f>
        <v>1307.2802546904204</v>
      </c>
      <c r="K1138" s="1">
        <v>761</v>
      </c>
      <c r="L1138" s="1">
        <v>523</v>
      </c>
    </row>
    <row r="1139" spans="1:12" x14ac:dyDescent="0.3">
      <c r="A1139" s="2">
        <v>45919</v>
      </c>
      <c r="B1139" s="1" t="s">
        <v>25</v>
      </c>
      <c r="C1139" s="1" t="s">
        <v>19</v>
      </c>
      <c r="D1139" s="1" t="s">
        <v>149</v>
      </c>
      <c r="E1139" s="1" t="s">
        <v>75</v>
      </c>
      <c r="F1139" s="1" t="s">
        <v>76</v>
      </c>
      <c r="G1139" s="4">
        <v>18</v>
      </c>
      <c r="H1139" s="4">
        <v>8128</v>
      </c>
      <c r="I1139" s="6">
        <v>4790.7197453095796</v>
      </c>
      <c r="J1139" s="6">
        <f>表1[[#This Row],[销售金额]]-表1[[#This Row],[退款金额]]</f>
        <v>3337.2802546904204</v>
      </c>
      <c r="K1139" s="1">
        <v>761</v>
      </c>
      <c r="L1139" s="1">
        <v>523</v>
      </c>
    </row>
    <row r="1140" spans="1:12" x14ac:dyDescent="0.3">
      <c r="A1140" s="2">
        <v>45919</v>
      </c>
      <c r="B1140" s="1" t="s">
        <v>25</v>
      </c>
      <c r="C1140" s="1" t="s">
        <v>10</v>
      </c>
      <c r="D1140" s="1" t="s">
        <v>148</v>
      </c>
      <c r="E1140" s="1" t="s">
        <v>8</v>
      </c>
      <c r="F1140" s="1" t="s">
        <v>9</v>
      </c>
      <c r="G1140" s="4">
        <v>19</v>
      </c>
      <c r="H1140" s="4">
        <v>18510</v>
      </c>
      <c r="I1140" s="6">
        <v>15799.597941106655</v>
      </c>
      <c r="J1140" s="6">
        <f>表1[[#This Row],[销售金额]]-表1[[#This Row],[退款金额]]</f>
        <v>2710.4020588933454</v>
      </c>
      <c r="K1140" s="1">
        <v>742</v>
      </c>
      <c r="L1140" s="1">
        <v>803</v>
      </c>
    </row>
    <row r="1141" spans="1:12" x14ac:dyDescent="0.3">
      <c r="A1141" s="2">
        <v>45919</v>
      </c>
      <c r="B1141" s="1" t="s">
        <v>247</v>
      </c>
      <c r="C1141" s="1" t="s">
        <v>32</v>
      </c>
      <c r="D1141" s="1" t="s">
        <v>45</v>
      </c>
      <c r="E1141" s="1" t="s">
        <v>30</v>
      </c>
      <c r="F1141" s="1" t="s">
        <v>31</v>
      </c>
      <c r="G1141" s="4">
        <v>19</v>
      </c>
      <c r="H1141" s="4">
        <v>4310</v>
      </c>
      <c r="I1141" s="6">
        <v>2265.2819591912025</v>
      </c>
      <c r="J1141" s="6">
        <f>表1[[#This Row],[销售金额]]-表1[[#This Row],[退款金额]]</f>
        <v>2044.7180408087975</v>
      </c>
      <c r="K1141" s="1">
        <v>600</v>
      </c>
      <c r="L1141" s="1">
        <v>549</v>
      </c>
    </row>
    <row r="1142" spans="1:12" x14ac:dyDescent="0.3">
      <c r="A1142" s="2">
        <v>45919</v>
      </c>
      <c r="B1142" s="1" t="s">
        <v>25</v>
      </c>
      <c r="C1142" s="1" t="s">
        <v>10</v>
      </c>
      <c r="D1142" s="1" t="s">
        <v>148</v>
      </c>
      <c r="E1142" s="1" t="s">
        <v>8</v>
      </c>
      <c r="F1142" s="1" t="s">
        <v>9</v>
      </c>
      <c r="G1142" s="4">
        <v>19</v>
      </c>
      <c r="H1142" s="4">
        <v>18148</v>
      </c>
      <c r="I1142" s="6">
        <v>15799.597941106655</v>
      </c>
      <c r="J1142" s="6">
        <f>表1[[#This Row],[销售金额]]-表1[[#This Row],[退款金额]]</f>
        <v>2348.4020588933454</v>
      </c>
      <c r="K1142" s="1">
        <v>742</v>
      </c>
      <c r="L1142" s="1">
        <v>803</v>
      </c>
    </row>
    <row r="1143" spans="1:12" x14ac:dyDescent="0.3">
      <c r="A1143" s="2">
        <v>45919</v>
      </c>
      <c r="B1143" s="1" t="s">
        <v>247</v>
      </c>
      <c r="C1143" s="1" t="s">
        <v>32</v>
      </c>
      <c r="D1143" s="1" t="s">
        <v>45</v>
      </c>
      <c r="E1143" s="1" t="s">
        <v>30</v>
      </c>
      <c r="F1143" s="1" t="s">
        <v>31</v>
      </c>
      <c r="G1143" s="4">
        <v>19</v>
      </c>
      <c r="H1143" s="4">
        <v>4514</v>
      </c>
      <c r="I1143" s="6">
        <v>2265.2819591912025</v>
      </c>
      <c r="J1143" s="6">
        <f>表1[[#This Row],[销售金额]]-表1[[#This Row],[退款金额]]</f>
        <v>2248.7180408087975</v>
      </c>
      <c r="K1143" s="1">
        <v>600</v>
      </c>
      <c r="L1143" s="1">
        <v>549</v>
      </c>
    </row>
    <row r="1144" spans="1:12" x14ac:dyDescent="0.3">
      <c r="A1144" s="2">
        <v>45919</v>
      </c>
      <c r="B1144" s="1" t="s">
        <v>25</v>
      </c>
      <c r="C1144" s="1" t="s">
        <v>10</v>
      </c>
      <c r="D1144" s="1" t="s">
        <v>148</v>
      </c>
      <c r="E1144" s="1" t="s">
        <v>8</v>
      </c>
      <c r="F1144" s="1" t="s">
        <v>9</v>
      </c>
      <c r="G1144" s="4">
        <v>19</v>
      </c>
      <c r="H1144" s="4">
        <v>17995</v>
      </c>
      <c r="I1144" s="6">
        <v>15799.597941106655</v>
      </c>
      <c r="J1144" s="6">
        <f>表1[[#This Row],[销售金额]]-表1[[#This Row],[退款金额]]</f>
        <v>2195.4020588933454</v>
      </c>
      <c r="K1144" s="1">
        <v>742</v>
      </c>
      <c r="L1144" s="1">
        <v>803</v>
      </c>
    </row>
    <row r="1145" spans="1:12" x14ac:dyDescent="0.3">
      <c r="A1145" s="2">
        <v>45919</v>
      </c>
      <c r="B1145" s="1" t="s">
        <v>247</v>
      </c>
      <c r="C1145" s="1" t="s">
        <v>32</v>
      </c>
      <c r="D1145" s="1" t="s">
        <v>45</v>
      </c>
      <c r="E1145" s="1" t="s">
        <v>30</v>
      </c>
      <c r="F1145" s="1" t="s">
        <v>31</v>
      </c>
      <c r="G1145" s="4">
        <v>19</v>
      </c>
      <c r="H1145" s="4">
        <v>6157</v>
      </c>
      <c r="I1145" s="6">
        <v>2265.2819591912025</v>
      </c>
      <c r="J1145" s="6">
        <f>表1[[#This Row],[销售金额]]-表1[[#This Row],[退款金额]]</f>
        <v>3891.7180408087975</v>
      </c>
      <c r="K1145" s="1">
        <v>600</v>
      </c>
      <c r="L1145" s="1">
        <v>549</v>
      </c>
    </row>
    <row r="1146" spans="1:12" x14ac:dyDescent="0.3">
      <c r="A1146" s="2">
        <v>45919</v>
      </c>
      <c r="B1146" s="1" t="s">
        <v>25</v>
      </c>
      <c r="C1146" s="1" t="s">
        <v>10</v>
      </c>
      <c r="D1146" s="1" t="s">
        <v>148</v>
      </c>
      <c r="E1146" s="1" t="s">
        <v>8</v>
      </c>
      <c r="F1146" s="1" t="s">
        <v>9</v>
      </c>
      <c r="G1146" s="4">
        <v>19</v>
      </c>
      <c r="H1146" s="4">
        <v>16009</v>
      </c>
      <c r="I1146" s="6">
        <v>15799.597941106655</v>
      </c>
      <c r="J1146" s="6">
        <f>表1[[#This Row],[销售金额]]-表1[[#This Row],[退款金额]]</f>
        <v>209.40205889334538</v>
      </c>
      <c r="K1146" s="1">
        <v>742</v>
      </c>
      <c r="L1146" s="1">
        <v>803</v>
      </c>
    </row>
    <row r="1147" spans="1:12" x14ac:dyDescent="0.3">
      <c r="A1147" s="2">
        <v>45919</v>
      </c>
      <c r="B1147" s="1" t="s">
        <v>247</v>
      </c>
      <c r="C1147" s="1" t="s">
        <v>32</v>
      </c>
      <c r="D1147" s="1" t="s">
        <v>45</v>
      </c>
      <c r="E1147" s="1" t="s">
        <v>30</v>
      </c>
      <c r="F1147" s="1" t="s">
        <v>31</v>
      </c>
      <c r="G1147" s="4">
        <v>19</v>
      </c>
      <c r="H1147" s="4">
        <v>2521</v>
      </c>
      <c r="I1147" s="6">
        <v>2265.2819591912025</v>
      </c>
      <c r="J1147" s="6">
        <f>表1[[#This Row],[销售金额]]-表1[[#This Row],[退款金额]]</f>
        <v>255.71804080879747</v>
      </c>
      <c r="K1147" s="1">
        <v>600</v>
      </c>
      <c r="L1147" s="1">
        <v>549</v>
      </c>
    </row>
    <row r="1148" spans="1:12" x14ac:dyDescent="0.3">
      <c r="A1148" s="2">
        <v>45919</v>
      </c>
      <c r="B1148" s="1" t="s">
        <v>25</v>
      </c>
      <c r="C1148" s="1" t="s">
        <v>10</v>
      </c>
      <c r="D1148" s="1" t="s">
        <v>148</v>
      </c>
      <c r="E1148" s="1" t="s">
        <v>8</v>
      </c>
      <c r="F1148" s="1" t="s">
        <v>9</v>
      </c>
      <c r="G1148" s="4">
        <v>19</v>
      </c>
      <c r="H1148" s="4">
        <v>17231</v>
      </c>
      <c r="I1148" s="6">
        <v>15799.597941106655</v>
      </c>
      <c r="J1148" s="6">
        <f>表1[[#This Row],[销售金额]]-表1[[#This Row],[退款金额]]</f>
        <v>1431.4020588933454</v>
      </c>
      <c r="K1148" s="1">
        <v>742</v>
      </c>
      <c r="L1148" s="1">
        <v>803</v>
      </c>
    </row>
    <row r="1149" spans="1:12" x14ac:dyDescent="0.3">
      <c r="A1149" s="2">
        <v>45919</v>
      </c>
      <c r="B1149" s="1" t="s">
        <v>247</v>
      </c>
      <c r="C1149" s="1" t="s">
        <v>32</v>
      </c>
      <c r="D1149" s="1" t="s">
        <v>45</v>
      </c>
      <c r="E1149" s="1" t="s">
        <v>30</v>
      </c>
      <c r="F1149" s="1" t="s">
        <v>31</v>
      </c>
      <c r="G1149" s="4">
        <v>19</v>
      </c>
      <c r="H1149" s="4">
        <v>6421</v>
      </c>
      <c r="I1149" s="6">
        <v>2265.2819591912025</v>
      </c>
      <c r="J1149" s="6">
        <f>表1[[#This Row],[销售金额]]-表1[[#This Row],[退款金额]]</f>
        <v>4155.718040808797</v>
      </c>
      <c r="K1149" s="1">
        <v>600</v>
      </c>
      <c r="L1149" s="1">
        <v>549</v>
      </c>
    </row>
    <row r="1150" spans="1:12" x14ac:dyDescent="0.3">
      <c r="A1150" s="2">
        <v>45919</v>
      </c>
      <c r="B1150" s="1" t="s">
        <v>25</v>
      </c>
      <c r="C1150" s="1" t="s">
        <v>10</v>
      </c>
      <c r="D1150" s="1" t="s">
        <v>148</v>
      </c>
      <c r="E1150" s="1" t="s">
        <v>8</v>
      </c>
      <c r="F1150" s="1" t="s">
        <v>9</v>
      </c>
      <c r="G1150" s="4">
        <v>19</v>
      </c>
      <c r="H1150" s="4">
        <v>16378</v>
      </c>
      <c r="I1150" s="6">
        <v>15799.597941106655</v>
      </c>
      <c r="J1150" s="6">
        <f>表1[[#This Row],[销售金额]]-表1[[#This Row],[退款金额]]</f>
        <v>578.40205889334538</v>
      </c>
      <c r="K1150" s="1">
        <v>742</v>
      </c>
      <c r="L1150" s="1">
        <v>803</v>
      </c>
    </row>
    <row r="1151" spans="1:12" x14ac:dyDescent="0.3">
      <c r="A1151" s="2">
        <v>45919</v>
      </c>
      <c r="B1151" s="1" t="s">
        <v>247</v>
      </c>
      <c r="C1151" s="1" t="s">
        <v>32</v>
      </c>
      <c r="D1151" s="1" t="s">
        <v>45</v>
      </c>
      <c r="E1151" s="1" t="s">
        <v>30</v>
      </c>
      <c r="F1151" s="1" t="s">
        <v>31</v>
      </c>
      <c r="G1151" s="4">
        <v>19</v>
      </c>
      <c r="H1151" s="4">
        <v>2965</v>
      </c>
      <c r="I1151" s="6">
        <v>2265.2819591912025</v>
      </c>
      <c r="J1151" s="6">
        <f>表1[[#This Row],[销售金额]]-表1[[#This Row],[退款金额]]</f>
        <v>699.71804080879747</v>
      </c>
      <c r="K1151" s="1">
        <v>600</v>
      </c>
      <c r="L1151" s="1">
        <v>549</v>
      </c>
    </row>
    <row r="1152" spans="1:12" x14ac:dyDescent="0.3">
      <c r="A1152" s="2">
        <v>45919</v>
      </c>
      <c r="B1152" s="1" t="s">
        <v>25</v>
      </c>
      <c r="C1152" s="1" t="s">
        <v>10</v>
      </c>
      <c r="D1152" s="1" t="s">
        <v>148</v>
      </c>
      <c r="E1152" s="1" t="s">
        <v>8</v>
      </c>
      <c r="F1152" s="1" t="s">
        <v>9</v>
      </c>
      <c r="G1152" s="4">
        <v>19</v>
      </c>
      <c r="H1152" s="4">
        <v>19344</v>
      </c>
      <c r="I1152" s="6">
        <v>15799.597941106655</v>
      </c>
      <c r="J1152" s="6">
        <f>表1[[#This Row],[销售金额]]-表1[[#This Row],[退款金额]]</f>
        <v>3544.4020588933454</v>
      </c>
      <c r="K1152" s="1">
        <v>742</v>
      </c>
      <c r="L1152" s="1">
        <v>803</v>
      </c>
    </row>
    <row r="1153" spans="1:12" x14ac:dyDescent="0.3">
      <c r="A1153" s="2">
        <v>45919</v>
      </c>
      <c r="B1153" s="1" t="s">
        <v>247</v>
      </c>
      <c r="C1153" s="1" t="s">
        <v>32</v>
      </c>
      <c r="D1153" s="1" t="s">
        <v>45</v>
      </c>
      <c r="E1153" s="1" t="s">
        <v>30</v>
      </c>
      <c r="F1153" s="1" t="s">
        <v>31</v>
      </c>
      <c r="G1153" s="4">
        <v>19</v>
      </c>
      <c r="H1153" s="4">
        <v>3934</v>
      </c>
      <c r="I1153" s="6">
        <v>2265.2819591912025</v>
      </c>
      <c r="J1153" s="6">
        <f>表1[[#This Row],[销售金额]]-表1[[#This Row],[退款金额]]</f>
        <v>1668.7180408087975</v>
      </c>
      <c r="K1153" s="1">
        <v>600</v>
      </c>
      <c r="L1153" s="1">
        <v>549</v>
      </c>
    </row>
    <row r="1154" spans="1:12" x14ac:dyDescent="0.3">
      <c r="A1154" s="2">
        <v>45919</v>
      </c>
      <c r="B1154" s="1" t="s">
        <v>25</v>
      </c>
      <c r="C1154" s="1" t="s">
        <v>10</v>
      </c>
      <c r="D1154" s="1" t="s">
        <v>148</v>
      </c>
      <c r="E1154" s="1" t="s">
        <v>8</v>
      </c>
      <c r="F1154" s="1" t="s">
        <v>9</v>
      </c>
      <c r="G1154" s="4">
        <v>19</v>
      </c>
      <c r="H1154" s="4">
        <v>18802</v>
      </c>
      <c r="I1154" s="6">
        <v>15799.597941106655</v>
      </c>
      <c r="J1154" s="6">
        <f>表1[[#This Row],[销售金额]]-表1[[#This Row],[退款金额]]</f>
        <v>3002.4020588933454</v>
      </c>
      <c r="K1154" s="1">
        <v>742</v>
      </c>
      <c r="L1154" s="1">
        <v>803</v>
      </c>
    </row>
    <row r="1155" spans="1:12" x14ac:dyDescent="0.3">
      <c r="A1155" s="2">
        <v>45919</v>
      </c>
      <c r="B1155" s="1" t="s">
        <v>247</v>
      </c>
      <c r="C1155" s="1" t="s">
        <v>32</v>
      </c>
      <c r="D1155" s="1" t="s">
        <v>45</v>
      </c>
      <c r="E1155" s="1" t="s">
        <v>30</v>
      </c>
      <c r="F1155" s="1" t="s">
        <v>31</v>
      </c>
      <c r="G1155" s="4">
        <v>19</v>
      </c>
      <c r="H1155" s="4">
        <v>3655</v>
      </c>
      <c r="I1155" s="6">
        <v>2265.2819591912025</v>
      </c>
      <c r="J1155" s="6">
        <f>表1[[#This Row],[销售金额]]-表1[[#This Row],[退款金额]]</f>
        <v>1389.7180408087975</v>
      </c>
      <c r="K1155" s="1">
        <v>600</v>
      </c>
      <c r="L1155" s="1">
        <v>549</v>
      </c>
    </row>
    <row r="1156" spans="1:12" x14ac:dyDescent="0.3">
      <c r="A1156" s="2">
        <v>45919</v>
      </c>
      <c r="B1156" s="1" t="s">
        <v>25</v>
      </c>
      <c r="C1156" s="1" t="s">
        <v>10</v>
      </c>
      <c r="D1156" s="1" t="s">
        <v>148</v>
      </c>
      <c r="E1156" s="1" t="s">
        <v>8</v>
      </c>
      <c r="F1156" s="1" t="s">
        <v>9</v>
      </c>
      <c r="G1156" s="4">
        <v>19</v>
      </c>
      <c r="H1156" s="4">
        <v>17713</v>
      </c>
      <c r="I1156" s="6">
        <v>15799.597941106655</v>
      </c>
      <c r="J1156" s="6">
        <f>表1[[#This Row],[销售金额]]-表1[[#This Row],[退款金额]]</f>
        <v>1913.4020588933454</v>
      </c>
      <c r="K1156" s="1">
        <v>742</v>
      </c>
      <c r="L1156" s="1">
        <v>803</v>
      </c>
    </row>
    <row r="1157" spans="1:12" x14ac:dyDescent="0.3">
      <c r="A1157" s="2">
        <v>45919</v>
      </c>
      <c r="B1157" s="1" t="s">
        <v>25</v>
      </c>
      <c r="C1157" s="1" t="s">
        <v>10</v>
      </c>
      <c r="D1157" s="1" t="s">
        <v>91</v>
      </c>
      <c r="E1157" s="1" t="s">
        <v>42</v>
      </c>
      <c r="F1157" s="1" t="s">
        <v>43</v>
      </c>
      <c r="G1157" s="4">
        <v>20</v>
      </c>
      <c r="H1157" s="4">
        <v>36699</v>
      </c>
      <c r="I1157" s="6">
        <v>32713.413284417475</v>
      </c>
      <c r="J1157" s="6">
        <f>表1[[#This Row],[销售金额]]-表1[[#This Row],[退款金额]]</f>
        <v>3985.5867155825254</v>
      </c>
      <c r="K1157" s="1">
        <v>552</v>
      </c>
      <c r="L1157" s="1">
        <v>918</v>
      </c>
    </row>
    <row r="1158" spans="1:12" x14ac:dyDescent="0.3">
      <c r="A1158" s="2">
        <v>45919</v>
      </c>
      <c r="B1158" s="1" t="s">
        <v>25</v>
      </c>
      <c r="C1158" s="1" t="s">
        <v>10</v>
      </c>
      <c r="D1158" s="1" t="s">
        <v>91</v>
      </c>
      <c r="E1158" s="1" t="s">
        <v>42</v>
      </c>
      <c r="F1158" s="1" t="s">
        <v>43</v>
      </c>
      <c r="G1158" s="4">
        <v>20</v>
      </c>
      <c r="H1158" s="4">
        <v>32896</v>
      </c>
      <c r="I1158" s="6">
        <v>32713.413284417475</v>
      </c>
      <c r="J1158" s="6">
        <f>表1[[#This Row],[销售金额]]-表1[[#This Row],[退款金额]]</f>
        <v>182.58671558252536</v>
      </c>
      <c r="K1158" s="1">
        <v>552</v>
      </c>
      <c r="L1158" s="1">
        <v>918</v>
      </c>
    </row>
    <row r="1159" spans="1:12" x14ac:dyDescent="0.3">
      <c r="A1159" s="2">
        <v>45919</v>
      </c>
      <c r="B1159" s="1" t="s">
        <v>25</v>
      </c>
      <c r="C1159" s="1" t="s">
        <v>10</v>
      </c>
      <c r="D1159" s="1" t="s">
        <v>91</v>
      </c>
      <c r="E1159" s="1" t="s">
        <v>42</v>
      </c>
      <c r="F1159" s="1" t="s">
        <v>43</v>
      </c>
      <c r="G1159" s="4">
        <v>20</v>
      </c>
      <c r="H1159" s="4">
        <v>35645</v>
      </c>
      <c r="I1159" s="6">
        <v>32713.413284417475</v>
      </c>
      <c r="J1159" s="6">
        <f>表1[[#This Row],[销售金额]]-表1[[#This Row],[退款金额]]</f>
        <v>2931.5867155825254</v>
      </c>
      <c r="K1159" s="1">
        <v>552</v>
      </c>
      <c r="L1159" s="1">
        <v>918</v>
      </c>
    </row>
    <row r="1160" spans="1:12" x14ac:dyDescent="0.3">
      <c r="A1160" s="2">
        <v>45919</v>
      </c>
      <c r="B1160" s="1" t="s">
        <v>25</v>
      </c>
      <c r="C1160" s="1" t="s">
        <v>10</v>
      </c>
      <c r="D1160" s="1" t="s">
        <v>91</v>
      </c>
      <c r="E1160" s="1" t="s">
        <v>42</v>
      </c>
      <c r="F1160" s="1" t="s">
        <v>43</v>
      </c>
      <c r="G1160" s="4">
        <v>20</v>
      </c>
      <c r="H1160" s="4">
        <v>36610</v>
      </c>
      <c r="I1160" s="6">
        <v>32713.413284417475</v>
      </c>
      <c r="J1160" s="6">
        <f>表1[[#This Row],[销售金额]]-表1[[#This Row],[退款金额]]</f>
        <v>3896.5867155825254</v>
      </c>
      <c r="K1160" s="1">
        <v>552</v>
      </c>
      <c r="L1160" s="1">
        <v>918</v>
      </c>
    </row>
    <row r="1161" spans="1:12" x14ac:dyDescent="0.3">
      <c r="A1161" s="2">
        <v>45919</v>
      </c>
      <c r="B1161" s="1" t="s">
        <v>25</v>
      </c>
      <c r="C1161" s="1" t="s">
        <v>10</v>
      </c>
      <c r="D1161" s="1" t="s">
        <v>91</v>
      </c>
      <c r="E1161" s="1" t="s">
        <v>42</v>
      </c>
      <c r="F1161" s="1" t="s">
        <v>43</v>
      </c>
      <c r="G1161" s="4">
        <v>20</v>
      </c>
      <c r="H1161" s="4">
        <v>36895</v>
      </c>
      <c r="I1161" s="6">
        <v>32713.413284417475</v>
      </c>
      <c r="J1161" s="6">
        <f>表1[[#This Row],[销售金额]]-表1[[#This Row],[退款金额]]</f>
        <v>4181.5867155825254</v>
      </c>
      <c r="K1161" s="1">
        <v>552</v>
      </c>
      <c r="L1161" s="1">
        <v>918</v>
      </c>
    </row>
    <row r="1162" spans="1:12" x14ac:dyDescent="0.3">
      <c r="A1162" s="2">
        <v>45919</v>
      </c>
      <c r="B1162" s="1" t="s">
        <v>25</v>
      </c>
      <c r="C1162" s="1" t="s">
        <v>10</v>
      </c>
      <c r="D1162" s="1" t="s">
        <v>91</v>
      </c>
      <c r="E1162" s="1" t="s">
        <v>42</v>
      </c>
      <c r="F1162" s="1" t="s">
        <v>43</v>
      </c>
      <c r="G1162" s="4">
        <v>20</v>
      </c>
      <c r="H1162" s="4">
        <v>33476</v>
      </c>
      <c r="I1162" s="6">
        <v>32713.413284417475</v>
      </c>
      <c r="J1162" s="6">
        <f>表1[[#This Row],[销售金额]]-表1[[#This Row],[退款金额]]</f>
        <v>762.58671558252536</v>
      </c>
      <c r="K1162" s="1">
        <v>552</v>
      </c>
      <c r="L1162" s="1">
        <v>918</v>
      </c>
    </row>
    <row r="1163" spans="1:12" x14ac:dyDescent="0.3">
      <c r="A1163" s="2">
        <v>45919</v>
      </c>
      <c r="B1163" s="1" t="s">
        <v>25</v>
      </c>
      <c r="C1163" s="1" t="s">
        <v>10</v>
      </c>
      <c r="D1163" s="1" t="s">
        <v>91</v>
      </c>
      <c r="E1163" s="1" t="s">
        <v>42</v>
      </c>
      <c r="F1163" s="1" t="s">
        <v>43</v>
      </c>
      <c r="G1163" s="4">
        <v>20</v>
      </c>
      <c r="H1163" s="4">
        <v>33194</v>
      </c>
      <c r="I1163" s="6">
        <v>32713.413284417475</v>
      </c>
      <c r="J1163" s="6">
        <f>表1[[#This Row],[销售金额]]-表1[[#This Row],[退款金额]]</f>
        <v>480.58671558252536</v>
      </c>
      <c r="K1163" s="1">
        <v>552</v>
      </c>
      <c r="L1163" s="1">
        <v>918</v>
      </c>
    </row>
    <row r="1164" spans="1:12" x14ac:dyDescent="0.3">
      <c r="A1164" s="2">
        <v>45919</v>
      </c>
      <c r="B1164" s="1" t="s">
        <v>25</v>
      </c>
      <c r="C1164" s="1" t="s">
        <v>10</v>
      </c>
      <c r="D1164" s="1" t="s">
        <v>91</v>
      </c>
      <c r="E1164" s="1" t="s">
        <v>42</v>
      </c>
      <c r="F1164" s="1" t="s">
        <v>43</v>
      </c>
      <c r="G1164" s="4">
        <v>20</v>
      </c>
      <c r="H1164" s="4">
        <v>34402</v>
      </c>
      <c r="I1164" s="6">
        <v>32713.413284417475</v>
      </c>
      <c r="J1164" s="6">
        <f>表1[[#This Row],[销售金额]]-表1[[#This Row],[退款金额]]</f>
        <v>1688.5867155825254</v>
      </c>
      <c r="K1164" s="1">
        <v>552</v>
      </c>
      <c r="L1164" s="1">
        <v>918</v>
      </c>
    </row>
    <row r="1165" spans="1:12" x14ac:dyDescent="0.3">
      <c r="A1165" s="2">
        <v>45919</v>
      </c>
      <c r="B1165" s="1" t="s">
        <v>25</v>
      </c>
      <c r="C1165" s="1" t="s">
        <v>10</v>
      </c>
      <c r="D1165" s="1" t="s">
        <v>91</v>
      </c>
      <c r="E1165" s="1" t="s">
        <v>42</v>
      </c>
      <c r="F1165" s="1" t="s">
        <v>43</v>
      </c>
      <c r="G1165" s="4">
        <v>20</v>
      </c>
      <c r="H1165" s="4">
        <v>34850</v>
      </c>
      <c r="I1165" s="6">
        <v>32713.413284417475</v>
      </c>
      <c r="J1165" s="6">
        <f>表1[[#This Row],[销售金额]]-表1[[#This Row],[退款金额]]</f>
        <v>2136.5867155825254</v>
      </c>
      <c r="K1165" s="1">
        <v>552</v>
      </c>
      <c r="L1165" s="1">
        <v>918</v>
      </c>
    </row>
    <row r="1166" spans="1:12" x14ac:dyDescent="0.3">
      <c r="A1166" s="2">
        <v>45919</v>
      </c>
      <c r="B1166" s="1" t="s">
        <v>25</v>
      </c>
      <c r="C1166" s="1" t="s">
        <v>10</v>
      </c>
      <c r="D1166" s="1" t="s">
        <v>91</v>
      </c>
      <c r="E1166" s="1" t="s">
        <v>42</v>
      </c>
      <c r="F1166" s="1" t="s">
        <v>43</v>
      </c>
      <c r="G1166" s="4">
        <v>20</v>
      </c>
      <c r="H1166" s="4">
        <v>33133</v>
      </c>
      <c r="I1166" s="6">
        <v>32713.413284417475</v>
      </c>
      <c r="J1166" s="6">
        <f>表1[[#This Row],[销售金额]]-表1[[#This Row],[退款金额]]</f>
        <v>419.58671558252536</v>
      </c>
      <c r="K1166" s="1">
        <v>552</v>
      </c>
      <c r="L1166" s="1">
        <v>918</v>
      </c>
    </row>
    <row r="1167" spans="1:12" x14ac:dyDescent="0.3">
      <c r="A1167" s="2">
        <v>45919</v>
      </c>
      <c r="B1167" s="1" t="s">
        <v>25</v>
      </c>
      <c r="C1167" s="1" t="s">
        <v>10</v>
      </c>
      <c r="D1167" s="1" t="s">
        <v>91</v>
      </c>
      <c r="E1167" s="1" t="s">
        <v>42</v>
      </c>
      <c r="F1167" s="1" t="s">
        <v>43</v>
      </c>
      <c r="G1167" s="4">
        <v>20</v>
      </c>
      <c r="H1167" s="4">
        <v>34359</v>
      </c>
      <c r="I1167" s="6">
        <v>32713.413284417475</v>
      </c>
      <c r="J1167" s="6">
        <f>表1[[#This Row],[销售金额]]-表1[[#This Row],[退款金额]]</f>
        <v>1645.5867155825254</v>
      </c>
      <c r="K1167" s="1">
        <v>552</v>
      </c>
      <c r="L1167" s="1">
        <v>918</v>
      </c>
    </row>
    <row r="1168" spans="1:12" x14ac:dyDescent="0.3">
      <c r="A1168" s="2">
        <v>45919</v>
      </c>
      <c r="B1168" s="1" t="s">
        <v>25</v>
      </c>
      <c r="C1168" s="1" t="s">
        <v>10</v>
      </c>
      <c r="D1168" s="1" t="s">
        <v>91</v>
      </c>
      <c r="E1168" s="1" t="s">
        <v>42</v>
      </c>
      <c r="F1168" s="1" t="s">
        <v>43</v>
      </c>
      <c r="G1168" s="4">
        <v>20</v>
      </c>
      <c r="H1168" s="4">
        <v>32793</v>
      </c>
      <c r="I1168" s="6">
        <v>32713.413284417475</v>
      </c>
      <c r="J1168" s="6">
        <f>表1[[#This Row],[销售金额]]-表1[[#This Row],[退款金额]]</f>
        <v>79.586715582525358</v>
      </c>
      <c r="K1168" s="1">
        <v>552</v>
      </c>
      <c r="L1168" s="1">
        <v>918</v>
      </c>
    </row>
    <row r="1169" spans="1:12" x14ac:dyDescent="0.3">
      <c r="A1169" s="2">
        <v>45919</v>
      </c>
      <c r="B1169" s="1" t="s">
        <v>25</v>
      </c>
      <c r="C1169" s="1" t="s">
        <v>10</v>
      </c>
      <c r="D1169" s="1" t="s">
        <v>91</v>
      </c>
      <c r="E1169" s="1" t="s">
        <v>42</v>
      </c>
      <c r="F1169" s="1" t="s">
        <v>43</v>
      </c>
      <c r="G1169" s="4">
        <v>20</v>
      </c>
      <c r="H1169" s="4">
        <v>33513</v>
      </c>
      <c r="I1169" s="6">
        <v>32713.413284417475</v>
      </c>
      <c r="J1169" s="6">
        <f>表1[[#This Row],[销售金额]]-表1[[#This Row],[退款金额]]</f>
        <v>799.58671558252536</v>
      </c>
      <c r="K1169" s="1">
        <v>552</v>
      </c>
      <c r="L1169" s="1">
        <v>918</v>
      </c>
    </row>
    <row r="1170" spans="1:12" x14ac:dyDescent="0.3">
      <c r="A1170" s="2">
        <v>45919</v>
      </c>
      <c r="B1170" s="1" t="s">
        <v>25</v>
      </c>
      <c r="C1170" s="1" t="s">
        <v>10</v>
      </c>
      <c r="D1170" s="1" t="s">
        <v>91</v>
      </c>
      <c r="E1170" s="1" t="s">
        <v>42</v>
      </c>
      <c r="F1170" s="1" t="s">
        <v>43</v>
      </c>
      <c r="G1170" s="4">
        <v>20</v>
      </c>
      <c r="H1170" s="4">
        <v>34853</v>
      </c>
      <c r="I1170" s="6">
        <v>32713.413284417475</v>
      </c>
      <c r="J1170" s="6">
        <f>表1[[#This Row],[销售金额]]-表1[[#This Row],[退款金额]]</f>
        <v>2139.5867155825254</v>
      </c>
      <c r="K1170" s="1">
        <v>552</v>
      </c>
      <c r="L1170" s="1">
        <v>918</v>
      </c>
    </row>
    <row r="1171" spans="1:12" x14ac:dyDescent="0.3">
      <c r="A1171" s="2">
        <v>45919</v>
      </c>
      <c r="B1171" s="1" t="s">
        <v>25</v>
      </c>
      <c r="C1171" s="1" t="s">
        <v>10</v>
      </c>
      <c r="D1171" s="1" t="s">
        <v>91</v>
      </c>
      <c r="E1171" s="1" t="s">
        <v>42</v>
      </c>
      <c r="F1171" s="1" t="s">
        <v>43</v>
      </c>
      <c r="G1171" s="4">
        <v>20</v>
      </c>
      <c r="H1171" s="4">
        <v>35224</v>
      </c>
      <c r="I1171" s="6">
        <v>32713.413284417475</v>
      </c>
      <c r="J1171" s="6">
        <f>表1[[#This Row],[销售金额]]-表1[[#This Row],[退款金额]]</f>
        <v>2510.5867155825254</v>
      </c>
      <c r="K1171" s="1">
        <v>552</v>
      </c>
      <c r="L1171" s="1">
        <v>918</v>
      </c>
    </row>
    <row r="1172" spans="1:12" x14ac:dyDescent="0.3">
      <c r="A1172" s="2">
        <v>45919</v>
      </c>
      <c r="B1172" s="1" t="s">
        <v>25</v>
      </c>
      <c r="C1172" s="1" t="s">
        <v>10</v>
      </c>
      <c r="D1172" s="1" t="s">
        <v>91</v>
      </c>
      <c r="E1172" s="1" t="s">
        <v>42</v>
      </c>
      <c r="F1172" s="1" t="s">
        <v>43</v>
      </c>
      <c r="G1172" s="4">
        <v>20</v>
      </c>
      <c r="H1172" s="4">
        <v>34585</v>
      </c>
      <c r="I1172" s="6">
        <v>32713.413284417475</v>
      </c>
      <c r="J1172" s="6">
        <f>表1[[#This Row],[销售金额]]-表1[[#This Row],[退款金额]]</f>
        <v>1871.5867155825254</v>
      </c>
      <c r="K1172" s="1">
        <v>552</v>
      </c>
      <c r="L1172" s="1">
        <v>918</v>
      </c>
    </row>
    <row r="1173" spans="1:12" x14ac:dyDescent="0.3">
      <c r="A1173" s="2">
        <v>45919</v>
      </c>
      <c r="B1173" s="1" t="s">
        <v>25</v>
      </c>
      <c r="C1173" s="1" t="s">
        <v>10</v>
      </c>
      <c r="D1173" s="1" t="s">
        <v>91</v>
      </c>
      <c r="E1173" s="1" t="s">
        <v>42</v>
      </c>
      <c r="F1173" s="1" t="s">
        <v>43</v>
      </c>
      <c r="G1173" s="4">
        <v>20</v>
      </c>
      <c r="H1173" s="4">
        <v>37571</v>
      </c>
      <c r="I1173" s="6">
        <v>32713.413284417475</v>
      </c>
      <c r="J1173" s="6">
        <f>表1[[#This Row],[销售金额]]-表1[[#This Row],[退款金额]]</f>
        <v>4857.5867155825254</v>
      </c>
      <c r="K1173" s="1">
        <v>552</v>
      </c>
      <c r="L1173" s="1">
        <v>918</v>
      </c>
    </row>
    <row r="1174" spans="1:12" x14ac:dyDescent="0.3">
      <c r="A1174" s="2">
        <v>45919</v>
      </c>
      <c r="B1174" s="1" t="s">
        <v>25</v>
      </c>
      <c r="C1174" s="1" t="s">
        <v>10</v>
      </c>
      <c r="D1174" s="1" t="s">
        <v>91</v>
      </c>
      <c r="E1174" s="1" t="s">
        <v>42</v>
      </c>
      <c r="F1174" s="1" t="s">
        <v>43</v>
      </c>
      <c r="G1174" s="4">
        <v>20</v>
      </c>
      <c r="H1174" s="4">
        <v>33154</v>
      </c>
      <c r="I1174" s="6">
        <v>32713.413284417475</v>
      </c>
      <c r="J1174" s="6">
        <f>表1[[#This Row],[销售金额]]-表1[[#This Row],[退款金额]]</f>
        <v>440.58671558252536</v>
      </c>
      <c r="K1174" s="1">
        <v>552</v>
      </c>
      <c r="L1174" s="1">
        <v>918</v>
      </c>
    </row>
    <row r="1175" spans="1:12" x14ac:dyDescent="0.3">
      <c r="A1175" s="2">
        <v>45919</v>
      </c>
      <c r="B1175" s="1" t="s">
        <v>25</v>
      </c>
      <c r="C1175" s="1" t="s">
        <v>10</v>
      </c>
      <c r="D1175" s="1" t="s">
        <v>91</v>
      </c>
      <c r="E1175" s="1" t="s">
        <v>42</v>
      </c>
      <c r="F1175" s="1" t="s">
        <v>43</v>
      </c>
      <c r="G1175" s="4">
        <v>20</v>
      </c>
      <c r="H1175" s="4">
        <v>36741</v>
      </c>
      <c r="I1175" s="6">
        <v>32713.413284417475</v>
      </c>
      <c r="J1175" s="6">
        <f>表1[[#This Row],[销售金额]]-表1[[#This Row],[退款金额]]</f>
        <v>4027.5867155825254</v>
      </c>
      <c r="K1175" s="1">
        <v>552</v>
      </c>
      <c r="L1175" s="1">
        <v>918</v>
      </c>
    </row>
    <row r="1176" spans="1:12" x14ac:dyDescent="0.3">
      <c r="A1176" s="2">
        <v>45919</v>
      </c>
      <c r="B1176" s="1" t="s">
        <v>25</v>
      </c>
      <c r="C1176" s="1" t="s">
        <v>10</v>
      </c>
      <c r="D1176" s="1" t="s">
        <v>91</v>
      </c>
      <c r="E1176" s="1" t="s">
        <v>42</v>
      </c>
      <c r="F1176" s="1" t="s">
        <v>43</v>
      </c>
      <c r="G1176" s="4">
        <v>20</v>
      </c>
      <c r="H1176" s="4">
        <v>32786</v>
      </c>
      <c r="I1176" s="6">
        <v>32713.413284417475</v>
      </c>
      <c r="J1176" s="6">
        <f>表1[[#This Row],[销售金额]]-表1[[#This Row],[退款金额]]</f>
        <v>72.586715582525358</v>
      </c>
      <c r="K1176" s="1">
        <v>552</v>
      </c>
      <c r="L1176" s="1">
        <v>918</v>
      </c>
    </row>
    <row r="1177" spans="1:12" x14ac:dyDescent="0.3">
      <c r="A1177" s="2">
        <v>45919</v>
      </c>
      <c r="B1177" s="1" t="s">
        <v>25</v>
      </c>
      <c r="C1177" s="1" t="s">
        <v>10</v>
      </c>
      <c r="D1177" s="1" t="s">
        <v>91</v>
      </c>
      <c r="E1177" s="1" t="s">
        <v>42</v>
      </c>
      <c r="F1177" s="1" t="s">
        <v>43</v>
      </c>
      <c r="G1177" s="4">
        <v>20</v>
      </c>
      <c r="H1177" s="4">
        <v>36450</v>
      </c>
      <c r="I1177" s="6">
        <v>32713.413284417475</v>
      </c>
      <c r="J1177" s="6">
        <f>表1[[#This Row],[销售金额]]-表1[[#This Row],[退款金额]]</f>
        <v>3736.5867155825254</v>
      </c>
      <c r="K1177" s="1">
        <v>552</v>
      </c>
      <c r="L1177" s="1">
        <v>918</v>
      </c>
    </row>
    <row r="1178" spans="1:12" x14ac:dyDescent="0.3">
      <c r="A1178" s="2">
        <v>45919</v>
      </c>
      <c r="B1178" s="1" t="s">
        <v>25</v>
      </c>
      <c r="C1178" s="1" t="s">
        <v>10</v>
      </c>
      <c r="D1178" s="1" t="s">
        <v>91</v>
      </c>
      <c r="E1178" s="1" t="s">
        <v>42</v>
      </c>
      <c r="F1178" s="1" t="s">
        <v>43</v>
      </c>
      <c r="G1178" s="4">
        <v>20</v>
      </c>
      <c r="H1178" s="4">
        <v>33842</v>
      </c>
      <c r="I1178" s="6">
        <v>32713.413284417475</v>
      </c>
      <c r="J1178" s="6">
        <f>表1[[#This Row],[销售金额]]-表1[[#This Row],[退款金额]]</f>
        <v>1128.5867155825254</v>
      </c>
      <c r="K1178" s="1">
        <v>552</v>
      </c>
      <c r="L1178" s="1">
        <v>918</v>
      </c>
    </row>
    <row r="1179" spans="1:12" x14ac:dyDescent="0.3">
      <c r="A1179" s="2">
        <v>45919</v>
      </c>
      <c r="B1179" s="1" t="s">
        <v>25</v>
      </c>
      <c r="C1179" s="1" t="s">
        <v>10</v>
      </c>
      <c r="D1179" s="1" t="s">
        <v>91</v>
      </c>
      <c r="E1179" s="1" t="s">
        <v>42</v>
      </c>
      <c r="F1179" s="1" t="s">
        <v>43</v>
      </c>
      <c r="G1179" s="4">
        <v>20</v>
      </c>
      <c r="H1179" s="4">
        <v>37487</v>
      </c>
      <c r="I1179" s="6">
        <v>32713.413284417475</v>
      </c>
      <c r="J1179" s="6">
        <f>表1[[#This Row],[销售金额]]-表1[[#This Row],[退款金额]]</f>
        <v>4773.5867155825254</v>
      </c>
      <c r="K1179" s="1">
        <v>552</v>
      </c>
      <c r="L1179" s="1">
        <v>918</v>
      </c>
    </row>
    <row r="1180" spans="1:12" x14ac:dyDescent="0.3">
      <c r="A1180" s="2">
        <v>45919</v>
      </c>
      <c r="B1180" s="1" t="s">
        <v>25</v>
      </c>
      <c r="C1180" s="1" t="s">
        <v>10</v>
      </c>
      <c r="D1180" s="1" t="s">
        <v>91</v>
      </c>
      <c r="E1180" s="1" t="s">
        <v>42</v>
      </c>
      <c r="F1180" s="1" t="s">
        <v>43</v>
      </c>
      <c r="G1180" s="4">
        <v>20</v>
      </c>
      <c r="H1180" s="4">
        <v>36766</v>
      </c>
      <c r="I1180" s="6">
        <v>32713.413284417475</v>
      </c>
      <c r="J1180" s="6">
        <f>表1[[#This Row],[销售金额]]-表1[[#This Row],[退款金额]]</f>
        <v>4052.5867155825254</v>
      </c>
      <c r="K1180" s="1">
        <v>552</v>
      </c>
      <c r="L1180" s="1">
        <v>918</v>
      </c>
    </row>
    <row r="1181" spans="1:12" x14ac:dyDescent="0.3">
      <c r="A1181" s="2">
        <v>45919</v>
      </c>
      <c r="B1181" s="1" t="s">
        <v>25</v>
      </c>
      <c r="C1181" s="1" t="s">
        <v>10</v>
      </c>
      <c r="D1181" s="1" t="s">
        <v>91</v>
      </c>
      <c r="E1181" s="1" t="s">
        <v>42</v>
      </c>
      <c r="F1181" s="1" t="s">
        <v>43</v>
      </c>
      <c r="G1181" s="4">
        <v>20</v>
      </c>
      <c r="H1181" s="4">
        <v>34661</v>
      </c>
      <c r="I1181" s="6">
        <v>32713.413284417475</v>
      </c>
      <c r="J1181" s="6">
        <f>表1[[#This Row],[销售金额]]-表1[[#This Row],[退款金额]]</f>
        <v>1947.5867155825254</v>
      </c>
      <c r="K1181" s="1">
        <v>552</v>
      </c>
      <c r="L1181" s="1">
        <v>918</v>
      </c>
    </row>
    <row r="1182" spans="1:12" x14ac:dyDescent="0.3">
      <c r="A1182" s="2">
        <v>45919</v>
      </c>
      <c r="B1182" s="1" t="s">
        <v>25</v>
      </c>
      <c r="C1182" s="1" t="s">
        <v>10</v>
      </c>
      <c r="D1182" s="1" t="s">
        <v>91</v>
      </c>
      <c r="E1182" s="1" t="s">
        <v>42</v>
      </c>
      <c r="F1182" s="1" t="s">
        <v>43</v>
      </c>
      <c r="G1182" s="4">
        <v>20</v>
      </c>
      <c r="H1182" s="4">
        <v>33073</v>
      </c>
      <c r="I1182" s="6">
        <v>32713.413284417475</v>
      </c>
      <c r="J1182" s="6">
        <f>表1[[#This Row],[销售金额]]-表1[[#This Row],[退款金额]]</f>
        <v>359.58671558252536</v>
      </c>
      <c r="K1182" s="1">
        <v>552</v>
      </c>
      <c r="L1182" s="1">
        <v>918</v>
      </c>
    </row>
    <row r="1183" spans="1:12" x14ac:dyDescent="0.3">
      <c r="A1183" s="2">
        <v>45919</v>
      </c>
      <c r="B1183" s="1" t="s">
        <v>25</v>
      </c>
      <c r="C1183" s="1" t="s">
        <v>10</v>
      </c>
      <c r="D1183" s="1" t="s">
        <v>91</v>
      </c>
      <c r="E1183" s="1" t="s">
        <v>42</v>
      </c>
      <c r="F1183" s="1" t="s">
        <v>43</v>
      </c>
      <c r="G1183" s="4">
        <v>20</v>
      </c>
      <c r="H1183" s="4">
        <v>33526</v>
      </c>
      <c r="I1183" s="6">
        <v>32713.413284417475</v>
      </c>
      <c r="J1183" s="6">
        <f>表1[[#This Row],[销售金额]]-表1[[#This Row],[退款金额]]</f>
        <v>812.58671558252536</v>
      </c>
      <c r="K1183" s="1">
        <v>552</v>
      </c>
      <c r="L1183" s="1">
        <v>918</v>
      </c>
    </row>
    <row r="1184" spans="1:12" x14ac:dyDescent="0.3">
      <c r="A1184" s="2">
        <v>45920</v>
      </c>
      <c r="B1184" s="1" t="s">
        <v>11</v>
      </c>
      <c r="C1184" s="1" t="s">
        <v>32</v>
      </c>
      <c r="D1184" s="1" t="s">
        <v>119</v>
      </c>
      <c r="E1184" s="1" t="s">
        <v>38</v>
      </c>
      <c r="F1184" s="1" t="s">
        <v>39</v>
      </c>
      <c r="G1184" s="4">
        <v>1</v>
      </c>
      <c r="H1184" s="4">
        <v>3216</v>
      </c>
      <c r="I1184" s="6">
        <v>31.812165097402616</v>
      </c>
      <c r="J1184" s="6">
        <f>表1[[#This Row],[销售金额]]-表1[[#This Row],[退款金额]]</f>
        <v>3184.1878349025974</v>
      </c>
      <c r="K1184" s="1">
        <v>336</v>
      </c>
      <c r="L1184" s="1">
        <v>566</v>
      </c>
    </row>
    <row r="1185" spans="1:12" x14ac:dyDescent="0.3">
      <c r="A1185" s="2">
        <v>45920</v>
      </c>
      <c r="B1185" s="1" t="s">
        <v>11</v>
      </c>
      <c r="C1185" s="1" t="s">
        <v>32</v>
      </c>
      <c r="D1185" s="1" t="s">
        <v>119</v>
      </c>
      <c r="E1185" s="1" t="s">
        <v>38</v>
      </c>
      <c r="F1185" s="1" t="s">
        <v>39</v>
      </c>
      <c r="G1185" s="4">
        <v>1</v>
      </c>
      <c r="H1185" s="4">
        <v>4259</v>
      </c>
      <c r="I1185" s="6">
        <v>31.812165097402616</v>
      </c>
      <c r="J1185" s="6">
        <f>表1[[#This Row],[销售金额]]-表1[[#This Row],[退款金额]]</f>
        <v>4227.1878349025974</v>
      </c>
      <c r="K1185" s="1">
        <v>336</v>
      </c>
      <c r="L1185" s="1">
        <v>566</v>
      </c>
    </row>
    <row r="1186" spans="1:12" x14ac:dyDescent="0.3">
      <c r="A1186" s="2">
        <v>45920</v>
      </c>
      <c r="B1186" s="1" t="s">
        <v>11</v>
      </c>
      <c r="C1186" s="1" t="s">
        <v>32</v>
      </c>
      <c r="D1186" s="1" t="s">
        <v>119</v>
      </c>
      <c r="E1186" s="1" t="s">
        <v>38</v>
      </c>
      <c r="F1186" s="1" t="s">
        <v>39</v>
      </c>
      <c r="G1186" s="4">
        <v>1</v>
      </c>
      <c r="H1186" s="4">
        <v>127</v>
      </c>
      <c r="I1186" s="6">
        <v>31.812165097402616</v>
      </c>
      <c r="J1186" s="6">
        <f>表1[[#This Row],[销售金额]]-表1[[#This Row],[退款金额]]</f>
        <v>95.187834902597388</v>
      </c>
      <c r="K1186" s="1">
        <v>336</v>
      </c>
      <c r="L1186" s="1">
        <v>566</v>
      </c>
    </row>
    <row r="1187" spans="1:12" x14ac:dyDescent="0.3">
      <c r="A1187" s="2">
        <v>45920</v>
      </c>
      <c r="B1187" s="1" t="s">
        <v>11</v>
      </c>
      <c r="C1187" s="1" t="s">
        <v>32</v>
      </c>
      <c r="D1187" s="1" t="s">
        <v>119</v>
      </c>
      <c r="E1187" s="1" t="s">
        <v>38</v>
      </c>
      <c r="F1187" s="1" t="s">
        <v>39</v>
      </c>
      <c r="G1187" s="4">
        <v>1</v>
      </c>
      <c r="H1187" s="4">
        <v>2599</v>
      </c>
      <c r="I1187" s="6">
        <v>31.812165097402616</v>
      </c>
      <c r="J1187" s="6">
        <f>表1[[#This Row],[销售金额]]-表1[[#This Row],[退款金额]]</f>
        <v>2567.1878349025974</v>
      </c>
      <c r="K1187" s="1">
        <v>336</v>
      </c>
      <c r="L1187" s="1">
        <v>566</v>
      </c>
    </row>
    <row r="1188" spans="1:12" x14ac:dyDescent="0.3">
      <c r="A1188" s="2">
        <v>45920</v>
      </c>
      <c r="B1188" s="1" t="s">
        <v>11</v>
      </c>
      <c r="C1188" s="1" t="s">
        <v>32</v>
      </c>
      <c r="D1188" s="1" t="s">
        <v>119</v>
      </c>
      <c r="E1188" s="1" t="s">
        <v>38</v>
      </c>
      <c r="F1188" s="1" t="s">
        <v>39</v>
      </c>
      <c r="G1188" s="4">
        <v>1</v>
      </c>
      <c r="H1188" s="4">
        <v>3768</v>
      </c>
      <c r="I1188" s="6">
        <v>31.812165097402616</v>
      </c>
      <c r="J1188" s="6">
        <f>表1[[#This Row],[销售金额]]-表1[[#This Row],[退款金额]]</f>
        <v>3736.1878349025974</v>
      </c>
      <c r="K1188" s="1">
        <v>336</v>
      </c>
      <c r="L1188" s="1">
        <v>566</v>
      </c>
    </row>
    <row r="1189" spans="1:12" x14ac:dyDescent="0.3">
      <c r="A1189" s="2">
        <v>45920</v>
      </c>
      <c r="B1189" s="1" t="s">
        <v>11</v>
      </c>
      <c r="C1189" s="1" t="s">
        <v>32</v>
      </c>
      <c r="D1189" s="1" t="s">
        <v>119</v>
      </c>
      <c r="E1189" s="1" t="s">
        <v>38</v>
      </c>
      <c r="F1189" s="1" t="s">
        <v>39</v>
      </c>
      <c r="G1189" s="4">
        <v>1</v>
      </c>
      <c r="H1189" s="4">
        <v>654</v>
      </c>
      <c r="I1189" s="6">
        <v>31.812165097402616</v>
      </c>
      <c r="J1189" s="6">
        <f>表1[[#This Row],[销售金额]]-表1[[#This Row],[退款金额]]</f>
        <v>622.18783490259739</v>
      </c>
      <c r="K1189" s="1">
        <v>336</v>
      </c>
      <c r="L1189" s="1">
        <v>566</v>
      </c>
    </row>
    <row r="1190" spans="1:12" x14ac:dyDescent="0.3">
      <c r="A1190" s="2">
        <v>45920</v>
      </c>
      <c r="B1190" s="1" t="s">
        <v>11</v>
      </c>
      <c r="C1190" s="1" t="s">
        <v>32</v>
      </c>
      <c r="D1190" s="1" t="s">
        <v>119</v>
      </c>
      <c r="E1190" s="1" t="s">
        <v>38</v>
      </c>
      <c r="F1190" s="1" t="s">
        <v>39</v>
      </c>
      <c r="G1190" s="4">
        <v>1</v>
      </c>
      <c r="H1190" s="4">
        <v>4343</v>
      </c>
      <c r="I1190" s="6">
        <v>31.812165097402616</v>
      </c>
      <c r="J1190" s="6">
        <f>表1[[#This Row],[销售金额]]-表1[[#This Row],[退款金额]]</f>
        <v>4311.1878349025974</v>
      </c>
      <c r="K1190" s="1">
        <v>336</v>
      </c>
      <c r="L1190" s="1">
        <v>566</v>
      </c>
    </row>
    <row r="1191" spans="1:12" x14ac:dyDescent="0.3">
      <c r="A1191" s="2">
        <v>45920</v>
      </c>
      <c r="B1191" s="1" t="s">
        <v>11</v>
      </c>
      <c r="C1191" s="1" t="s">
        <v>32</v>
      </c>
      <c r="D1191" s="1" t="s">
        <v>119</v>
      </c>
      <c r="E1191" s="1" t="s">
        <v>38</v>
      </c>
      <c r="F1191" s="1" t="s">
        <v>39</v>
      </c>
      <c r="G1191" s="4">
        <v>1</v>
      </c>
      <c r="H1191" s="4">
        <v>274</v>
      </c>
      <c r="I1191" s="6">
        <v>31.812165097402616</v>
      </c>
      <c r="J1191" s="6">
        <f>表1[[#This Row],[销售金额]]-表1[[#This Row],[退款金额]]</f>
        <v>242.18783490259739</v>
      </c>
      <c r="K1191" s="1">
        <v>336</v>
      </c>
      <c r="L1191" s="1">
        <v>566</v>
      </c>
    </row>
    <row r="1192" spans="1:12" x14ac:dyDescent="0.3">
      <c r="A1192" s="2">
        <v>45920</v>
      </c>
      <c r="B1192" s="1" t="s">
        <v>11</v>
      </c>
      <c r="C1192" s="1" t="s">
        <v>32</v>
      </c>
      <c r="D1192" s="1" t="s">
        <v>119</v>
      </c>
      <c r="E1192" s="1" t="s">
        <v>38</v>
      </c>
      <c r="F1192" s="1" t="s">
        <v>39</v>
      </c>
      <c r="G1192" s="4">
        <v>1</v>
      </c>
      <c r="H1192" s="4">
        <v>1869</v>
      </c>
      <c r="I1192" s="6">
        <v>31.812165097402616</v>
      </c>
      <c r="J1192" s="6">
        <f>表1[[#This Row],[销售金额]]-表1[[#This Row],[退款金额]]</f>
        <v>1837.1878349025974</v>
      </c>
      <c r="K1192" s="1">
        <v>336</v>
      </c>
      <c r="L1192" s="1">
        <v>566</v>
      </c>
    </row>
    <row r="1193" spans="1:12" x14ac:dyDescent="0.3">
      <c r="A1193" s="2">
        <v>45920</v>
      </c>
      <c r="B1193" s="1" t="s">
        <v>250</v>
      </c>
      <c r="C1193" s="1" t="s">
        <v>10</v>
      </c>
      <c r="D1193" s="1" t="s">
        <v>151</v>
      </c>
      <c r="E1193" s="1" t="s">
        <v>8</v>
      </c>
      <c r="F1193" s="1" t="s">
        <v>9</v>
      </c>
      <c r="G1193" s="4">
        <v>5</v>
      </c>
      <c r="H1193" s="4">
        <v>6046</v>
      </c>
      <c r="I1193" s="6">
        <v>3333.0473874559184</v>
      </c>
      <c r="J1193" s="6">
        <f>表1[[#This Row],[销售金额]]-表1[[#This Row],[退款金额]]</f>
        <v>2712.9526125440816</v>
      </c>
      <c r="K1193" s="1">
        <v>137</v>
      </c>
      <c r="L1193" s="1">
        <v>817</v>
      </c>
    </row>
    <row r="1194" spans="1:12" x14ac:dyDescent="0.3">
      <c r="A1194" s="2">
        <v>45920</v>
      </c>
      <c r="B1194" s="1" t="s">
        <v>250</v>
      </c>
      <c r="C1194" s="1" t="s">
        <v>10</v>
      </c>
      <c r="D1194" s="1" t="s">
        <v>151</v>
      </c>
      <c r="E1194" s="1" t="s">
        <v>8</v>
      </c>
      <c r="F1194" s="1" t="s">
        <v>9</v>
      </c>
      <c r="G1194" s="4">
        <v>5</v>
      </c>
      <c r="H1194" s="4">
        <v>5482</v>
      </c>
      <c r="I1194" s="6">
        <v>3333.0473874559184</v>
      </c>
      <c r="J1194" s="6">
        <f>表1[[#This Row],[销售金额]]-表1[[#This Row],[退款金额]]</f>
        <v>2148.9526125440816</v>
      </c>
      <c r="K1194" s="1">
        <v>137</v>
      </c>
      <c r="L1194" s="1">
        <v>817</v>
      </c>
    </row>
    <row r="1195" spans="1:12" x14ac:dyDescent="0.3">
      <c r="A1195" s="2">
        <v>45920</v>
      </c>
      <c r="B1195" s="1" t="s">
        <v>250</v>
      </c>
      <c r="C1195" s="1" t="s">
        <v>10</v>
      </c>
      <c r="D1195" s="1" t="s">
        <v>151</v>
      </c>
      <c r="E1195" s="1" t="s">
        <v>8</v>
      </c>
      <c r="F1195" s="1" t="s">
        <v>9</v>
      </c>
      <c r="G1195" s="4">
        <v>5</v>
      </c>
      <c r="H1195" s="4">
        <v>4222</v>
      </c>
      <c r="I1195" s="6">
        <v>3333.0473874559184</v>
      </c>
      <c r="J1195" s="6">
        <f>表1[[#This Row],[销售金额]]-表1[[#This Row],[退款金额]]</f>
        <v>888.9526125440816</v>
      </c>
      <c r="K1195" s="1">
        <v>137</v>
      </c>
      <c r="L1195" s="1">
        <v>817</v>
      </c>
    </row>
    <row r="1196" spans="1:12" x14ac:dyDescent="0.3">
      <c r="A1196" s="2">
        <v>45920</v>
      </c>
      <c r="B1196" s="1" t="s">
        <v>250</v>
      </c>
      <c r="C1196" s="1" t="s">
        <v>10</v>
      </c>
      <c r="D1196" s="1" t="s">
        <v>151</v>
      </c>
      <c r="E1196" s="1" t="s">
        <v>8</v>
      </c>
      <c r="F1196" s="1" t="s">
        <v>9</v>
      </c>
      <c r="G1196" s="4">
        <v>5</v>
      </c>
      <c r="H1196" s="4">
        <v>7456</v>
      </c>
      <c r="I1196" s="6">
        <v>3333.0473874559184</v>
      </c>
      <c r="J1196" s="6">
        <f>表1[[#This Row],[销售金额]]-表1[[#This Row],[退款金额]]</f>
        <v>4122.9526125440816</v>
      </c>
      <c r="K1196" s="1">
        <v>137</v>
      </c>
      <c r="L1196" s="1">
        <v>817</v>
      </c>
    </row>
    <row r="1197" spans="1:12" x14ac:dyDescent="0.3">
      <c r="A1197" s="2">
        <v>45920</v>
      </c>
      <c r="B1197" s="1" t="s">
        <v>250</v>
      </c>
      <c r="C1197" s="1" t="s">
        <v>10</v>
      </c>
      <c r="D1197" s="1" t="s">
        <v>151</v>
      </c>
      <c r="E1197" s="1" t="s">
        <v>8</v>
      </c>
      <c r="F1197" s="1" t="s">
        <v>9</v>
      </c>
      <c r="G1197" s="4">
        <v>5</v>
      </c>
      <c r="H1197" s="4">
        <v>5506</v>
      </c>
      <c r="I1197" s="6">
        <v>3333.0473874559184</v>
      </c>
      <c r="J1197" s="6">
        <f>表1[[#This Row],[销售金额]]-表1[[#This Row],[退款金额]]</f>
        <v>2172.9526125440816</v>
      </c>
      <c r="K1197" s="1">
        <v>137</v>
      </c>
      <c r="L1197" s="1">
        <v>817</v>
      </c>
    </row>
    <row r="1198" spans="1:12" x14ac:dyDescent="0.3">
      <c r="A1198" s="2">
        <v>45920</v>
      </c>
      <c r="B1198" s="1" t="s">
        <v>250</v>
      </c>
      <c r="C1198" s="1" t="s">
        <v>10</v>
      </c>
      <c r="D1198" s="1" t="s">
        <v>151</v>
      </c>
      <c r="E1198" s="1" t="s">
        <v>8</v>
      </c>
      <c r="F1198" s="1" t="s">
        <v>9</v>
      </c>
      <c r="G1198" s="4">
        <v>5</v>
      </c>
      <c r="H1198" s="4">
        <v>4748</v>
      </c>
      <c r="I1198" s="6">
        <v>3333.0473874559184</v>
      </c>
      <c r="J1198" s="6">
        <f>表1[[#This Row],[销售金额]]-表1[[#This Row],[退款金额]]</f>
        <v>1414.9526125440816</v>
      </c>
      <c r="K1198" s="1">
        <v>137</v>
      </c>
      <c r="L1198" s="1">
        <v>817</v>
      </c>
    </row>
    <row r="1199" spans="1:12" x14ac:dyDescent="0.3">
      <c r="A1199" s="2">
        <v>45920</v>
      </c>
      <c r="B1199" s="1" t="s">
        <v>250</v>
      </c>
      <c r="C1199" s="1" t="s">
        <v>10</v>
      </c>
      <c r="D1199" s="1" t="s">
        <v>151</v>
      </c>
      <c r="E1199" s="1" t="s">
        <v>8</v>
      </c>
      <c r="F1199" s="1" t="s">
        <v>9</v>
      </c>
      <c r="G1199" s="4">
        <v>5</v>
      </c>
      <c r="H1199" s="4">
        <v>7080</v>
      </c>
      <c r="I1199" s="6">
        <v>3333.0473874559184</v>
      </c>
      <c r="J1199" s="6">
        <f>表1[[#This Row],[销售金额]]-表1[[#This Row],[退款金额]]</f>
        <v>3746.9526125440816</v>
      </c>
      <c r="K1199" s="1">
        <v>137</v>
      </c>
      <c r="L1199" s="1">
        <v>817</v>
      </c>
    </row>
    <row r="1200" spans="1:12" x14ac:dyDescent="0.3">
      <c r="A1200" s="2">
        <v>45920</v>
      </c>
      <c r="B1200" s="1" t="s">
        <v>250</v>
      </c>
      <c r="C1200" s="1" t="s">
        <v>10</v>
      </c>
      <c r="D1200" s="1" t="s">
        <v>151</v>
      </c>
      <c r="E1200" s="1" t="s">
        <v>8</v>
      </c>
      <c r="F1200" s="1" t="s">
        <v>9</v>
      </c>
      <c r="G1200" s="4">
        <v>5</v>
      </c>
      <c r="H1200" s="4">
        <v>7537</v>
      </c>
      <c r="I1200" s="6">
        <v>3333.0473874559184</v>
      </c>
      <c r="J1200" s="6">
        <f>表1[[#This Row],[销售金额]]-表1[[#This Row],[退款金额]]</f>
        <v>4203.9526125440816</v>
      </c>
      <c r="K1200" s="1">
        <v>137</v>
      </c>
      <c r="L1200" s="1">
        <v>817</v>
      </c>
    </row>
    <row r="1201" spans="1:12" x14ac:dyDescent="0.3">
      <c r="A1201" s="2">
        <v>45920</v>
      </c>
      <c r="B1201" s="1" t="s">
        <v>250</v>
      </c>
      <c r="C1201" s="1" t="s">
        <v>10</v>
      </c>
      <c r="D1201" s="1" t="s">
        <v>151</v>
      </c>
      <c r="E1201" s="1" t="s">
        <v>8</v>
      </c>
      <c r="F1201" s="1" t="s">
        <v>9</v>
      </c>
      <c r="G1201" s="4">
        <v>5</v>
      </c>
      <c r="H1201" s="4">
        <v>5095</v>
      </c>
      <c r="I1201" s="6">
        <v>3333.0473874559184</v>
      </c>
      <c r="J1201" s="6">
        <f>表1[[#This Row],[销售金额]]-表1[[#This Row],[退款金额]]</f>
        <v>1761.9526125440816</v>
      </c>
      <c r="K1201" s="1">
        <v>137</v>
      </c>
      <c r="L1201" s="1">
        <v>817</v>
      </c>
    </row>
    <row r="1202" spans="1:12" x14ac:dyDescent="0.3">
      <c r="A1202" s="2">
        <v>45920</v>
      </c>
      <c r="B1202" s="1" t="s">
        <v>247</v>
      </c>
      <c r="C1202" s="1" t="s">
        <v>10</v>
      </c>
      <c r="D1202" s="1" t="s">
        <v>92</v>
      </c>
      <c r="E1202" s="1" t="s">
        <v>42</v>
      </c>
      <c r="F1202" s="1" t="s">
        <v>43</v>
      </c>
      <c r="G1202" s="4">
        <v>6</v>
      </c>
      <c r="H1202" s="4">
        <v>7121</v>
      </c>
      <c r="I1202" s="6">
        <v>4312.0538741191267</v>
      </c>
      <c r="J1202" s="6">
        <f>表1[[#This Row],[销售金额]]-表1[[#This Row],[退款金额]]</f>
        <v>2808.9461258808733</v>
      </c>
      <c r="K1202" s="1">
        <v>934</v>
      </c>
      <c r="L1202" s="1">
        <v>914</v>
      </c>
    </row>
    <row r="1203" spans="1:12" x14ac:dyDescent="0.3">
      <c r="A1203" s="2">
        <v>45920</v>
      </c>
      <c r="B1203" s="1" t="s">
        <v>247</v>
      </c>
      <c r="C1203" s="1" t="s">
        <v>10</v>
      </c>
      <c r="D1203" s="1" t="s">
        <v>92</v>
      </c>
      <c r="E1203" s="1" t="s">
        <v>42</v>
      </c>
      <c r="F1203" s="1" t="s">
        <v>43</v>
      </c>
      <c r="G1203" s="4">
        <v>6</v>
      </c>
      <c r="H1203" s="4">
        <v>5360</v>
      </c>
      <c r="I1203" s="6">
        <v>4312.0538741191267</v>
      </c>
      <c r="J1203" s="6">
        <f>表1[[#This Row],[销售金额]]-表1[[#This Row],[退款金额]]</f>
        <v>1047.9461258808733</v>
      </c>
      <c r="K1203" s="1">
        <v>934</v>
      </c>
      <c r="L1203" s="1">
        <v>914</v>
      </c>
    </row>
    <row r="1204" spans="1:12" x14ac:dyDescent="0.3">
      <c r="A1204" s="2">
        <v>45920</v>
      </c>
      <c r="B1204" s="1" t="s">
        <v>247</v>
      </c>
      <c r="C1204" s="1" t="s">
        <v>10</v>
      </c>
      <c r="D1204" s="1" t="s">
        <v>92</v>
      </c>
      <c r="E1204" s="1" t="s">
        <v>42</v>
      </c>
      <c r="F1204" s="1" t="s">
        <v>43</v>
      </c>
      <c r="G1204" s="4">
        <v>6</v>
      </c>
      <c r="H1204" s="4">
        <v>6516</v>
      </c>
      <c r="I1204" s="6">
        <v>4312.0538741191267</v>
      </c>
      <c r="J1204" s="6">
        <f>表1[[#This Row],[销售金额]]-表1[[#This Row],[退款金额]]</f>
        <v>2203.9461258808733</v>
      </c>
      <c r="K1204" s="1">
        <v>934</v>
      </c>
      <c r="L1204" s="1">
        <v>914</v>
      </c>
    </row>
    <row r="1205" spans="1:12" x14ac:dyDescent="0.3">
      <c r="A1205" s="2">
        <v>45920</v>
      </c>
      <c r="B1205" s="1" t="s">
        <v>247</v>
      </c>
      <c r="C1205" s="1" t="s">
        <v>10</v>
      </c>
      <c r="D1205" s="1" t="s">
        <v>92</v>
      </c>
      <c r="E1205" s="1" t="s">
        <v>42</v>
      </c>
      <c r="F1205" s="1" t="s">
        <v>43</v>
      </c>
      <c r="G1205" s="4">
        <v>6</v>
      </c>
      <c r="H1205" s="4">
        <v>4937</v>
      </c>
      <c r="I1205" s="6">
        <v>4312.0538741191267</v>
      </c>
      <c r="J1205" s="6">
        <f>表1[[#This Row],[销售金额]]-表1[[#This Row],[退款金额]]</f>
        <v>624.9461258808733</v>
      </c>
      <c r="K1205" s="1">
        <v>934</v>
      </c>
      <c r="L1205" s="1">
        <v>914</v>
      </c>
    </row>
    <row r="1206" spans="1:12" x14ac:dyDescent="0.3">
      <c r="A1206" s="2">
        <v>45920</v>
      </c>
      <c r="B1206" s="1" t="s">
        <v>247</v>
      </c>
      <c r="C1206" s="1" t="s">
        <v>10</v>
      </c>
      <c r="D1206" s="1" t="s">
        <v>92</v>
      </c>
      <c r="E1206" s="1" t="s">
        <v>42</v>
      </c>
      <c r="F1206" s="1" t="s">
        <v>43</v>
      </c>
      <c r="G1206" s="4">
        <v>6</v>
      </c>
      <c r="H1206" s="4">
        <v>4931</v>
      </c>
      <c r="I1206" s="6">
        <v>4312.0538741191267</v>
      </c>
      <c r="J1206" s="6">
        <f>表1[[#This Row],[销售金额]]-表1[[#This Row],[退款金额]]</f>
        <v>618.9461258808733</v>
      </c>
      <c r="K1206" s="1">
        <v>934</v>
      </c>
      <c r="L1206" s="1">
        <v>914</v>
      </c>
    </row>
    <row r="1207" spans="1:12" x14ac:dyDescent="0.3">
      <c r="A1207" s="2">
        <v>45920</v>
      </c>
      <c r="B1207" s="1" t="s">
        <v>247</v>
      </c>
      <c r="C1207" s="1" t="s">
        <v>10</v>
      </c>
      <c r="D1207" s="1" t="s">
        <v>92</v>
      </c>
      <c r="E1207" s="1" t="s">
        <v>42</v>
      </c>
      <c r="F1207" s="1" t="s">
        <v>43</v>
      </c>
      <c r="G1207" s="4">
        <v>6</v>
      </c>
      <c r="H1207" s="4">
        <v>5932</v>
      </c>
      <c r="I1207" s="6">
        <v>4312.0538741191267</v>
      </c>
      <c r="J1207" s="6">
        <f>表1[[#This Row],[销售金额]]-表1[[#This Row],[退款金额]]</f>
        <v>1619.9461258808733</v>
      </c>
      <c r="K1207" s="1">
        <v>934</v>
      </c>
      <c r="L1207" s="1">
        <v>914</v>
      </c>
    </row>
    <row r="1208" spans="1:12" x14ac:dyDescent="0.3">
      <c r="A1208" s="2">
        <v>45920</v>
      </c>
      <c r="B1208" s="1" t="s">
        <v>247</v>
      </c>
      <c r="C1208" s="1" t="s">
        <v>10</v>
      </c>
      <c r="D1208" s="1" t="s">
        <v>92</v>
      </c>
      <c r="E1208" s="1" t="s">
        <v>42</v>
      </c>
      <c r="F1208" s="1" t="s">
        <v>43</v>
      </c>
      <c r="G1208" s="4">
        <v>6</v>
      </c>
      <c r="H1208" s="4">
        <v>5988</v>
      </c>
      <c r="I1208" s="6">
        <v>4312.0538741191267</v>
      </c>
      <c r="J1208" s="6">
        <f>表1[[#This Row],[销售金额]]-表1[[#This Row],[退款金额]]</f>
        <v>1675.9461258808733</v>
      </c>
      <c r="K1208" s="1">
        <v>934</v>
      </c>
      <c r="L1208" s="1">
        <v>914</v>
      </c>
    </row>
    <row r="1209" spans="1:12" x14ac:dyDescent="0.3">
      <c r="A1209" s="2">
        <v>45920</v>
      </c>
      <c r="B1209" s="1" t="s">
        <v>247</v>
      </c>
      <c r="C1209" s="1" t="s">
        <v>10</v>
      </c>
      <c r="D1209" s="1" t="s">
        <v>92</v>
      </c>
      <c r="E1209" s="1" t="s">
        <v>42</v>
      </c>
      <c r="F1209" s="1" t="s">
        <v>43</v>
      </c>
      <c r="G1209" s="4">
        <v>6</v>
      </c>
      <c r="H1209" s="4">
        <v>6374</v>
      </c>
      <c r="I1209" s="6">
        <v>4312.0538741191267</v>
      </c>
      <c r="J1209" s="6">
        <f>表1[[#This Row],[销售金额]]-表1[[#This Row],[退款金额]]</f>
        <v>2061.9461258808733</v>
      </c>
      <c r="K1209" s="1">
        <v>934</v>
      </c>
      <c r="L1209" s="1">
        <v>914</v>
      </c>
    </row>
    <row r="1210" spans="1:12" x14ac:dyDescent="0.3">
      <c r="A1210" s="2">
        <v>45920</v>
      </c>
      <c r="B1210" s="1" t="s">
        <v>247</v>
      </c>
      <c r="C1210" s="1" t="s">
        <v>10</v>
      </c>
      <c r="D1210" s="1" t="s">
        <v>92</v>
      </c>
      <c r="E1210" s="1" t="s">
        <v>42</v>
      </c>
      <c r="F1210" s="1" t="s">
        <v>43</v>
      </c>
      <c r="G1210" s="4">
        <v>6</v>
      </c>
      <c r="H1210" s="4">
        <v>7314</v>
      </c>
      <c r="I1210" s="6">
        <v>4312.0538741191267</v>
      </c>
      <c r="J1210" s="6">
        <f>表1[[#This Row],[销售金额]]-表1[[#This Row],[退款金额]]</f>
        <v>3001.9461258808733</v>
      </c>
      <c r="K1210" s="1">
        <v>934</v>
      </c>
      <c r="L1210" s="1">
        <v>914</v>
      </c>
    </row>
    <row r="1211" spans="1:12" x14ac:dyDescent="0.3">
      <c r="A1211" s="2">
        <v>45920</v>
      </c>
      <c r="B1211" s="1" t="s">
        <v>247</v>
      </c>
      <c r="C1211" s="1" t="s">
        <v>10</v>
      </c>
      <c r="D1211" s="1" t="s">
        <v>92</v>
      </c>
      <c r="E1211" s="1" t="s">
        <v>42</v>
      </c>
      <c r="F1211" s="1" t="s">
        <v>43</v>
      </c>
      <c r="G1211" s="4">
        <v>6</v>
      </c>
      <c r="H1211" s="4">
        <v>4765</v>
      </c>
      <c r="I1211" s="6">
        <v>4312.0538741191267</v>
      </c>
      <c r="J1211" s="6">
        <f>表1[[#This Row],[销售金额]]-表1[[#This Row],[退款金额]]</f>
        <v>452.9461258808733</v>
      </c>
      <c r="K1211" s="1">
        <v>934</v>
      </c>
      <c r="L1211" s="1">
        <v>914</v>
      </c>
    </row>
    <row r="1212" spans="1:12" x14ac:dyDescent="0.3">
      <c r="A1212" s="2">
        <v>45920</v>
      </c>
      <c r="B1212" s="1" t="s">
        <v>247</v>
      </c>
      <c r="C1212" s="1" t="s">
        <v>10</v>
      </c>
      <c r="D1212" s="1" t="s">
        <v>92</v>
      </c>
      <c r="E1212" s="1" t="s">
        <v>42</v>
      </c>
      <c r="F1212" s="1" t="s">
        <v>43</v>
      </c>
      <c r="G1212" s="4">
        <v>6</v>
      </c>
      <c r="H1212" s="4">
        <v>5850</v>
      </c>
      <c r="I1212" s="6">
        <v>4312.0538741191267</v>
      </c>
      <c r="J1212" s="6">
        <f>表1[[#This Row],[销售金额]]-表1[[#This Row],[退款金额]]</f>
        <v>1537.9461258808733</v>
      </c>
      <c r="K1212" s="1">
        <v>934</v>
      </c>
      <c r="L1212" s="1">
        <v>914</v>
      </c>
    </row>
    <row r="1213" spans="1:12" x14ac:dyDescent="0.3">
      <c r="A1213" s="2">
        <v>45920</v>
      </c>
      <c r="B1213" s="1" t="s">
        <v>247</v>
      </c>
      <c r="C1213" s="1" t="s">
        <v>10</v>
      </c>
      <c r="D1213" s="1" t="s">
        <v>92</v>
      </c>
      <c r="E1213" s="1" t="s">
        <v>42</v>
      </c>
      <c r="F1213" s="1" t="s">
        <v>43</v>
      </c>
      <c r="G1213" s="4">
        <v>6</v>
      </c>
      <c r="H1213" s="4">
        <v>8697</v>
      </c>
      <c r="I1213" s="6">
        <v>4312.0538741191267</v>
      </c>
      <c r="J1213" s="6">
        <f>表1[[#This Row],[销售金额]]-表1[[#This Row],[退款金额]]</f>
        <v>4384.9461258808733</v>
      </c>
      <c r="K1213" s="1">
        <v>934</v>
      </c>
      <c r="L1213" s="1">
        <v>914</v>
      </c>
    </row>
    <row r="1214" spans="1:12" x14ac:dyDescent="0.3">
      <c r="A1214" s="2">
        <v>45920</v>
      </c>
      <c r="B1214" s="1" t="s">
        <v>247</v>
      </c>
      <c r="C1214" s="1" t="s">
        <v>10</v>
      </c>
      <c r="D1214" s="1" t="s">
        <v>92</v>
      </c>
      <c r="E1214" s="1" t="s">
        <v>42</v>
      </c>
      <c r="F1214" s="1" t="s">
        <v>43</v>
      </c>
      <c r="G1214" s="4">
        <v>6</v>
      </c>
      <c r="H1214" s="4">
        <v>7869</v>
      </c>
      <c r="I1214" s="6">
        <v>4312.0538741191267</v>
      </c>
      <c r="J1214" s="6">
        <f>表1[[#This Row],[销售金额]]-表1[[#This Row],[退款金额]]</f>
        <v>3556.9461258808733</v>
      </c>
      <c r="K1214" s="1">
        <v>934</v>
      </c>
      <c r="L1214" s="1">
        <v>914</v>
      </c>
    </row>
    <row r="1215" spans="1:12" x14ac:dyDescent="0.3">
      <c r="A1215" s="2">
        <v>45920</v>
      </c>
      <c r="B1215" s="1" t="s">
        <v>247</v>
      </c>
      <c r="C1215" s="1" t="s">
        <v>10</v>
      </c>
      <c r="D1215" s="1" t="s">
        <v>92</v>
      </c>
      <c r="E1215" s="1" t="s">
        <v>42</v>
      </c>
      <c r="F1215" s="1" t="s">
        <v>43</v>
      </c>
      <c r="G1215" s="4">
        <v>6</v>
      </c>
      <c r="H1215" s="4">
        <v>7011</v>
      </c>
      <c r="I1215" s="6">
        <v>4312.0538741191267</v>
      </c>
      <c r="J1215" s="6">
        <f>表1[[#This Row],[销售金额]]-表1[[#This Row],[退款金额]]</f>
        <v>2698.9461258808733</v>
      </c>
      <c r="K1215" s="1">
        <v>934</v>
      </c>
      <c r="L1215" s="1">
        <v>914</v>
      </c>
    </row>
    <row r="1216" spans="1:12" x14ac:dyDescent="0.3">
      <c r="A1216" s="2">
        <v>45920</v>
      </c>
      <c r="B1216" s="1" t="s">
        <v>247</v>
      </c>
      <c r="C1216" s="1" t="s">
        <v>10</v>
      </c>
      <c r="D1216" s="1" t="s">
        <v>92</v>
      </c>
      <c r="E1216" s="1" t="s">
        <v>42</v>
      </c>
      <c r="F1216" s="1" t="s">
        <v>43</v>
      </c>
      <c r="G1216" s="4">
        <v>6</v>
      </c>
      <c r="H1216" s="4">
        <v>4514</v>
      </c>
      <c r="I1216" s="6">
        <v>4312.0538741191267</v>
      </c>
      <c r="J1216" s="6">
        <f>表1[[#This Row],[销售金额]]-表1[[#This Row],[退款金额]]</f>
        <v>201.9461258808733</v>
      </c>
      <c r="K1216" s="1">
        <v>934</v>
      </c>
      <c r="L1216" s="1">
        <v>914</v>
      </c>
    </row>
    <row r="1217" spans="1:12" x14ac:dyDescent="0.3">
      <c r="A1217" s="2">
        <v>45920</v>
      </c>
      <c r="B1217" s="1" t="s">
        <v>247</v>
      </c>
      <c r="C1217" s="1" t="s">
        <v>10</v>
      </c>
      <c r="D1217" s="1" t="s">
        <v>92</v>
      </c>
      <c r="E1217" s="1" t="s">
        <v>42</v>
      </c>
      <c r="F1217" s="1" t="s">
        <v>43</v>
      </c>
      <c r="G1217" s="4">
        <v>6</v>
      </c>
      <c r="H1217" s="4">
        <v>5463</v>
      </c>
      <c r="I1217" s="6">
        <v>4312.0538741191267</v>
      </c>
      <c r="J1217" s="6">
        <f>表1[[#This Row],[销售金额]]-表1[[#This Row],[退款金额]]</f>
        <v>1150.9461258808733</v>
      </c>
      <c r="K1217" s="1">
        <v>934</v>
      </c>
      <c r="L1217" s="1">
        <v>914</v>
      </c>
    </row>
    <row r="1218" spans="1:12" x14ac:dyDescent="0.3">
      <c r="A1218" s="2">
        <v>45920</v>
      </c>
      <c r="B1218" s="1" t="s">
        <v>247</v>
      </c>
      <c r="C1218" s="1" t="s">
        <v>10</v>
      </c>
      <c r="D1218" s="1" t="s">
        <v>92</v>
      </c>
      <c r="E1218" s="1" t="s">
        <v>42</v>
      </c>
      <c r="F1218" s="1" t="s">
        <v>43</v>
      </c>
      <c r="G1218" s="4">
        <v>6</v>
      </c>
      <c r="H1218" s="4">
        <v>7942</v>
      </c>
      <c r="I1218" s="6">
        <v>4312.0538741191267</v>
      </c>
      <c r="J1218" s="6">
        <f>表1[[#This Row],[销售金额]]-表1[[#This Row],[退款金额]]</f>
        <v>3629.9461258808733</v>
      </c>
      <c r="K1218" s="1">
        <v>934</v>
      </c>
      <c r="L1218" s="1">
        <v>914</v>
      </c>
    </row>
    <row r="1219" spans="1:12" x14ac:dyDescent="0.3">
      <c r="A1219" s="2">
        <v>45920</v>
      </c>
      <c r="B1219" s="1" t="s">
        <v>247</v>
      </c>
      <c r="C1219" s="1" t="s">
        <v>10</v>
      </c>
      <c r="D1219" s="1" t="s">
        <v>92</v>
      </c>
      <c r="E1219" s="1" t="s">
        <v>42</v>
      </c>
      <c r="F1219" s="1" t="s">
        <v>43</v>
      </c>
      <c r="G1219" s="4">
        <v>6</v>
      </c>
      <c r="H1219" s="4">
        <v>6522</v>
      </c>
      <c r="I1219" s="6">
        <v>4312.0538741191267</v>
      </c>
      <c r="J1219" s="6">
        <f>表1[[#This Row],[销售金额]]-表1[[#This Row],[退款金额]]</f>
        <v>2209.9461258808733</v>
      </c>
      <c r="K1219" s="1">
        <v>934</v>
      </c>
      <c r="L1219" s="1">
        <v>914</v>
      </c>
    </row>
    <row r="1220" spans="1:12" x14ac:dyDescent="0.3">
      <c r="A1220" s="2">
        <v>45920</v>
      </c>
      <c r="B1220" s="1" t="s">
        <v>247</v>
      </c>
      <c r="C1220" s="1" t="s">
        <v>10</v>
      </c>
      <c r="D1220" s="1" t="s">
        <v>92</v>
      </c>
      <c r="E1220" s="1" t="s">
        <v>42</v>
      </c>
      <c r="F1220" s="1" t="s">
        <v>43</v>
      </c>
      <c r="G1220" s="4">
        <v>6</v>
      </c>
      <c r="H1220" s="4">
        <v>4929</v>
      </c>
      <c r="I1220" s="6">
        <v>4312.0538741191267</v>
      </c>
      <c r="J1220" s="6">
        <f>表1[[#This Row],[销售金额]]-表1[[#This Row],[退款金额]]</f>
        <v>616.9461258808733</v>
      </c>
      <c r="K1220" s="1">
        <v>934</v>
      </c>
      <c r="L1220" s="1">
        <v>914</v>
      </c>
    </row>
    <row r="1221" spans="1:12" x14ac:dyDescent="0.3">
      <c r="A1221" s="2">
        <v>45920</v>
      </c>
      <c r="B1221" s="1" t="s">
        <v>247</v>
      </c>
      <c r="C1221" s="1" t="s">
        <v>10</v>
      </c>
      <c r="D1221" s="1" t="s">
        <v>92</v>
      </c>
      <c r="E1221" s="1" t="s">
        <v>42</v>
      </c>
      <c r="F1221" s="1" t="s">
        <v>43</v>
      </c>
      <c r="G1221" s="4">
        <v>6</v>
      </c>
      <c r="H1221" s="4">
        <v>8403</v>
      </c>
      <c r="I1221" s="6">
        <v>4312.0538741191267</v>
      </c>
      <c r="J1221" s="6">
        <f>表1[[#This Row],[销售金额]]-表1[[#This Row],[退款金额]]</f>
        <v>4090.9461258808733</v>
      </c>
      <c r="K1221" s="1">
        <v>934</v>
      </c>
      <c r="L1221" s="1">
        <v>914</v>
      </c>
    </row>
    <row r="1222" spans="1:12" x14ac:dyDescent="0.3">
      <c r="A1222" s="2">
        <v>45920</v>
      </c>
      <c r="B1222" s="1" t="s">
        <v>247</v>
      </c>
      <c r="C1222" s="1" t="s">
        <v>10</v>
      </c>
      <c r="D1222" s="1" t="s">
        <v>92</v>
      </c>
      <c r="E1222" s="1" t="s">
        <v>42</v>
      </c>
      <c r="F1222" s="1" t="s">
        <v>43</v>
      </c>
      <c r="G1222" s="4">
        <v>6</v>
      </c>
      <c r="H1222" s="4">
        <v>6622</v>
      </c>
      <c r="I1222" s="6">
        <v>4312.0538741191267</v>
      </c>
      <c r="J1222" s="6">
        <f>表1[[#This Row],[销售金额]]-表1[[#This Row],[退款金额]]</f>
        <v>2309.9461258808733</v>
      </c>
      <c r="K1222" s="1">
        <v>934</v>
      </c>
      <c r="L1222" s="1">
        <v>914</v>
      </c>
    </row>
    <row r="1223" spans="1:12" x14ac:dyDescent="0.3">
      <c r="A1223" s="2">
        <v>45920</v>
      </c>
      <c r="B1223" s="1" t="s">
        <v>247</v>
      </c>
      <c r="C1223" s="1" t="s">
        <v>10</v>
      </c>
      <c r="D1223" s="1" t="s">
        <v>92</v>
      </c>
      <c r="E1223" s="1" t="s">
        <v>42</v>
      </c>
      <c r="F1223" s="1" t="s">
        <v>43</v>
      </c>
      <c r="G1223" s="4">
        <v>6</v>
      </c>
      <c r="H1223" s="4">
        <v>6111</v>
      </c>
      <c r="I1223" s="6">
        <v>4312.0538741191267</v>
      </c>
      <c r="J1223" s="6">
        <f>表1[[#This Row],[销售金额]]-表1[[#This Row],[退款金额]]</f>
        <v>1798.9461258808733</v>
      </c>
      <c r="K1223" s="1">
        <v>934</v>
      </c>
      <c r="L1223" s="1">
        <v>914</v>
      </c>
    </row>
    <row r="1224" spans="1:12" x14ac:dyDescent="0.3">
      <c r="A1224" s="2">
        <v>45920</v>
      </c>
      <c r="B1224" s="1" t="s">
        <v>247</v>
      </c>
      <c r="C1224" s="1" t="s">
        <v>10</v>
      </c>
      <c r="D1224" s="1" t="s">
        <v>92</v>
      </c>
      <c r="E1224" s="1" t="s">
        <v>42</v>
      </c>
      <c r="F1224" s="1" t="s">
        <v>43</v>
      </c>
      <c r="G1224" s="4">
        <v>6</v>
      </c>
      <c r="H1224" s="4">
        <v>8576</v>
      </c>
      <c r="I1224" s="6">
        <v>4312.0538741191267</v>
      </c>
      <c r="J1224" s="6">
        <f>表1[[#This Row],[销售金额]]-表1[[#This Row],[退款金额]]</f>
        <v>4263.9461258808733</v>
      </c>
      <c r="K1224" s="1">
        <v>934</v>
      </c>
      <c r="L1224" s="1">
        <v>914</v>
      </c>
    </row>
    <row r="1225" spans="1:12" x14ac:dyDescent="0.3">
      <c r="A1225" s="2">
        <v>45920</v>
      </c>
      <c r="B1225" s="1" t="s">
        <v>247</v>
      </c>
      <c r="C1225" s="1" t="s">
        <v>10</v>
      </c>
      <c r="D1225" s="1" t="s">
        <v>92</v>
      </c>
      <c r="E1225" s="1" t="s">
        <v>42</v>
      </c>
      <c r="F1225" s="1" t="s">
        <v>43</v>
      </c>
      <c r="G1225" s="4">
        <v>6</v>
      </c>
      <c r="H1225" s="4">
        <v>5314</v>
      </c>
      <c r="I1225" s="6">
        <v>4312.0538741191267</v>
      </c>
      <c r="J1225" s="6">
        <f>表1[[#This Row],[销售金额]]-表1[[#This Row],[退款金额]]</f>
        <v>1001.9461258808733</v>
      </c>
      <c r="K1225" s="1">
        <v>934</v>
      </c>
      <c r="L1225" s="1">
        <v>914</v>
      </c>
    </row>
    <row r="1226" spans="1:12" x14ac:dyDescent="0.3">
      <c r="A1226" s="2">
        <v>45920</v>
      </c>
      <c r="B1226" s="1" t="s">
        <v>247</v>
      </c>
      <c r="C1226" s="1" t="s">
        <v>10</v>
      </c>
      <c r="D1226" s="1" t="s">
        <v>92</v>
      </c>
      <c r="E1226" s="1" t="s">
        <v>42</v>
      </c>
      <c r="F1226" s="1" t="s">
        <v>43</v>
      </c>
      <c r="G1226" s="4">
        <v>6</v>
      </c>
      <c r="H1226" s="4">
        <v>7873</v>
      </c>
      <c r="I1226" s="6">
        <v>4312.0538741191267</v>
      </c>
      <c r="J1226" s="6">
        <f>表1[[#This Row],[销售金额]]-表1[[#This Row],[退款金额]]</f>
        <v>3560.9461258808733</v>
      </c>
      <c r="K1226" s="1">
        <v>934</v>
      </c>
      <c r="L1226" s="1">
        <v>914</v>
      </c>
    </row>
    <row r="1227" spans="1:12" x14ac:dyDescent="0.3">
      <c r="A1227" s="2">
        <v>45920</v>
      </c>
      <c r="B1227" s="1" t="s">
        <v>247</v>
      </c>
      <c r="C1227" s="1" t="s">
        <v>10</v>
      </c>
      <c r="D1227" s="1" t="s">
        <v>92</v>
      </c>
      <c r="E1227" s="1" t="s">
        <v>42</v>
      </c>
      <c r="F1227" s="1" t="s">
        <v>43</v>
      </c>
      <c r="G1227" s="4">
        <v>6</v>
      </c>
      <c r="H1227" s="4">
        <v>8184</v>
      </c>
      <c r="I1227" s="6">
        <v>4312.0538741191267</v>
      </c>
      <c r="J1227" s="6">
        <f>表1[[#This Row],[销售金额]]-表1[[#This Row],[退款金额]]</f>
        <v>3871.9461258808733</v>
      </c>
      <c r="K1227" s="1">
        <v>934</v>
      </c>
      <c r="L1227" s="1">
        <v>914</v>
      </c>
    </row>
    <row r="1228" spans="1:12" x14ac:dyDescent="0.3">
      <c r="A1228" s="2">
        <v>45920</v>
      </c>
      <c r="B1228" s="1" t="s">
        <v>247</v>
      </c>
      <c r="C1228" s="1" t="s">
        <v>10</v>
      </c>
      <c r="D1228" s="1" t="s">
        <v>92</v>
      </c>
      <c r="E1228" s="1" t="s">
        <v>42</v>
      </c>
      <c r="F1228" s="1" t="s">
        <v>43</v>
      </c>
      <c r="G1228" s="4">
        <v>6</v>
      </c>
      <c r="H1228" s="4">
        <v>8190</v>
      </c>
      <c r="I1228" s="6">
        <v>4312.0538741191267</v>
      </c>
      <c r="J1228" s="6">
        <f>表1[[#This Row],[销售金额]]-表1[[#This Row],[退款金额]]</f>
        <v>3877.9461258808733</v>
      </c>
      <c r="K1228" s="1">
        <v>934</v>
      </c>
      <c r="L1228" s="1">
        <v>914</v>
      </c>
    </row>
    <row r="1229" spans="1:12" x14ac:dyDescent="0.3">
      <c r="A1229" s="2">
        <v>45921</v>
      </c>
      <c r="B1229" s="1" t="s">
        <v>250</v>
      </c>
      <c r="C1229" s="1" t="s">
        <v>19</v>
      </c>
      <c r="D1229" s="1" t="s">
        <v>20</v>
      </c>
      <c r="E1229" s="1" t="s">
        <v>21</v>
      </c>
      <c r="F1229" s="1" t="s">
        <v>22</v>
      </c>
      <c r="G1229" s="4">
        <v>1</v>
      </c>
      <c r="H1229" s="4">
        <v>1194</v>
      </c>
      <c r="I1229" s="6">
        <v>162.85674505471454</v>
      </c>
      <c r="J1229" s="6">
        <f>表1[[#This Row],[销售金额]]-表1[[#This Row],[退款金额]]</f>
        <v>1031.1432549452854</v>
      </c>
      <c r="K1229" s="1">
        <v>460</v>
      </c>
      <c r="L1229" s="1">
        <v>68</v>
      </c>
    </row>
    <row r="1230" spans="1:12" x14ac:dyDescent="0.3">
      <c r="A1230" s="2">
        <v>45921</v>
      </c>
      <c r="B1230" s="1" t="s">
        <v>250</v>
      </c>
      <c r="C1230" s="1" t="s">
        <v>19</v>
      </c>
      <c r="D1230" s="1" t="s">
        <v>20</v>
      </c>
      <c r="E1230" s="1" t="s">
        <v>21</v>
      </c>
      <c r="F1230" s="1" t="s">
        <v>22</v>
      </c>
      <c r="G1230" s="4">
        <v>1</v>
      </c>
      <c r="H1230" s="4">
        <v>4447</v>
      </c>
      <c r="I1230" s="6">
        <v>162.85674505471454</v>
      </c>
      <c r="J1230" s="6">
        <f>表1[[#This Row],[销售金额]]-表1[[#This Row],[退款金额]]</f>
        <v>4284.1432549452857</v>
      </c>
      <c r="K1230" s="1">
        <v>460</v>
      </c>
      <c r="L1230" s="1">
        <v>68</v>
      </c>
    </row>
    <row r="1231" spans="1:12" x14ac:dyDescent="0.3">
      <c r="A1231" s="2">
        <v>45921</v>
      </c>
      <c r="B1231" s="1" t="s">
        <v>250</v>
      </c>
      <c r="C1231" s="1" t="s">
        <v>19</v>
      </c>
      <c r="D1231" s="1" t="s">
        <v>20</v>
      </c>
      <c r="E1231" s="1" t="s">
        <v>21</v>
      </c>
      <c r="F1231" s="1" t="s">
        <v>22</v>
      </c>
      <c r="G1231" s="4">
        <v>1</v>
      </c>
      <c r="H1231" s="4">
        <v>245</v>
      </c>
      <c r="I1231" s="6">
        <v>162.85674505471454</v>
      </c>
      <c r="J1231" s="6">
        <f>表1[[#This Row],[销售金额]]-表1[[#This Row],[退款金额]]</f>
        <v>82.143254945285463</v>
      </c>
      <c r="K1231" s="1">
        <v>460</v>
      </c>
      <c r="L1231" s="1">
        <v>68</v>
      </c>
    </row>
    <row r="1232" spans="1:12" x14ac:dyDescent="0.3">
      <c r="A1232" s="2">
        <v>45921</v>
      </c>
      <c r="B1232" s="1" t="s">
        <v>250</v>
      </c>
      <c r="C1232" s="1" t="s">
        <v>19</v>
      </c>
      <c r="D1232" s="1" t="s">
        <v>20</v>
      </c>
      <c r="E1232" s="1" t="s">
        <v>21</v>
      </c>
      <c r="F1232" s="1" t="s">
        <v>22</v>
      </c>
      <c r="G1232" s="4">
        <v>1</v>
      </c>
      <c r="H1232" s="4">
        <v>1358</v>
      </c>
      <c r="I1232" s="6">
        <v>162.85674505471454</v>
      </c>
      <c r="J1232" s="6">
        <f>表1[[#This Row],[销售金额]]-表1[[#This Row],[退款金额]]</f>
        <v>1195.1432549452854</v>
      </c>
      <c r="K1232" s="1">
        <v>460</v>
      </c>
      <c r="L1232" s="1">
        <v>68</v>
      </c>
    </row>
    <row r="1233" spans="1:12" x14ac:dyDescent="0.3">
      <c r="A1233" s="2">
        <v>45921</v>
      </c>
      <c r="B1233" s="1" t="s">
        <v>250</v>
      </c>
      <c r="C1233" s="1" t="s">
        <v>19</v>
      </c>
      <c r="D1233" s="1" t="s">
        <v>20</v>
      </c>
      <c r="E1233" s="1" t="s">
        <v>21</v>
      </c>
      <c r="F1233" s="1" t="s">
        <v>22</v>
      </c>
      <c r="G1233" s="4">
        <v>1</v>
      </c>
      <c r="H1233" s="4">
        <v>3532</v>
      </c>
      <c r="I1233" s="6">
        <v>162.85674505471454</v>
      </c>
      <c r="J1233" s="6">
        <f>表1[[#This Row],[销售金额]]-表1[[#This Row],[退款金额]]</f>
        <v>3369.1432549452857</v>
      </c>
      <c r="K1233" s="1">
        <v>460</v>
      </c>
      <c r="L1233" s="1">
        <v>68</v>
      </c>
    </row>
    <row r="1234" spans="1:12" x14ac:dyDescent="0.3">
      <c r="A1234" s="2">
        <v>45921</v>
      </c>
      <c r="B1234" s="1" t="s">
        <v>250</v>
      </c>
      <c r="C1234" s="1" t="s">
        <v>19</v>
      </c>
      <c r="D1234" s="1" t="s">
        <v>20</v>
      </c>
      <c r="E1234" s="1" t="s">
        <v>21</v>
      </c>
      <c r="F1234" s="1" t="s">
        <v>22</v>
      </c>
      <c r="G1234" s="4">
        <v>1</v>
      </c>
      <c r="H1234" s="4">
        <v>856</v>
      </c>
      <c r="I1234" s="6">
        <v>162.85674505471454</v>
      </c>
      <c r="J1234" s="6">
        <f>表1[[#This Row],[销售金额]]-表1[[#This Row],[退款金额]]</f>
        <v>693.14325494528543</v>
      </c>
      <c r="K1234" s="1">
        <v>460</v>
      </c>
      <c r="L1234" s="1">
        <v>68</v>
      </c>
    </row>
    <row r="1235" spans="1:12" x14ac:dyDescent="0.3">
      <c r="A1235" s="2">
        <v>45921</v>
      </c>
      <c r="B1235" s="1" t="s">
        <v>250</v>
      </c>
      <c r="C1235" s="1" t="s">
        <v>19</v>
      </c>
      <c r="D1235" s="1" t="s">
        <v>20</v>
      </c>
      <c r="E1235" s="1" t="s">
        <v>21</v>
      </c>
      <c r="F1235" s="1" t="s">
        <v>22</v>
      </c>
      <c r="G1235" s="4">
        <v>1</v>
      </c>
      <c r="H1235" s="4">
        <v>2548</v>
      </c>
      <c r="I1235" s="6">
        <v>162.85674505471454</v>
      </c>
      <c r="J1235" s="6">
        <f>表1[[#This Row],[销售金额]]-表1[[#This Row],[退款金额]]</f>
        <v>2385.1432549452857</v>
      </c>
      <c r="K1235" s="1">
        <v>460</v>
      </c>
      <c r="L1235" s="1">
        <v>68</v>
      </c>
    </row>
    <row r="1236" spans="1:12" x14ac:dyDescent="0.3">
      <c r="A1236" s="2">
        <v>45921</v>
      </c>
      <c r="B1236" s="1" t="s">
        <v>250</v>
      </c>
      <c r="C1236" s="1" t="s">
        <v>19</v>
      </c>
      <c r="D1236" s="1" t="s">
        <v>20</v>
      </c>
      <c r="E1236" s="1" t="s">
        <v>21</v>
      </c>
      <c r="F1236" s="1" t="s">
        <v>22</v>
      </c>
      <c r="G1236" s="4">
        <v>1</v>
      </c>
      <c r="H1236" s="4">
        <v>5022</v>
      </c>
      <c r="I1236" s="6">
        <v>162.85674505471454</v>
      </c>
      <c r="J1236" s="6">
        <f>表1[[#This Row],[销售金额]]-表1[[#This Row],[退款金额]]</f>
        <v>4859.1432549452857</v>
      </c>
      <c r="K1236" s="1">
        <v>460</v>
      </c>
      <c r="L1236" s="1">
        <v>68</v>
      </c>
    </row>
    <row r="1237" spans="1:12" x14ac:dyDescent="0.3">
      <c r="A1237" s="2">
        <v>45921</v>
      </c>
      <c r="B1237" s="1" t="s">
        <v>250</v>
      </c>
      <c r="C1237" s="1" t="s">
        <v>19</v>
      </c>
      <c r="D1237" s="1" t="s">
        <v>20</v>
      </c>
      <c r="E1237" s="1" t="s">
        <v>21</v>
      </c>
      <c r="F1237" s="1" t="s">
        <v>22</v>
      </c>
      <c r="G1237" s="4">
        <v>1</v>
      </c>
      <c r="H1237" s="4">
        <v>516</v>
      </c>
      <c r="I1237" s="6">
        <v>162.85674505471454</v>
      </c>
      <c r="J1237" s="6">
        <f>表1[[#This Row],[销售金额]]-表1[[#This Row],[退款金额]]</f>
        <v>353.14325494528543</v>
      </c>
      <c r="K1237" s="1">
        <v>460</v>
      </c>
      <c r="L1237" s="1">
        <v>68</v>
      </c>
    </row>
    <row r="1238" spans="1:12" x14ac:dyDescent="0.3">
      <c r="A1238" s="2">
        <v>45921</v>
      </c>
      <c r="B1238" s="1" t="s">
        <v>15</v>
      </c>
      <c r="C1238" s="1" t="s">
        <v>32</v>
      </c>
      <c r="D1238" s="1" t="s">
        <v>59</v>
      </c>
      <c r="E1238" s="1" t="s">
        <v>60</v>
      </c>
      <c r="F1238" s="1" t="s">
        <v>61</v>
      </c>
      <c r="G1238" s="4">
        <v>3</v>
      </c>
      <c r="H1238" s="4">
        <v>7388</v>
      </c>
      <c r="I1238" s="6">
        <v>4596.9818451516985</v>
      </c>
      <c r="J1238" s="6">
        <f>表1[[#This Row],[销售金额]]-表1[[#This Row],[退款金额]]</f>
        <v>2791.0181548483015</v>
      </c>
      <c r="K1238" s="1">
        <v>259</v>
      </c>
      <c r="L1238" s="1">
        <v>227</v>
      </c>
    </row>
    <row r="1239" spans="1:12" x14ac:dyDescent="0.3">
      <c r="A1239" s="2">
        <v>45921</v>
      </c>
      <c r="B1239" s="1" t="s">
        <v>15</v>
      </c>
      <c r="C1239" s="1" t="s">
        <v>32</v>
      </c>
      <c r="D1239" s="1" t="s">
        <v>59</v>
      </c>
      <c r="E1239" s="1" t="s">
        <v>60</v>
      </c>
      <c r="F1239" s="1" t="s">
        <v>61</v>
      </c>
      <c r="G1239" s="4">
        <v>3</v>
      </c>
      <c r="H1239" s="4">
        <v>6476</v>
      </c>
      <c r="I1239" s="6">
        <v>4596.9818451516985</v>
      </c>
      <c r="J1239" s="6">
        <f>表1[[#This Row],[销售金额]]-表1[[#This Row],[退款金额]]</f>
        <v>1879.0181548483015</v>
      </c>
      <c r="K1239" s="1">
        <v>259</v>
      </c>
      <c r="L1239" s="1">
        <v>227</v>
      </c>
    </row>
    <row r="1240" spans="1:12" x14ac:dyDescent="0.3">
      <c r="A1240" s="2">
        <v>45921</v>
      </c>
      <c r="B1240" s="1" t="s">
        <v>15</v>
      </c>
      <c r="C1240" s="1" t="s">
        <v>32</v>
      </c>
      <c r="D1240" s="1" t="s">
        <v>59</v>
      </c>
      <c r="E1240" s="1" t="s">
        <v>60</v>
      </c>
      <c r="F1240" s="1" t="s">
        <v>61</v>
      </c>
      <c r="G1240" s="4">
        <v>3</v>
      </c>
      <c r="H1240" s="4">
        <v>8481</v>
      </c>
      <c r="I1240" s="6">
        <v>4596.9818451516985</v>
      </c>
      <c r="J1240" s="6">
        <f>表1[[#This Row],[销售金额]]-表1[[#This Row],[退款金额]]</f>
        <v>3884.0181548483015</v>
      </c>
      <c r="K1240" s="1">
        <v>259</v>
      </c>
      <c r="L1240" s="1">
        <v>227</v>
      </c>
    </row>
    <row r="1241" spans="1:12" x14ac:dyDescent="0.3">
      <c r="A1241" s="2">
        <v>45921</v>
      </c>
      <c r="B1241" s="1" t="s">
        <v>15</v>
      </c>
      <c r="C1241" s="1" t="s">
        <v>32</v>
      </c>
      <c r="D1241" s="1" t="s">
        <v>59</v>
      </c>
      <c r="E1241" s="1" t="s">
        <v>60</v>
      </c>
      <c r="F1241" s="1" t="s">
        <v>61</v>
      </c>
      <c r="G1241" s="4">
        <v>3</v>
      </c>
      <c r="H1241" s="4">
        <v>7312</v>
      </c>
      <c r="I1241" s="6">
        <v>4596.9818451516985</v>
      </c>
      <c r="J1241" s="6">
        <f>表1[[#This Row],[销售金额]]-表1[[#This Row],[退款金额]]</f>
        <v>2715.0181548483015</v>
      </c>
      <c r="K1241" s="1">
        <v>259</v>
      </c>
      <c r="L1241" s="1">
        <v>227</v>
      </c>
    </row>
    <row r="1242" spans="1:12" x14ac:dyDescent="0.3">
      <c r="A1242" s="2">
        <v>45921</v>
      </c>
      <c r="B1242" s="1" t="s">
        <v>15</v>
      </c>
      <c r="C1242" s="1" t="s">
        <v>32</v>
      </c>
      <c r="D1242" s="1" t="s">
        <v>59</v>
      </c>
      <c r="E1242" s="1" t="s">
        <v>60</v>
      </c>
      <c r="F1242" s="1" t="s">
        <v>61</v>
      </c>
      <c r="G1242" s="4">
        <v>3</v>
      </c>
      <c r="H1242" s="4">
        <v>9144</v>
      </c>
      <c r="I1242" s="6">
        <v>4596.9818451516985</v>
      </c>
      <c r="J1242" s="6">
        <f>表1[[#This Row],[销售金额]]-表1[[#This Row],[退款金额]]</f>
        <v>4547.0181548483015</v>
      </c>
      <c r="K1242" s="1">
        <v>259</v>
      </c>
      <c r="L1242" s="1">
        <v>227</v>
      </c>
    </row>
    <row r="1243" spans="1:12" x14ac:dyDescent="0.3">
      <c r="A1243" s="2">
        <v>45921</v>
      </c>
      <c r="B1243" s="1" t="s">
        <v>15</v>
      </c>
      <c r="C1243" s="1" t="s">
        <v>32</v>
      </c>
      <c r="D1243" s="1" t="s">
        <v>59</v>
      </c>
      <c r="E1243" s="1" t="s">
        <v>60</v>
      </c>
      <c r="F1243" s="1" t="s">
        <v>61</v>
      </c>
      <c r="G1243" s="4">
        <v>3</v>
      </c>
      <c r="H1243" s="4">
        <v>9054</v>
      </c>
      <c r="I1243" s="6">
        <v>4596.9818451516985</v>
      </c>
      <c r="J1243" s="6">
        <f>表1[[#This Row],[销售金额]]-表1[[#This Row],[退款金额]]</f>
        <v>4457.0181548483015</v>
      </c>
      <c r="K1243" s="1">
        <v>259</v>
      </c>
      <c r="L1243" s="1">
        <v>227</v>
      </c>
    </row>
    <row r="1244" spans="1:12" x14ac:dyDescent="0.3">
      <c r="A1244" s="2">
        <v>45921</v>
      </c>
      <c r="B1244" s="1" t="s">
        <v>15</v>
      </c>
      <c r="C1244" s="1" t="s">
        <v>32</v>
      </c>
      <c r="D1244" s="1" t="s">
        <v>59</v>
      </c>
      <c r="E1244" s="1" t="s">
        <v>60</v>
      </c>
      <c r="F1244" s="1" t="s">
        <v>61</v>
      </c>
      <c r="G1244" s="4">
        <v>3</v>
      </c>
      <c r="H1244" s="4">
        <v>8510</v>
      </c>
      <c r="I1244" s="6">
        <v>4596.9818451516985</v>
      </c>
      <c r="J1244" s="6">
        <f>表1[[#This Row],[销售金额]]-表1[[#This Row],[退款金额]]</f>
        <v>3913.0181548483015</v>
      </c>
      <c r="K1244" s="1">
        <v>259</v>
      </c>
      <c r="L1244" s="1">
        <v>227</v>
      </c>
    </row>
    <row r="1245" spans="1:12" x14ac:dyDescent="0.3">
      <c r="A1245" s="2">
        <v>45921</v>
      </c>
      <c r="B1245" s="1" t="s">
        <v>15</v>
      </c>
      <c r="C1245" s="1" t="s">
        <v>32</v>
      </c>
      <c r="D1245" s="1" t="s">
        <v>59</v>
      </c>
      <c r="E1245" s="1" t="s">
        <v>60</v>
      </c>
      <c r="F1245" s="1" t="s">
        <v>61</v>
      </c>
      <c r="G1245" s="4">
        <v>3</v>
      </c>
      <c r="H1245" s="4">
        <v>8111</v>
      </c>
      <c r="I1245" s="6">
        <v>4596.9818451516985</v>
      </c>
      <c r="J1245" s="6">
        <f>表1[[#This Row],[销售金额]]-表1[[#This Row],[退款金额]]</f>
        <v>3514.0181548483015</v>
      </c>
      <c r="K1245" s="1">
        <v>259</v>
      </c>
      <c r="L1245" s="1">
        <v>227</v>
      </c>
    </row>
    <row r="1246" spans="1:12" x14ac:dyDescent="0.3">
      <c r="A1246" s="2">
        <v>45921</v>
      </c>
      <c r="B1246" s="1" t="s">
        <v>25</v>
      </c>
      <c r="C1246" s="1" t="s">
        <v>19</v>
      </c>
      <c r="D1246" s="1" t="s">
        <v>86</v>
      </c>
      <c r="E1246" s="1" t="s">
        <v>27</v>
      </c>
      <c r="F1246" s="1" t="s">
        <v>28</v>
      </c>
      <c r="G1246" s="4">
        <v>8</v>
      </c>
      <c r="H1246" s="4">
        <v>4956</v>
      </c>
      <c r="I1246" s="6">
        <v>3693.9887919675698</v>
      </c>
      <c r="J1246" s="6">
        <f>表1[[#This Row],[销售金额]]-表1[[#This Row],[退款金额]]</f>
        <v>1262.0112080324302</v>
      </c>
      <c r="K1246" s="1">
        <v>921</v>
      </c>
      <c r="L1246" s="1">
        <v>810</v>
      </c>
    </row>
    <row r="1247" spans="1:12" x14ac:dyDescent="0.3">
      <c r="A1247" s="2">
        <v>45921</v>
      </c>
      <c r="B1247" s="1" t="s">
        <v>25</v>
      </c>
      <c r="C1247" s="1" t="s">
        <v>19</v>
      </c>
      <c r="D1247" s="1" t="s">
        <v>86</v>
      </c>
      <c r="E1247" s="1" t="s">
        <v>27</v>
      </c>
      <c r="F1247" s="1" t="s">
        <v>28</v>
      </c>
      <c r="G1247" s="4">
        <v>8</v>
      </c>
      <c r="H1247" s="4">
        <v>4587</v>
      </c>
      <c r="I1247" s="6">
        <v>3693.9887919675698</v>
      </c>
      <c r="J1247" s="6">
        <f>表1[[#This Row],[销售金额]]-表1[[#This Row],[退款金额]]</f>
        <v>893.0112080324302</v>
      </c>
      <c r="K1247" s="1">
        <v>921</v>
      </c>
      <c r="L1247" s="1">
        <v>810</v>
      </c>
    </row>
    <row r="1248" spans="1:12" x14ac:dyDescent="0.3">
      <c r="A1248" s="2">
        <v>45921</v>
      </c>
      <c r="B1248" s="1" t="s">
        <v>25</v>
      </c>
      <c r="C1248" s="1" t="s">
        <v>19</v>
      </c>
      <c r="D1248" s="1" t="s">
        <v>86</v>
      </c>
      <c r="E1248" s="1" t="s">
        <v>27</v>
      </c>
      <c r="F1248" s="1" t="s">
        <v>28</v>
      </c>
      <c r="G1248" s="4">
        <v>8</v>
      </c>
      <c r="H1248" s="4">
        <v>4054</v>
      </c>
      <c r="I1248" s="6">
        <v>3693.9887919675698</v>
      </c>
      <c r="J1248" s="6">
        <f>表1[[#This Row],[销售金额]]-表1[[#This Row],[退款金额]]</f>
        <v>360.0112080324302</v>
      </c>
      <c r="K1248" s="1">
        <v>921</v>
      </c>
      <c r="L1248" s="1">
        <v>810</v>
      </c>
    </row>
    <row r="1249" spans="1:12" x14ac:dyDescent="0.3">
      <c r="A1249" s="2">
        <v>45921</v>
      </c>
      <c r="B1249" s="1" t="s">
        <v>25</v>
      </c>
      <c r="C1249" s="1" t="s">
        <v>19</v>
      </c>
      <c r="D1249" s="1" t="s">
        <v>86</v>
      </c>
      <c r="E1249" s="1" t="s">
        <v>27</v>
      </c>
      <c r="F1249" s="1" t="s">
        <v>28</v>
      </c>
      <c r="G1249" s="4">
        <v>8</v>
      </c>
      <c r="H1249" s="4">
        <v>5739</v>
      </c>
      <c r="I1249" s="6">
        <v>3693.9887919675698</v>
      </c>
      <c r="J1249" s="6">
        <f>表1[[#This Row],[销售金额]]-表1[[#This Row],[退款金额]]</f>
        <v>2045.0112080324302</v>
      </c>
      <c r="K1249" s="1">
        <v>921</v>
      </c>
      <c r="L1249" s="1">
        <v>810</v>
      </c>
    </row>
    <row r="1250" spans="1:12" x14ac:dyDescent="0.3">
      <c r="A1250" s="2">
        <v>45921</v>
      </c>
      <c r="B1250" s="1" t="s">
        <v>25</v>
      </c>
      <c r="C1250" s="1" t="s">
        <v>19</v>
      </c>
      <c r="D1250" s="1" t="s">
        <v>86</v>
      </c>
      <c r="E1250" s="1" t="s">
        <v>27</v>
      </c>
      <c r="F1250" s="1" t="s">
        <v>28</v>
      </c>
      <c r="G1250" s="4">
        <v>8</v>
      </c>
      <c r="H1250" s="4">
        <v>5965</v>
      </c>
      <c r="I1250" s="6">
        <v>3693.9887919675698</v>
      </c>
      <c r="J1250" s="6">
        <f>表1[[#This Row],[销售金额]]-表1[[#This Row],[退款金额]]</f>
        <v>2271.0112080324302</v>
      </c>
      <c r="K1250" s="1">
        <v>921</v>
      </c>
      <c r="L1250" s="1">
        <v>810</v>
      </c>
    </row>
    <row r="1251" spans="1:12" x14ac:dyDescent="0.3">
      <c r="A1251" s="2">
        <v>45921</v>
      </c>
      <c r="B1251" s="1" t="s">
        <v>25</v>
      </c>
      <c r="C1251" s="1" t="s">
        <v>19</v>
      </c>
      <c r="D1251" s="1" t="s">
        <v>86</v>
      </c>
      <c r="E1251" s="1" t="s">
        <v>27</v>
      </c>
      <c r="F1251" s="1" t="s">
        <v>28</v>
      </c>
      <c r="G1251" s="4">
        <v>8</v>
      </c>
      <c r="H1251" s="4">
        <v>5923</v>
      </c>
      <c r="I1251" s="6">
        <v>3693.9887919675698</v>
      </c>
      <c r="J1251" s="6">
        <f>表1[[#This Row],[销售金额]]-表1[[#This Row],[退款金额]]</f>
        <v>2229.0112080324302</v>
      </c>
      <c r="K1251" s="1">
        <v>921</v>
      </c>
      <c r="L1251" s="1">
        <v>810</v>
      </c>
    </row>
    <row r="1252" spans="1:12" x14ac:dyDescent="0.3">
      <c r="A1252" s="2">
        <v>45921</v>
      </c>
      <c r="B1252" s="1" t="s">
        <v>25</v>
      </c>
      <c r="C1252" s="1" t="s">
        <v>19</v>
      </c>
      <c r="D1252" s="1" t="s">
        <v>86</v>
      </c>
      <c r="E1252" s="1" t="s">
        <v>27</v>
      </c>
      <c r="F1252" s="1" t="s">
        <v>28</v>
      </c>
      <c r="G1252" s="4">
        <v>8</v>
      </c>
      <c r="H1252" s="4">
        <v>6522</v>
      </c>
      <c r="I1252" s="6">
        <v>3693.9887919675698</v>
      </c>
      <c r="J1252" s="6">
        <f>表1[[#This Row],[销售金额]]-表1[[#This Row],[退款金额]]</f>
        <v>2828.0112080324302</v>
      </c>
      <c r="K1252" s="1">
        <v>921</v>
      </c>
      <c r="L1252" s="1">
        <v>810</v>
      </c>
    </row>
    <row r="1253" spans="1:12" x14ac:dyDescent="0.3">
      <c r="A1253" s="2">
        <v>45921</v>
      </c>
      <c r="B1253" s="1" t="s">
        <v>25</v>
      </c>
      <c r="C1253" s="1" t="s">
        <v>19</v>
      </c>
      <c r="D1253" s="1" t="s">
        <v>86</v>
      </c>
      <c r="E1253" s="1" t="s">
        <v>27</v>
      </c>
      <c r="F1253" s="1" t="s">
        <v>28</v>
      </c>
      <c r="G1253" s="4">
        <v>8</v>
      </c>
      <c r="H1253" s="4">
        <v>5151</v>
      </c>
      <c r="I1253" s="6">
        <v>3693.9887919675698</v>
      </c>
      <c r="J1253" s="6">
        <f>表1[[#This Row],[销售金额]]-表1[[#This Row],[退款金额]]</f>
        <v>1457.0112080324302</v>
      </c>
      <c r="K1253" s="1">
        <v>921</v>
      </c>
      <c r="L1253" s="1">
        <v>810</v>
      </c>
    </row>
    <row r="1254" spans="1:12" x14ac:dyDescent="0.3">
      <c r="A1254" s="2">
        <v>45921</v>
      </c>
      <c r="B1254" s="1" t="s">
        <v>25</v>
      </c>
      <c r="C1254" s="1" t="s">
        <v>19</v>
      </c>
      <c r="D1254" s="1" t="s">
        <v>86</v>
      </c>
      <c r="E1254" s="1" t="s">
        <v>27</v>
      </c>
      <c r="F1254" s="1" t="s">
        <v>28</v>
      </c>
      <c r="G1254" s="4">
        <v>8</v>
      </c>
      <c r="H1254" s="4">
        <v>6354</v>
      </c>
      <c r="I1254" s="6">
        <v>3693.9887919675698</v>
      </c>
      <c r="J1254" s="6">
        <f>表1[[#This Row],[销售金额]]-表1[[#This Row],[退款金额]]</f>
        <v>2660.0112080324302</v>
      </c>
      <c r="K1254" s="1">
        <v>921</v>
      </c>
      <c r="L1254" s="1">
        <v>810</v>
      </c>
    </row>
    <row r="1255" spans="1:12" x14ac:dyDescent="0.3">
      <c r="A1255" s="2">
        <v>45921</v>
      </c>
      <c r="B1255" s="1" t="s">
        <v>25</v>
      </c>
      <c r="C1255" s="1" t="s">
        <v>19</v>
      </c>
      <c r="D1255" s="1" t="s">
        <v>86</v>
      </c>
      <c r="E1255" s="1" t="s">
        <v>27</v>
      </c>
      <c r="F1255" s="1" t="s">
        <v>28</v>
      </c>
      <c r="G1255" s="4">
        <v>8</v>
      </c>
      <c r="H1255" s="4">
        <v>6561</v>
      </c>
      <c r="I1255" s="6">
        <v>3693.9887919675698</v>
      </c>
      <c r="J1255" s="6">
        <f>表1[[#This Row],[销售金额]]-表1[[#This Row],[退款金额]]</f>
        <v>2867.0112080324302</v>
      </c>
      <c r="K1255" s="1">
        <v>921</v>
      </c>
      <c r="L1255" s="1">
        <v>810</v>
      </c>
    </row>
    <row r="1256" spans="1:12" x14ac:dyDescent="0.3">
      <c r="A1256" s="2">
        <v>45921</v>
      </c>
      <c r="B1256" s="1" t="s">
        <v>25</v>
      </c>
      <c r="C1256" s="1" t="s">
        <v>19</v>
      </c>
      <c r="D1256" s="1" t="s">
        <v>86</v>
      </c>
      <c r="E1256" s="1" t="s">
        <v>27</v>
      </c>
      <c r="F1256" s="1" t="s">
        <v>28</v>
      </c>
      <c r="G1256" s="4">
        <v>8</v>
      </c>
      <c r="H1256" s="4">
        <v>7119</v>
      </c>
      <c r="I1256" s="6">
        <v>3693.9887919675698</v>
      </c>
      <c r="J1256" s="6">
        <f>表1[[#This Row],[销售金额]]-表1[[#This Row],[退款金额]]</f>
        <v>3425.0112080324302</v>
      </c>
      <c r="K1256" s="1">
        <v>921</v>
      </c>
      <c r="L1256" s="1">
        <v>810</v>
      </c>
    </row>
    <row r="1257" spans="1:12" x14ac:dyDescent="0.3">
      <c r="A1257" s="2">
        <v>45921</v>
      </c>
      <c r="B1257" s="1" t="s">
        <v>25</v>
      </c>
      <c r="C1257" s="1" t="s">
        <v>19</v>
      </c>
      <c r="D1257" s="1" t="s">
        <v>86</v>
      </c>
      <c r="E1257" s="1" t="s">
        <v>27</v>
      </c>
      <c r="F1257" s="1" t="s">
        <v>28</v>
      </c>
      <c r="G1257" s="4">
        <v>8</v>
      </c>
      <c r="H1257" s="4">
        <v>4502</v>
      </c>
      <c r="I1257" s="6">
        <v>3693.9887919675698</v>
      </c>
      <c r="J1257" s="6">
        <f>表1[[#This Row],[销售金额]]-表1[[#This Row],[退款金额]]</f>
        <v>808.0112080324302</v>
      </c>
      <c r="K1257" s="1">
        <v>921</v>
      </c>
      <c r="L1257" s="1">
        <v>810</v>
      </c>
    </row>
    <row r="1258" spans="1:12" x14ac:dyDescent="0.3">
      <c r="A1258" s="2">
        <v>45921</v>
      </c>
      <c r="B1258" s="1" t="s">
        <v>25</v>
      </c>
      <c r="C1258" s="1" t="s">
        <v>19</v>
      </c>
      <c r="D1258" s="1" t="s">
        <v>86</v>
      </c>
      <c r="E1258" s="1" t="s">
        <v>27</v>
      </c>
      <c r="F1258" s="1" t="s">
        <v>28</v>
      </c>
      <c r="G1258" s="4">
        <v>8</v>
      </c>
      <c r="H1258" s="4">
        <v>4694</v>
      </c>
      <c r="I1258" s="6">
        <v>3693.9887919675698</v>
      </c>
      <c r="J1258" s="6">
        <f>表1[[#This Row],[销售金额]]-表1[[#This Row],[退款金额]]</f>
        <v>1000.0112080324302</v>
      </c>
      <c r="K1258" s="1">
        <v>921</v>
      </c>
      <c r="L1258" s="1">
        <v>810</v>
      </c>
    </row>
    <row r="1259" spans="1:12" x14ac:dyDescent="0.3">
      <c r="A1259" s="2">
        <v>45921</v>
      </c>
      <c r="B1259" s="1" t="s">
        <v>25</v>
      </c>
      <c r="C1259" s="1" t="s">
        <v>19</v>
      </c>
      <c r="D1259" s="1" t="s">
        <v>86</v>
      </c>
      <c r="E1259" s="1" t="s">
        <v>27</v>
      </c>
      <c r="F1259" s="1" t="s">
        <v>28</v>
      </c>
      <c r="G1259" s="4">
        <v>8</v>
      </c>
      <c r="H1259" s="4">
        <v>4934</v>
      </c>
      <c r="I1259" s="6">
        <v>3693.9887919675698</v>
      </c>
      <c r="J1259" s="6">
        <f>表1[[#This Row],[销售金额]]-表1[[#This Row],[退款金额]]</f>
        <v>1240.0112080324302</v>
      </c>
      <c r="K1259" s="1">
        <v>921</v>
      </c>
      <c r="L1259" s="1">
        <v>810</v>
      </c>
    </row>
    <row r="1260" spans="1:12" x14ac:dyDescent="0.3">
      <c r="A1260" s="2">
        <v>45921</v>
      </c>
      <c r="B1260" s="1" t="s">
        <v>25</v>
      </c>
      <c r="C1260" s="1" t="s">
        <v>19</v>
      </c>
      <c r="D1260" s="1" t="s">
        <v>86</v>
      </c>
      <c r="E1260" s="1" t="s">
        <v>27</v>
      </c>
      <c r="F1260" s="1" t="s">
        <v>28</v>
      </c>
      <c r="G1260" s="4">
        <v>8</v>
      </c>
      <c r="H1260" s="4">
        <v>5261</v>
      </c>
      <c r="I1260" s="6">
        <v>3693.9887919675698</v>
      </c>
      <c r="J1260" s="6">
        <f>表1[[#This Row],[销售金额]]-表1[[#This Row],[退款金额]]</f>
        <v>1567.0112080324302</v>
      </c>
      <c r="K1260" s="1">
        <v>921</v>
      </c>
      <c r="L1260" s="1">
        <v>810</v>
      </c>
    </row>
    <row r="1261" spans="1:12" x14ac:dyDescent="0.3">
      <c r="A1261" s="2">
        <v>45921</v>
      </c>
      <c r="B1261" s="1" t="s">
        <v>25</v>
      </c>
      <c r="C1261" s="1" t="s">
        <v>19</v>
      </c>
      <c r="D1261" s="1" t="s">
        <v>86</v>
      </c>
      <c r="E1261" s="1" t="s">
        <v>27</v>
      </c>
      <c r="F1261" s="1" t="s">
        <v>28</v>
      </c>
      <c r="G1261" s="4">
        <v>8</v>
      </c>
      <c r="H1261" s="4">
        <v>7609</v>
      </c>
      <c r="I1261" s="6">
        <v>3693.9887919675698</v>
      </c>
      <c r="J1261" s="6">
        <f>表1[[#This Row],[销售金额]]-表1[[#This Row],[退款金额]]</f>
        <v>3915.0112080324302</v>
      </c>
      <c r="K1261" s="1">
        <v>921</v>
      </c>
      <c r="L1261" s="1">
        <v>810</v>
      </c>
    </row>
    <row r="1262" spans="1:12" x14ac:dyDescent="0.3">
      <c r="A1262" s="2">
        <v>45921</v>
      </c>
      <c r="B1262" s="1" t="s">
        <v>25</v>
      </c>
      <c r="C1262" s="1" t="s">
        <v>19</v>
      </c>
      <c r="D1262" s="1" t="s">
        <v>86</v>
      </c>
      <c r="E1262" s="1" t="s">
        <v>27</v>
      </c>
      <c r="F1262" s="1" t="s">
        <v>28</v>
      </c>
      <c r="G1262" s="4">
        <v>8</v>
      </c>
      <c r="H1262" s="4">
        <v>7919</v>
      </c>
      <c r="I1262" s="6">
        <v>3693.9887919675698</v>
      </c>
      <c r="J1262" s="6">
        <f>表1[[#This Row],[销售金额]]-表1[[#This Row],[退款金额]]</f>
        <v>4225.0112080324307</v>
      </c>
      <c r="K1262" s="1">
        <v>921</v>
      </c>
      <c r="L1262" s="1">
        <v>810</v>
      </c>
    </row>
    <row r="1263" spans="1:12" x14ac:dyDescent="0.3">
      <c r="A1263" s="2">
        <v>45921</v>
      </c>
      <c r="B1263" s="1" t="s">
        <v>25</v>
      </c>
      <c r="C1263" s="1" t="s">
        <v>19</v>
      </c>
      <c r="D1263" s="1" t="s">
        <v>86</v>
      </c>
      <c r="E1263" s="1" t="s">
        <v>27</v>
      </c>
      <c r="F1263" s="1" t="s">
        <v>28</v>
      </c>
      <c r="G1263" s="4">
        <v>8</v>
      </c>
      <c r="H1263" s="4">
        <v>4335</v>
      </c>
      <c r="I1263" s="6">
        <v>3693.9887919675698</v>
      </c>
      <c r="J1263" s="6">
        <f>表1[[#This Row],[销售金额]]-表1[[#This Row],[退款金额]]</f>
        <v>641.0112080324302</v>
      </c>
      <c r="K1263" s="1">
        <v>921</v>
      </c>
      <c r="L1263" s="1">
        <v>810</v>
      </c>
    </row>
    <row r="1264" spans="1:12" x14ac:dyDescent="0.3">
      <c r="A1264" s="2">
        <v>45921</v>
      </c>
      <c r="B1264" s="1" t="s">
        <v>250</v>
      </c>
      <c r="C1264" s="1" t="s">
        <v>19</v>
      </c>
      <c r="D1264" s="1" t="s">
        <v>80</v>
      </c>
      <c r="E1264" s="1" t="s">
        <v>17</v>
      </c>
      <c r="F1264" s="1" t="s">
        <v>18</v>
      </c>
      <c r="G1264" s="4">
        <v>14</v>
      </c>
      <c r="H1264" s="4">
        <v>9906</v>
      </c>
      <c r="I1264" s="6">
        <v>9676.4098961420714</v>
      </c>
      <c r="J1264" s="6">
        <f>表1[[#This Row],[销售金额]]-表1[[#This Row],[退款金额]]</f>
        <v>229.59010385792863</v>
      </c>
      <c r="K1264" s="1">
        <v>728</v>
      </c>
      <c r="L1264" s="1">
        <v>158</v>
      </c>
    </row>
    <row r="1265" spans="1:12" x14ac:dyDescent="0.3">
      <c r="A1265" s="2">
        <v>45921</v>
      </c>
      <c r="B1265" s="1" t="s">
        <v>250</v>
      </c>
      <c r="C1265" s="1" t="s">
        <v>19</v>
      </c>
      <c r="D1265" s="1" t="s">
        <v>80</v>
      </c>
      <c r="E1265" s="1" t="s">
        <v>17</v>
      </c>
      <c r="F1265" s="1" t="s">
        <v>18</v>
      </c>
      <c r="G1265" s="4">
        <v>14</v>
      </c>
      <c r="H1265" s="4">
        <v>12405</v>
      </c>
      <c r="I1265" s="6">
        <v>9676.4098961420714</v>
      </c>
      <c r="J1265" s="6">
        <f>表1[[#This Row],[销售金额]]-表1[[#This Row],[退款金额]]</f>
        <v>2728.5901038579286</v>
      </c>
      <c r="K1265" s="1">
        <v>728</v>
      </c>
      <c r="L1265" s="1">
        <v>158</v>
      </c>
    </row>
    <row r="1266" spans="1:12" x14ac:dyDescent="0.3">
      <c r="A1266" s="2">
        <v>45921</v>
      </c>
      <c r="B1266" s="1" t="s">
        <v>250</v>
      </c>
      <c r="C1266" s="1" t="s">
        <v>19</v>
      </c>
      <c r="D1266" s="1" t="s">
        <v>80</v>
      </c>
      <c r="E1266" s="1" t="s">
        <v>17</v>
      </c>
      <c r="F1266" s="1" t="s">
        <v>18</v>
      </c>
      <c r="G1266" s="4">
        <v>14</v>
      </c>
      <c r="H1266" s="4">
        <v>13637</v>
      </c>
      <c r="I1266" s="6">
        <v>9676.4098961420714</v>
      </c>
      <c r="J1266" s="6">
        <f>表1[[#This Row],[销售金额]]-表1[[#This Row],[退款金额]]</f>
        <v>3960.5901038579286</v>
      </c>
      <c r="K1266" s="1">
        <v>728</v>
      </c>
      <c r="L1266" s="1">
        <v>158</v>
      </c>
    </row>
    <row r="1267" spans="1:12" x14ac:dyDescent="0.3">
      <c r="A1267" s="2">
        <v>45921</v>
      </c>
      <c r="B1267" s="1" t="s">
        <v>250</v>
      </c>
      <c r="C1267" s="1" t="s">
        <v>19</v>
      </c>
      <c r="D1267" s="1" t="s">
        <v>80</v>
      </c>
      <c r="E1267" s="1" t="s">
        <v>17</v>
      </c>
      <c r="F1267" s="1" t="s">
        <v>18</v>
      </c>
      <c r="G1267" s="4">
        <v>14</v>
      </c>
      <c r="H1267" s="4">
        <v>10243</v>
      </c>
      <c r="I1267" s="6">
        <v>9676.4098961420714</v>
      </c>
      <c r="J1267" s="6">
        <f>表1[[#This Row],[销售金额]]-表1[[#This Row],[退款金额]]</f>
        <v>566.59010385792863</v>
      </c>
      <c r="K1267" s="1">
        <v>728</v>
      </c>
      <c r="L1267" s="1">
        <v>158</v>
      </c>
    </row>
    <row r="1268" spans="1:12" x14ac:dyDescent="0.3">
      <c r="A1268" s="2">
        <v>45921</v>
      </c>
      <c r="B1268" s="1" t="s">
        <v>250</v>
      </c>
      <c r="C1268" s="1" t="s">
        <v>19</v>
      </c>
      <c r="D1268" s="1" t="s">
        <v>80</v>
      </c>
      <c r="E1268" s="1" t="s">
        <v>17</v>
      </c>
      <c r="F1268" s="1" t="s">
        <v>18</v>
      </c>
      <c r="G1268" s="4">
        <v>14</v>
      </c>
      <c r="H1268" s="4">
        <v>11813</v>
      </c>
      <c r="I1268" s="6">
        <v>9676.4098961420714</v>
      </c>
      <c r="J1268" s="6">
        <f>表1[[#This Row],[销售金额]]-表1[[#This Row],[退款金额]]</f>
        <v>2136.5901038579286</v>
      </c>
      <c r="K1268" s="1">
        <v>728</v>
      </c>
      <c r="L1268" s="1">
        <v>158</v>
      </c>
    </row>
    <row r="1269" spans="1:12" x14ac:dyDescent="0.3">
      <c r="A1269" s="2">
        <v>45921</v>
      </c>
      <c r="B1269" s="1" t="s">
        <v>250</v>
      </c>
      <c r="C1269" s="1" t="s">
        <v>19</v>
      </c>
      <c r="D1269" s="1" t="s">
        <v>80</v>
      </c>
      <c r="E1269" s="1" t="s">
        <v>17</v>
      </c>
      <c r="F1269" s="1" t="s">
        <v>18</v>
      </c>
      <c r="G1269" s="4">
        <v>14</v>
      </c>
      <c r="H1269" s="4">
        <v>10698</v>
      </c>
      <c r="I1269" s="6">
        <v>9676.4098961420714</v>
      </c>
      <c r="J1269" s="6">
        <f>表1[[#This Row],[销售金额]]-表1[[#This Row],[退款金额]]</f>
        <v>1021.5901038579286</v>
      </c>
      <c r="K1269" s="1">
        <v>728</v>
      </c>
      <c r="L1269" s="1">
        <v>158</v>
      </c>
    </row>
    <row r="1270" spans="1:12" x14ac:dyDescent="0.3">
      <c r="A1270" s="2">
        <v>45921</v>
      </c>
      <c r="B1270" s="1" t="s">
        <v>250</v>
      </c>
      <c r="C1270" s="1" t="s">
        <v>19</v>
      </c>
      <c r="D1270" s="1" t="s">
        <v>80</v>
      </c>
      <c r="E1270" s="1" t="s">
        <v>17</v>
      </c>
      <c r="F1270" s="1" t="s">
        <v>18</v>
      </c>
      <c r="G1270" s="4">
        <v>14</v>
      </c>
      <c r="H1270" s="4">
        <v>12084</v>
      </c>
      <c r="I1270" s="6">
        <v>9676.4098961420714</v>
      </c>
      <c r="J1270" s="6">
        <f>表1[[#This Row],[销售金额]]-表1[[#This Row],[退款金额]]</f>
        <v>2407.5901038579286</v>
      </c>
      <c r="K1270" s="1">
        <v>728</v>
      </c>
      <c r="L1270" s="1">
        <v>158</v>
      </c>
    </row>
    <row r="1271" spans="1:12" x14ac:dyDescent="0.3">
      <c r="A1271" s="2">
        <v>45921</v>
      </c>
      <c r="B1271" s="1" t="s">
        <v>250</v>
      </c>
      <c r="C1271" s="1" t="s">
        <v>19</v>
      </c>
      <c r="D1271" s="1" t="s">
        <v>80</v>
      </c>
      <c r="E1271" s="1" t="s">
        <v>17</v>
      </c>
      <c r="F1271" s="1" t="s">
        <v>18</v>
      </c>
      <c r="G1271" s="4">
        <v>14</v>
      </c>
      <c r="H1271" s="4">
        <v>10866</v>
      </c>
      <c r="I1271" s="6">
        <v>9676.4098961420714</v>
      </c>
      <c r="J1271" s="6">
        <f>表1[[#This Row],[销售金额]]-表1[[#This Row],[退款金额]]</f>
        <v>1189.5901038579286</v>
      </c>
      <c r="K1271" s="1">
        <v>728</v>
      </c>
      <c r="L1271" s="1">
        <v>158</v>
      </c>
    </row>
    <row r="1272" spans="1:12" x14ac:dyDescent="0.3">
      <c r="A1272" s="2">
        <v>45921</v>
      </c>
      <c r="B1272" s="1" t="s">
        <v>250</v>
      </c>
      <c r="C1272" s="1" t="s">
        <v>19</v>
      </c>
      <c r="D1272" s="1" t="s">
        <v>80</v>
      </c>
      <c r="E1272" s="1" t="s">
        <v>17</v>
      </c>
      <c r="F1272" s="1" t="s">
        <v>18</v>
      </c>
      <c r="G1272" s="4">
        <v>14</v>
      </c>
      <c r="H1272" s="4">
        <v>12790</v>
      </c>
      <c r="I1272" s="6">
        <v>9676.4098961420714</v>
      </c>
      <c r="J1272" s="6">
        <f>表1[[#This Row],[销售金额]]-表1[[#This Row],[退款金额]]</f>
        <v>3113.5901038579286</v>
      </c>
      <c r="K1272" s="1">
        <v>728</v>
      </c>
      <c r="L1272" s="1">
        <v>158</v>
      </c>
    </row>
    <row r="1273" spans="1:12" x14ac:dyDescent="0.3">
      <c r="A1273" s="2">
        <v>45921</v>
      </c>
      <c r="B1273" s="1" t="s">
        <v>250</v>
      </c>
      <c r="C1273" s="1" t="s">
        <v>10</v>
      </c>
      <c r="D1273" s="1" t="s">
        <v>120</v>
      </c>
      <c r="E1273" s="1" t="s">
        <v>8</v>
      </c>
      <c r="F1273" s="1" t="s">
        <v>9</v>
      </c>
      <c r="G1273" s="4">
        <v>15</v>
      </c>
      <c r="H1273" s="4">
        <v>35690</v>
      </c>
      <c r="I1273" s="6">
        <v>31720.569417679519</v>
      </c>
      <c r="J1273" s="6">
        <f>表1[[#This Row],[销售金额]]-表1[[#This Row],[退款金额]]</f>
        <v>3969.4305823204813</v>
      </c>
      <c r="K1273" s="1">
        <v>945</v>
      </c>
      <c r="L1273" s="1">
        <v>493</v>
      </c>
    </row>
    <row r="1274" spans="1:12" x14ac:dyDescent="0.3">
      <c r="A1274" s="2">
        <v>45921</v>
      </c>
      <c r="B1274" s="1" t="s">
        <v>15</v>
      </c>
      <c r="C1274" s="1" t="s">
        <v>10</v>
      </c>
      <c r="D1274" s="1" t="s">
        <v>131</v>
      </c>
      <c r="E1274" s="1" t="s">
        <v>13</v>
      </c>
      <c r="F1274" s="1" t="s">
        <v>14</v>
      </c>
      <c r="G1274" s="4">
        <v>15</v>
      </c>
      <c r="H1274" s="4">
        <v>3875</v>
      </c>
      <c r="I1274" s="6">
        <v>3092.2299734314443</v>
      </c>
      <c r="J1274" s="6">
        <f>表1[[#This Row],[销售金额]]-表1[[#This Row],[退款金额]]</f>
        <v>782.77002656855575</v>
      </c>
      <c r="K1274" s="1">
        <v>889</v>
      </c>
      <c r="L1274" s="1">
        <v>692</v>
      </c>
    </row>
    <row r="1275" spans="1:12" x14ac:dyDescent="0.3">
      <c r="A1275" s="2">
        <v>45921</v>
      </c>
      <c r="B1275" s="1" t="s">
        <v>250</v>
      </c>
      <c r="C1275" s="1" t="s">
        <v>10</v>
      </c>
      <c r="D1275" s="1" t="s">
        <v>120</v>
      </c>
      <c r="E1275" s="1" t="s">
        <v>8</v>
      </c>
      <c r="F1275" s="1" t="s">
        <v>9</v>
      </c>
      <c r="G1275" s="4">
        <v>15</v>
      </c>
      <c r="H1275" s="4">
        <v>33691</v>
      </c>
      <c r="I1275" s="6">
        <v>31720.569417679519</v>
      </c>
      <c r="J1275" s="6">
        <f>表1[[#This Row],[销售金额]]-表1[[#This Row],[退款金额]]</f>
        <v>1970.4305823204813</v>
      </c>
      <c r="K1275" s="1">
        <v>945</v>
      </c>
      <c r="L1275" s="1">
        <v>493</v>
      </c>
    </row>
    <row r="1276" spans="1:12" x14ac:dyDescent="0.3">
      <c r="A1276" s="2">
        <v>45921</v>
      </c>
      <c r="B1276" s="1" t="s">
        <v>15</v>
      </c>
      <c r="C1276" s="1" t="s">
        <v>10</v>
      </c>
      <c r="D1276" s="1" t="s">
        <v>131</v>
      </c>
      <c r="E1276" s="1" t="s">
        <v>13</v>
      </c>
      <c r="F1276" s="1" t="s">
        <v>14</v>
      </c>
      <c r="G1276" s="4">
        <v>15</v>
      </c>
      <c r="H1276" s="4">
        <v>6583</v>
      </c>
      <c r="I1276" s="6">
        <v>3092.2299734314443</v>
      </c>
      <c r="J1276" s="6">
        <f>表1[[#This Row],[销售金额]]-表1[[#This Row],[退款金额]]</f>
        <v>3490.7700265685557</v>
      </c>
      <c r="K1276" s="1">
        <v>889</v>
      </c>
      <c r="L1276" s="1">
        <v>692</v>
      </c>
    </row>
    <row r="1277" spans="1:12" x14ac:dyDescent="0.3">
      <c r="A1277" s="2">
        <v>45921</v>
      </c>
      <c r="B1277" s="1" t="s">
        <v>250</v>
      </c>
      <c r="C1277" s="1" t="s">
        <v>10</v>
      </c>
      <c r="D1277" s="1" t="s">
        <v>120</v>
      </c>
      <c r="E1277" s="1" t="s">
        <v>8</v>
      </c>
      <c r="F1277" s="1" t="s">
        <v>9</v>
      </c>
      <c r="G1277" s="4">
        <v>15</v>
      </c>
      <c r="H1277" s="4">
        <v>35650</v>
      </c>
      <c r="I1277" s="6">
        <v>31720.569417679519</v>
      </c>
      <c r="J1277" s="6">
        <f>表1[[#This Row],[销售金额]]-表1[[#This Row],[退款金额]]</f>
        <v>3929.4305823204813</v>
      </c>
      <c r="K1277" s="1">
        <v>945</v>
      </c>
      <c r="L1277" s="1">
        <v>493</v>
      </c>
    </row>
    <row r="1278" spans="1:12" x14ac:dyDescent="0.3">
      <c r="A1278" s="2">
        <v>45921</v>
      </c>
      <c r="B1278" s="1" t="s">
        <v>15</v>
      </c>
      <c r="C1278" s="1" t="s">
        <v>10</v>
      </c>
      <c r="D1278" s="1" t="s">
        <v>131</v>
      </c>
      <c r="E1278" s="1" t="s">
        <v>13</v>
      </c>
      <c r="F1278" s="1" t="s">
        <v>14</v>
      </c>
      <c r="G1278" s="4">
        <v>15</v>
      </c>
      <c r="H1278" s="4">
        <v>6269</v>
      </c>
      <c r="I1278" s="6">
        <v>3092.2299734314443</v>
      </c>
      <c r="J1278" s="6">
        <f>表1[[#This Row],[销售金额]]-表1[[#This Row],[退款金额]]</f>
        <v>3176.7700265685557</v>
      </c>
      <c r="K1278" s="1">
        <v>889</v>
      </c>
      <c r="L1278" s="1">
        <v>692</v>
      </c>
    </row>
    <row r="1279" spans="1:12" x14ac:dyDescent="0.3">
      <c r="A1279" s="2">
        <v>45921</v>
      </c>
      <c r="B1279" s="1" t="s">
        <v>250</v>
      </c>
      <c r="C1279" s="1" t="s">
        <v>10</v>
      </c>
      <c r="D1279" s="1" t="s">
        <v>120</v>
      </c>
      <c r="E1279" s="1" t="s">
        <v>8</v>
      </c>
      <c r="F1279" s="1" t="s">
        <v>9</v>
      </c>
      <c r="G1279" s="4">
        <v>15</v>
      </c>
      <c r="H1279" s="4">
        <v>34222</v>
      </c>
      <c r="I1279" s="6">
        <v>31720.569417679519</v>
      </c>
      <c r="J1279" s="6">
        <f>表1[[#This Row],[销售金额]]-表1[[#This Row],[退款金额]]</f>
        <v>2501.4305823204813</v>
      </c>
      <c r="K1279" s="1">
        <v>945</v>
      </c>
      <c r="L1279" s="1">
        <v>493</v>
      </c>
    </row>
    <row r="1280" spans="1:12" x14ac:dyDescent="0.3">
      <c r="A1280" s="2">
        <v>45921</v>
      </c>
      <c r="B1280" s="1" t="s">
        <v>15</v>
      </c>
      <c r="C1280" s="1" t="s">
        <v>10</v>
      </c>
      <c r="D1280" s="1" t="s">
        <v>131</v>
      </c>
      <c r="E1280" s="1" t="s">
        <v>13</v>
      </c>
      <c r="F1280" s="1" t="s">
        <v>14</v>
      </c>
      <c r="G1280" s="4">
        <v>15</v>
      </c>
      <c r="H1280" s="4">
        <v>6511</v>
      </c>
      <c r="I1280" s="6">
        <v>3092.2299734314443</v>
      </c>
      <c r="J1280" s="6">
        <f>表1[[#This Row],[销售金额]]-表1[[#This Row],[退款金额]]</f>
        <v>3418.7700265685557</v>
      </c>
      <c r="K1280" s="1">
        <v>889</v>
      </c>
      <c r="L1280" s="1">
        <v>692</v>
      </c>
    </row>
    <row r="1281" spans="1:12" x14ac:dyDescent="0.3">
      <c r="A1281" s="2">
        <v>45921</v>
      </c>
      <c r="B1281" s="1" t="s">
        <v>250</v>
      </c>
      <c r="C1281" s="1" t="s">
        <v>10</v>
      </c>
      <c r="D1281" s="1" t="s">
        <v>120</v>
      </c>
      <c r="E1281" s="1" t="s">
        <v>8</v>
      </c>
      <c r="F1281" s="1" t="s">
        <v>9</v>
      </c>
      <c r="G1281" s="4">
        <v>15</v>
      </c>
      <c r="H1281" s="4">
        <v>33721</v>
      </c>
      <c r="I1281" s="6">
        <v>31720.569417679519</v>
      </c>
      <c r="J1281" s="6">
        <f>表1[[#This Row],[销售金额]]-表1[[#This Row],[退款金额]]</f>
        <v>2000.4305823204813</v>
      </c>
      <c r="K1281" s="1">
        <v>945</v>
      </c>
      <c r="L1281" s="1">
        <v>493</v>
      </c>
    </row>
    <row r="1282" spans="1:12" x14ac:dyDescent="0.3">
      <c r="A1282" s="2">
        <v>45921</v>
      </c>
      <c r="B1282" s="1" t="s">
        <v>15</v>
      </c>
      <c r="C1282" s="1" t="s">
        <v>10</v>
      </c>
      <c r="D1282" s="1" t="s">
        <v>131</v>
      </c>
      <c r="E1282" s="1" t="s">
        <v>13</v>
      </c>
      <c r="F1282" s="1" t="s">
        <v>14</v>
      </c>
      <c r="G1282" s="4">
        <v>15</v>
      </c>
      <c r="H1282" s="4">
        <v>6728</v>
      </c>
      <c r="I1282" s="6">
        <v>3092.2299734314443</v>
      </c>
      <c r="J1282" s="6">
        <f>表1[[#This Row],[销售金额]]-表1[[#This Row],[退款金额]]</f>
        <v>3635.7700265685557</v>
      </c>
      <c r="K1282" s="1">
        <v>889</v>
      </c>
      <c r="L1282" s="1">
        <v>692</v>
      </c>
    </row>
    <row r="1283" spans="1:12" x14ac:dyDescent="0.3">
      <c r="A1283" s="2">
        <v>45921</v>
      </c>
      <c r="B1283" s="1" t="s">
        <v>250</v>
      </c>
      <c r="C1283" s="1" t="s">
        <v>10</v>
      </c>
      <c r="D1283" s="1" t="s">
        <v>120</v>
      </c>
      <c r="E1283" s="1" t="s">
        <v>8</v>
      </c>
      <c r="F1283" s="1" t="s">
        <v>9</v>
      </c>
      <c r="G1283" s="4">
        <v>15</v>
      </c>
      <c r="H1283" s="4">
        <v>32153</v>
      </c>
      <c r="I1283" s="6">
        <v>31720.569417679519</v>
      </c>
      <c r="J1283" s="6">
        <f>表1[[#This Row],[销售金额]]-表1[[#This Row],[退款金额]]</f>
        <v>432.43058232048134</v>
      </c>
      <c r="K1283" s="1">
        <v>945</v>
      </c>
      <c r="L1283" s="1">
        <v>493</v>
      </c>
    </row>
    <row r="1284" spans="1:12" x14ac:dyDescent="0.3">
      <c r="A1284" s="2">
        <v>45921</v>
      </c>
      <c r="B1284" s="1" t="s">
        <v>15</v>
      </c>
      <c r="C1284" s="1" t="s">
        <v>10</v>
      </c>
      <c r="D1284" s="1" t="s">
        <v>131</v>
      </c>
      <c r="E1284" s="1" t="s">
        <v>13</v>
      </c>
      <c r="F1284" s="1" t="s">
        <v>14</v>
      </c>
      <c r="G1284" s="4">
        <v>15</v>
      </c>
      <c r="H1284" s="4">
        <v>6952</v>
      </c>
      <c r="I1284" s="6">
        <v>3092.2299734314443</v>
      </c>
      <c r="J1284" s="6">
        <f>表1[[#This Row],[销售金额]]-表1[[#This Row],[退款金额]]</f>
        <v>3859.7700265685557</v>
      </c>
      <c r="K1284" s="1">
        <v>889</v>
      </c>
      <c r="L1284" s="1">
        <v>692</v>
      </c>
    </row>
    <row r="1285" spans="1:12" x14ac:dyDescent="0.3">
      <c r="A1285" s="2">
        <v>45921</v>
      </c>
      <c r="B1285" s="1" t="s">
        <v>250</v>
      </c>
      <c r="C1285" s="1" t="s">
        <v>10</v>
      </c>
      <c r="D1285" s="1" t="s">
        <v>120</v>
      </c>
      <c r="E1285" s="1" t="s">
        <v>8</v>
      </c>
      <c r="F1285" s="1" t="s">
        <v>9</v>
      </c>
      <c r="G1285" s="4">
        <v>15</v>
      </c>
      <c r="H1285" s="4">
        <v>33141</v>
      </c>
      <c r="I1285" s="6">
        <v>31720.569417679519</v>
      </c>
      <c r="J1285" s="6">
        <f>表1[[#This Row],[销售金额]]-表1[[#This Row],[退款金额]]</f>
        <v>1420.4305823204813</v>
      </c>
      <c r="K1285" s="1">
        <v>945</v>
      </c>
      <c r="L1285" s="1">
        <v>493</v>
      </c>
    </row>
    <row r="1286" spans="1:12" x14ac:dyDescent="0.3">
      <c r="A1286" s="2">
        <v>45921</v>
      </c>
      <c r="B1286" s="1" t="s">
        <v>15</v>
      </c>
      <c r="C1286" s="1" t="s">
        <v>10</v>
      </c>
      <c r="D1286" s="1" t="s">
        <v>131</v>
      </c>
      <c r="E1286" s="1" t="s">
        <v>13</v>
      </c>
      <c r="F1286" s="1" t="s">
        <v>14</v>
      </c>
      <c r="G1286" s="4">
        <v>15</v>
      </c>
      <c r="H1286" s="4">
        <v>3853</v>
      </c>
      <c r="I1286" s="6">
        <v>3092.2299734314443</v>
      </c>
      <c r="J1286" s="6">
        <f>表1[[#This Row],[销售金额]]-表1[[#This Row],[退款金额]]</f>
        <v>760.77002656855575</v>
      </c>
      <c r="K1286" s="1">
        <v>889</v>
      </c>
      <c r="L1286" s="1">
        <v>692</v>
      </c>
    </row>
    <row r="1287" spans="1:12" x14ac:dyDescent="0.3">
      <c r="A1287" s="2">
        <v>45921</v>
      </c>
      <c r="B1287" s="1" t="s">
        <v>250</v>
      </c>
      <c r="C1287" s="1" t="s">
        <v>10</v>
      </c>
      <c r="D1287" s="1" t="s">
        <v>120</v>
      </c>
      <c r="E1287" s="1" t="s">
        <v>8</v>
      </c>
      <c r="F1287" s="1" t="s">
        <v>9</v>
      </c>
      <c r="G1287" s="4">
        <v>15</v>
      </c>
      <c r="H1287" s="4">
        <v>34814</v>
      </c>
      <c r="I1287" s="6">
        <v>31720.569417679519</v>
      </c>
      <c r="J1287" s="6">
        <f>表1[[#This Row],[销售金额]]-表1[[#This Row],[退款金额]]</f>
        <v>3093.4305823204813</v>
      </c>
      <c r="K1287" s="1">
        <v>945</v>
      </c>
      <c r="L1287" s="1">
        <v>493</v>
      </c>
    </row>
    <row r="1288" spans="1:12" x14ac:dyDescent="0.3">
      <c r="A1288" s="2">
        <v>45921</v>
      </c>
      <c r="B1288" s="1" t="s">
        <v>15</v>
      </c>
      <c r="C1288" s="1" t="s">
        <v>10</v>
      </c>
      <c r="D1288" s="1" t="s">
        <v>131</v>
      </c>
      <c r="E1288" s="1" t="s">
        <v>13</v>
      </c>
      <c r="F1288" s="1" t="s">
        <v>14</v>
      </c>
      <c r="G1288" s="4">
        <v>15</v>
      </c>
      <c r="H1288" s="4">
        <v>7037</v>
      </c>
      <c r="I1288" s="6">
        <v>3092.2299734314443</v>
      </c>
      <c r="J1288" s="6">
        <f>表1[[#This Row],[销售金额]]-表1[[#This Row],[退款金额]]</f>
        <v>3944.7700265685557</v>
      </c>
      <c r="K1288" s="1">
        <v>889</v>
      </c>
      <c r="L1288" s="1">
        <v>692</v>
      </c>
    </row>
    <row r="1289" spans="1:12" x14ac:dyDescent="0.3">
      <c r="A1289" s="2">
        <v>45921</v>
      </c>
      <c r="B1289" s="1" t="s">
        <v>250</v>
      </c>
      <c r="C1289" s="1" t="s">
        <v>10</v>
      </c>
      <c r="D1289" s="1" t="s">
        <v>120</v>
      </c>
      <c r="E1289" s="1" t="s">
        <v>8</v>
      </c>
      <c r="F1289" s="1" t="s">
        <v>9</v>
      </c>
      <c r="G1289" s="4">
        <v>15</v>
      </c>
      <c r="H1289" s="4">
        <v>35214</v>
      </c>
      <c r="I1289" s="6">
        <v>31720.569417679519</v>
      </c>
      <c r="J1289" s="6">
        <f>表1[[#This Row],[销售金额]]-表1[[#This Row],[退款金额]]</f>
        <v>3493.4305823204813</v>
      </c>
      <c r="K1289" s="1">
        <v>945</v>
      </c>
      <c r="L1289" s="1">
        <v>493</v>
      </c>
    </row>
    <row r="1290" spans="1:12" x14ac:dyDescent="0.3">
      <c r="A1290" s="2">
        <v>45921</v>
      </c>
      <c r="B1290" s="1" t="s">
        <v>15</v>
      </c>
      <c r="C1290" s="1" t="s">
        <v>10</v>
      </c>
      <c r="D1290" s="1" t="s">
        <v>131</v>
      </c>
      <c r="E1290" s="1" t="s">
        <v>13</v>
      </c>
      <c r="F1290" s="1" t="s">
        <v>14</v>
      </c>
      <c r="G1290" s="4">
        <v>15</v>
      </c>
      <c r="H1290" s="4">
        <v>4701</v>
      </c>
      <c r="I1290" s="6">
        <v>3092.2299734314443</v>
      </c>
      <c r="J1290" s="6">
        <f>表1[[#This Row],[销售金额]]-表1[[#This Row],[退款金额]]</f>
        <v>1608.7700265685557</v>
      </c>
      <c r="K1290" s="1">
        <v>889</v>
      </c>
      <c r="L1290" s="1">
        <v>692</v>
      </c>
    </row>
    <row r="1291" spans="1:12" x14ac:dyDescent="0.3">
      <c r="A1291" s="2">
        <v>45922</v>
      </c>
      <c r="B1291" s="1" t="s">
        <v>248</v>
      </c>
      <c r="C1291" s="1" t="s">
        <v>32</v>
      </c>
      <c r="D1291" s="1" t="s">
        <v>147</v>
      </c>
      <c r="E1291" s="1" t="s">
        <v>30</v>
      </c>
      <c r="F1291" s="1" t="s">
        <v>31</v>
      </c>
      <c r="G1291" s="4">
        <v>6</v>
      </c>
      <c r="H1291" s="4">
        <v>3778</v>
      </c>
      <c r="I1291" s="6">
        <v>1134.3875907393019</v>
      </c>
      <c r="J1291" s="6">
        <f>表1[[#This Row],[销售金额]]-表1[[#This Row],[退款金额]]</f>
        <v>2643.6124092606979</v>
      </c>
      <c r="K1291" s="1">
        <v>299</v>
      </c>
      <c r="L1291" s="1">
        <v>841</v>
      </c>
    </row>
    <row r="1292" spans="1:12" x14ac:dyDescent="0.3">
      <c r="A1292" s="2">
        <v>45922</v>
      </c>
      <c r="B1292" s="1" t="s">
        <v>248</v>
      </c>
      <c r="C1292" s="1" t="s">
        <v>32</v>
      </c>
      <c r="D1292" s="1" t="s">
        <v>147</v>
      </c>
      <c r="E1292" s="1" t="s">
        <v>30</v>
      </c>
      <c r="F1292" s="1" t="s">
        <v>31</v>
      </c>
      <c r="G1292" s="4">
        <v>6</v>
      </c>
      <c r="H1292" s="4">
        <v>2544</v>
      </c>
      <c r="I1292" s="6">
        <v>1134.3875907393019</v>
      </c>
      <c r="J1292" s="6">
        <f>表1[[#This Row],[销售金额]]-表1[[#This Row],[退款金额]]</f>
        <v>1409.6124092606981</v>
      </c>
      <c r="K1292" s="1">
        <v>299</v>
      </c>
      <c r="L1292" s="1">
        <v>841</v>
      </c>
    </row>
    <row r="1293" spans="1:12" x14ac:dyDescent="0.3">
      <c r="A1293" s="2">
        <v>45922</v>
      </c>
      <c r="B1293" s="1" t="s">
        <v>248</v>
      </c>
      <c r="C1293" s="1" t="s">
        <v>32</v>
      </c>
      <c r="D1293" s="1" t="s">
        <v>147</v>
      </c>
      <c r="E1293" s="1" t="s">
        <v>30</v>
      </c>
      <c r="F1293" s="1" t="s">
        <v>31</v>
      </c>
      <c r="G1293" s="4">
        <v>6</v>
      </c>
      <c r="H1293" s="4">
        <v>1715</v>
      </c>
      <c r="I1293" s="6">
        <v>1134.3875907393019</v>
      </c>
      <c r="J1293" s="6">
        <f>表1[[#This Row],[销售金额]]-表1[[#This Row],[退款金额]]</f>
        <v>580.61240926069809</v>
      </c>
      <c r="K1293" s="1">
        <v>299</v>
      </c>
      <c r="L1293" s="1">
        <v>841</v>
      </c>
    </row>
    <row r="1294" spans="1:12" x14ac:dyDescent="0.3">
      <c r="A1294" s="2">
        <v>45922</v>
      </c>
      <c r="B1294" s="1" t="s">
        <v>248</v>
      </c>
      <c r="C1294" s="1" t="s">
        <v>32</v>
      </c>
      <c r="D1294" s="1" t="s">
        <v>147</v>
      </c>
      <c r="E1294" s="1" t="s">
        <v>30</v>
      </c>
      <c r="F1294" s="1" t="s">
        <v>31</v>
      </c>
      <c r="G1294" s="4">
        <v>6</v>
      </c>
      <c r="H1294" s="4">
        <v>5602</v>
      </c>
      <c r="I1294" s="6">
        <v>1134.3875907393019</v>
      </c>
      <c r="J1294" s="6">
        <f>表1[[#This Row],[销售金额]]-表1[[#This Row],[退款金额]]</f>
        <v>4467.6124092606979</v>
      </c>
      <c r="K1294" s="1">
        <v>299</v>
      </c>
      <c r="L1294" s="1">
        <v>841</v>
      </c>
    </row>
    <row r="1295" spans="1:12" x14ac:dyDescent="0.3">
      <c r="A1295" s="2">
        <v>45922</v>
      </c>
      <c r="B1295" s="1" t="s">
        <v>248</v>
      </c>
      <c r="C1295" s="1" t="s">
        <v>32</v>
      </c>
      <c r="D1295" s="1" t="s">
        <v>147</v>
      </c>
      <c r="E1295" s="1" t="s">
        <v>30</v>
      </c>
      <c r="F1295" s="1" t="s">
        <v>31</v>
      </c>
      <c r="G1295" s="4">
        <v>6</v>
      </c>
      <c r="H1295" s="4">
        <v>2648</v>
      </c>
      <c r="I1295" s="6">
        <v>1134.3875907393019</v>
      </c>
      <c r="J1295" s="6">
        <f>表1[[#This Row],[销售金额]]-表1[[#This Row],[退款金额]]</f>
        <v>1513.6124092606981</v>
      </c>
      <c r="K1295" s="1">
        <v>299</v>
      </c>
      <c r="L1295" s="1">
        <v>841</v>
      </c>
    </row>
    <row r="1296" spans="1:12" x14ac:dyDescent="0.3">
      <c r="A1296" s="2">
        <v>45922</v>
      </c>
      <c r="B1296" s="1" t="s">
        <v>248</v>
      </c>
      <c r="C1296" s="1" t="s">
        <v>32</v>
      </c>
      <c r="D1296" s="1" t="s">
        <v>147</v>
      </c>
      <c r="E1296" s="1" t="s">
        <v>30</v>
      </c>
      <c r="F1296" s="1" t="s">
        <v>31</v>
      </c>
      <c r="G1296" s="4">
        <v>6</v>
      </c>
      <c r="H1296" s="4">
        <v>3547</v>
      </c>
      <c r="I1296" s="6">
        <v>1134.3875907393019</v>
      </c>
      <c r="J1296" s="6">
        <f>表1[[#This Row],[销售金额]]-表1[[#This Row],[退款金额]]</f>
        <v>2412.6124092606979</v>
      </c>
      <c r="K1296" s="1">
        <v>299</v>
      </c>
      <c r="L1296" s="1">
        <v>841</v>
      </c>
    </row>
    <row r="1297" spans="1:12" x14ac:dyDescent="0.3">
      <c r="A1297" s="2">
        <v>45922</v>
      </c>
      <c r="B1297" s="1" t="s">
        <v>248</v>
      </c>
      <c r="C1297" s="1" t="s">
        <v>32</v>
      </c>
      <c r="D1297" s="1" t="s">
        <v>147</v>
      </c>
      <c r="E1297" s="1" t="s">
        <v>30</v>
      </c>
      <c r="F1297" s="1" t="s">
        <v>31</v>
      </c>
      <c r="G1297" s="4">
        <v>6</v>
      </c>
      <c r="H1297" s="4">
        <v>3675</v>
      </c>
      <c r="I1297" s="6">
        <v>1134.3875907393019</v>
      </c>
      <c r="J1297" s="6">
        <f>表1[[#This Row],[销售金额]]-表1[[#This Row],[退款金额]]</f>
        <v>2540.6124092606979</v>
      </c>
      <c r="K1297" s="1">
        <v>299</v>
      </c>
      <c r="L1297" s="1">
        <v>841</v>
      </c>
    </row>
    <row r="1298" spans="1:12" x14ac:dyDescent="0.3">
      <c r="A1298" s="2">
        <v>45922</v>
      </c>
      <c r="B1298" s="1" t="s">
        <v>248</v>
      </c>
      <c r="C1298" s="1" t="s">
        <v>32</v>
      </c>
      <c r="D1298" s="1" t="s">
        <v>147</v>
      </c>
      <c r="E1298" s="1" t="s">
        <v>30</v>
      </c>
      <c r="F1298" s="1" t="s">
        <v>31</v>
      </c>
      <c r="G1298" s="4">
        <v>6</v>
      </c>
      <c r="H1298" s="4">
        <v>5323</v>
      </c>
      <c r="I1298" s="6">
        <v>1134.3875907393019</v>
      </c>
      <c r="J1298" s="6">
        <f>表1[[#This Row],[销售金额]]-表1[[#This Row],[退款金额]]</f>
        <v>4188.6124092606979</v>
      </c>
      <c r="K1298" s="1">
        <v>299</v>
      </c>
      <c r="L1298" s="1">
        <v>841</v>
      </c>
    </row>
    <row r="1299" spans="1:12" x14ac:dyDescent="0.3">
      <c r="A1299" s="2">
        <v>45922</v>
      </c>
      <c r="B1299" s="1" t="s">
        <v>248</v>
      </c>
      <c r="C1299" s="1" t="s">
        <v>32</v>
      </c>
      <c r="D1299" s="1" t="s">
        <v>147</v>
      </c>
      <c r="E1299" s="1" t="s">
        <v>30</v>
      </c>
      <c r="F1299" s="1" t="s">
        <v>31</v>
      </c>
      <c r="G1299" s="4">
        <v>6</v>
      </c>
      <c r="H1299" s="4">
        <v>3517</v>
      </c>
      <c r="I1299" s="6">
        <v>1134.3875907393019</v>
      </c>
      <c r="J1299" s="6">
        <f>表1[[#This Row],[销售金额]]-表1[[#This Row],[退款金额]]</f>
        <v>2382.6124092606979</v>
      </c>
      <c r="K1299" s="1">
        <v>299</v>
      </c>
      <c r="L1299" s="1">
        <v>841</v>
      </c>
    </row>
    <row r="1300" spans="1:12" x14ac:dyDescent="0.3">
      <c r="A1300" s="2">
        <v>45922</v>
      </c>
      <c r="B1300" s="1" t="s">
        <v>247</v>
      </c>
      <c r="C1300" s="1" t="s">
        <v>19</v>
      </c>
      <c r="D1300" s="1" t="s">
        <v>214</v>
      </c>
      <c r="E1300" s="1" t="s">
        <v>51</v>
      </c>
      <c r="F1300" s="1" t="s">
        <v>52</v>
      </c>
      <c r="G1300" s="4">
        <v>9</v>
      </c>
      <c r="H1300" s="4">
        <v>3863</v>
      </c>
      <c r="I1300" s="6">
        <v>1650.6764961541467</v>
      </c>
      <c r="J1300" s="6">
        <f>表1[[#This Row],[销售金额]]-表1[[#This Row],[退款金额]]</f>
        <v>2212.3235038458533</v>
      </c>
      <c r="K1300" s="1">
        <v>334</v>
      </c>
      <c r="L1300" s="1">
        <v>913</v>
      </c>
    </row>
    <row r="1301" spans="1:12" x14ac:dyDescent="0.3">
      <c r="A1301" s="2">
        <v>45922</v>
      </c>
      <c r="B1301" s="1" t="s">
        <v>247</v>
      </c>
      <c r="C1301" s="1" t="s">
        <v>19</v>
      </c>
      <c r="D1301" s="1" t="s">
        <v>214</v>
      </c>
      <c r="E1301" s="1" t="s">
        <v>51</v>
      </c>
      <c r="F1301" s="1" t="s">
        <v>52</v>
      </c>
      <c r="G1301" s="4">
        <v>9</v>
      </c>
      <c r="H1301" s="4">
        <v>5115</v>
      </c>
      <c r="I1301" s="6">
        <v>1650.6764961541467</v>
      </c>
      <c r="J1301" s="6">
        <f>表1[[#This Row],[销售金额]]-表1[[#This Row],[退款金额]]</f>
        <v>3464.3235038458533</v>
      </c>
      <c r="K1301" s="1">
        <v>334</v>
      </c>
      <c r="L1301" s="1">
        <v>913</v>
      </c>
    </row>
    <row r="1302" spans="1:12" x14ac:dyDescent="0.3">
      <c r="A1302" s="2">
        <v>45922</v>
      </c>
      <c r="B1302" s="1" t="s">
        <v>247</v>
      </c>
      <c r="C1302" s="1" t="s">
        <v>19</v>
      </c>
      <c r="D1302" s="1" t="s">
        <v>214</v>
      </c>
      <c r="E1302" s="1" t="s">
        <v>51</v>
      </c>
      <c r="F1302" s="1" t="s">
        <v>52</v>
      </c>
      <c r="G1302" s="4">
        <v>9</v>
      </c>
      <c r="H1302" s="4">
        <v>3316</v>
      </c>
      <c r="I1302" s="6">
        <v>1650.6764961541467</v>
      </c>
      <c r="J1302" s="6">
        <f>表1[[#This Row],[销售金额]]-表1[[#This Row],[退款金额]]</f>
        <v>1665.3235038458533</v>
      </c>
      <c r="K1302" s="1">
        <v>334</v>
      </c>
      <c r="L1302" s="1">
        <v>913</v>
      </c>
    </row>
    <row r="1303" spans="1:12" x14ac:dyDescent="0.3">
      <c r="A1303" s="2">
        <v>45922</v>
      </c>
      <c r="B1303" s="1" t="s">
        <v>247</v>
      </c>
      <c r="C1303" s="1" t="s">
        <v>19</v>
      </c>
      <c r="D1303" s="1" t="s">
        <v>214</v>
      </c>
      <c r="E1303" s="1" t="s">
        <v>51</v>
      </c>
      <c r="F1303" s="1" t="s">
        <v>52</v>
      </c>
      <c r="G1303" s="4">
        <v>9</v>
      </c>
      <c r="H1303" s="4">
        <v>2506</v>
      </c>
      <c r="I1303" s="6">
        <v>1650.6764961541467</v>
      </c>
      <c r="J1303" s="6">
        <f>表1[[#This Row],[销售金额]]-表1[[#This Row],[退款金额]]</f>
        <v>855.32350384585334</v>
      </c>
      <c r="K1303" s="1">
        <v>334</v>
      </c>
      <c r="L1303" s="1">
        <v>913</v>
      </c>
    </row>
    <row r="1304" spans="1:12" x14ac:dyDescent="0.3">
      <c r="A1304" s="2">
        <v>45922</v>
      </c>
      <c r="B1304" s="1" t="s">
        <v>247</v>
      </c>
      <c r="C1304" s="1" t="s">
        <v>19</v>
      </c>
      <c r="D1304" s="1" t="s">
        <v>214</v>
      </c>
      <c r="E1304" s="1" t="s">
        <v>51</v>
      </c>
      <c r="F1304" s="1" t="s">
        <v>52</v>
      </c>
      <c r="G1304" s="4">
        <v>9</v>
      </c>
      <c r="H1304" s="4">
        <v>2439</v>
      </c>
      <c r="I1304" s="6">
        <v>1650.6764961541467</v>
      </c>
      <c r="J1304" s="6">
        <f>表1[[#This Row],[销售金额]]-表1[[#This Row],[退款金额]]</f>
        <v>788.32350384585334</v>
      </c>
      <c r="K1304" s="1">
        <v>334</v>
      </c>
      <c r="L1304" s="1">
        <v>913</v>
      </c>
    </row>
    <row r="1305" spans="1:12" x14ac:dyDescent="0.3">
      <c r="A1305" s="2">
        <v>45922</v>
      </c>
      <c r="B1305" s="1" t="s">
        <v>247</v>
      </c>
      <c r="C1305" s="1" t="s">
        <v>19</v>
      </c>
      <c r="D1305" s="1" t="s">
        <v>214</v>
      </c>
      <c r="E1305" s="1" t="s">
        <v>51</v>
      </c>
      <c r="F1305" s="1" t="s">
        <v>52</v>
      </c>
      <c r="G1305" s="4">
        <v>9</v>
      </c>
      <c r="H1305" s="4">
        <v>5012</v>
      </c>
      <c r="I1305" s="6">
        <v>1650.6764961541467</v>
      </c>
      <c r="J1305" s="6">
        <f>表1[[#This Row],[销售金额]]-表1[[#This Row],[退款金额]]</f>
        <v>3361.3235038458533</v>
      </c>
      <c r="K1305" s="1">
        <v>334</v>
      </c>
      <c r="L1305" s="1">
        <v>913</v>
      </c>
    </row>
    <row r="1306" spans="1:12" x14ac:dyDescent="0.3">
      <c r="A1306" s="2">
        <v>45922</v>
      </c>
      <c r="B1306" s="1" t="s">
        <v>247</v>
      </c>
      <c r="C1306" s="1" t="s">
        <v>19</v>
      </c>
      <c r="D1306" s="1" t="s">
        <v>214</v>
      </c>
      <c r="E1306" s="1" t="s">
        <v>51</v>
      </c>
      <c r="F1306" s="1" t="s">
        <v>52</v>
      </c>
      <c r="G1306" s="4">
        <v>9</v>
      </c>
      <c r="H1306" s="4">
        <v>3004</v>
      </c>
      <c r="I1306" s="6">
        <v>1650.6764961541467</v>
      </c>
      <c r="J1306" s="6">
        <f>表1[[#This Row],[销售金额]]-表1[[#This Row],[退款金额]]</f>
        <v>1353.3235038458533</v>
      </c>
      <c r="K1306" s="1">
        <v>334</v>
      </c>
      <c r="L1306" s="1">
        <v>913</v>
      </c>
    </row>
    <row r="1307" spans="1:12" x14ac:dyDescent="0.3">
      <c r="A1307" s="2">
        <v>45922</v>
      </c>
      <c r="B1307" s="1" t="s">
        <v>247</v>
      </c>
      <c r="C1307" s="1" t="s">
        <v>19</v>
      </c>
      <c r="D1307" s="1" t="s">
        <v>214</v>
      </c>
      <c r="E1307" s="1" t="s">
        <v>51</v>
      </c>
      <c r="F1307" s="1" t="s">
        <v>52</v>
      </c>
      <c r="G1307" s="4">
        <v>9</v>
      </c>
      <c r="H1307" s="4">
        <v>5255</v>
      </c>
      <c r="I1307" s="6">
        <v>1650.6764961541467</v>
      </c>
      <c r="J1307" s="6">
        <f>表1[[#This Row],[销售金额]]-表1[[#This Row],[退款金额]]</f>
        <v>3604.3235038458533</v>
      </c>
      <c r="K1307" s="1">
        <v>334</v>
      </c>
      <c r="L1307" s="1">
        <v>913</v>
      </c>
    </row>
    <row r="1308" spans="1:12" x14ac:dyDescent="0.3">
      <c r="A1308" s="2">
        <v>45922</v>
      </c>
      <c r="B1308" s="1" t="s">
        <v>247</v>
      </c>
      <c r="C1308" s="1" t="s">
        <v>19</v>
      </c>
      <c r="D1308" s="1" t="s">
        <v>214</v>
      </c>
      <c r="E1308" s="1" t="s">
        <v>51</v>
      </c>
      <c r="F1308" s="1" t="s">
        <v>52</v>
      </c>
      <c r="G1308" s="4">
        <v>9</v>
      </c>
      <c r="H1308" s="4">
        <v>4846</v>
      </c>
      <c r="I1308" s="6">
        <v>1650.6764961541467</v>
      </c>
      <c r="J1308" s="6">
        <f>表1[[#This Row],[销售金额]]-表1[[#This Row],[退款金额]]</f>
        <v>3195.3235038458533</v>
      </c>
      <c r="K1308" s="1">
        <v>334</v>
      </c>
      <c r="L1308" s="1">
        <v>913</v>
      </c>
    </row>
    <row r="1309" spans="1:12" x14ac:dyDescent="0.3">
      <c r="A1309" s="2">
        <v>45922</v>
      </c>
      <c r="B1309" s="1" t="s">
        <v>247</v>
      </c>
      <c r="C1309" s="1" t="s">
        <v>19</v>
      </c>
      <c r="D1309" s="1" t="s">
        <v>78</v>
      </c>
      <c r="E1309" s="1" t="s">
        <v>21</v>
      </c>
      <c r="F1309" s="1" t="s">
        <v>22</v>
      </c>
      <c r="G1309" s="4">
        <v>10</v>
      </c>
      <c r="H1309" s="4">
        <v>5235</v>
      </c>
      <c r="I1309" s="6">
        <v>1136.1298367900024</v>
      </c>
      <c r="J1309" s="6">
        <f>表1[[#This Row],[销售金额]]-表1[[#This Row],[退款金额]]</f>
        <v>4098.8701632099974</v>
      </c>
      <c r="K1309" s="1">
        <v>891</v>
      </c>
      <c r="L1309" s="1">
        <v>37</v>
      </c>
    </row>
    <row r="1310" spans="1:12" x14ac:dyDescent="0.3">
      <c r="A1310" s="2">
        <v>45922</v>
      </c>
      <c r="B1310" s="1" t="s">
        <v>247</v>
      </c>
      <c r="C1310" s="1" t="s">
        <v>19</v>
      </c>
      <c r="D1310" s="1" t="s">
        <v>78</v>
      </c>
      <c r="E1310" s="1" t="s">
        <v>21</v>
      </c>
      <c r="F1310" s="1" t="s">
        <v>22</v>
      </c>
      <c r="G1310" s="4">
        <v>10</v>
      </c>
      <c r="H1310" s="4">
        <v>5173</v>
      </c>
      <c r="I1310" s="6">
        <v>1136.1298367900024</v>
      </c>
      <c r="J1310" s="6">
        <f>表1[[#This Row],[销售金额]]-表1[[#This Row],[退款金额]]</f>
        <v>4036.8701632099974</v>
      </c>
      <c r="K1310" s="1">
        <v>891</v>
      </c>
      <c r="L1310" s="1">
        <v>37</v>
      </c>
    </row>
    <row r="1311" spans="1:12" x14ac:dyDescent="0.3">
      <c r="A1311" s="2">
        <v>45922</v>
      </c>
      <c r="B1311" s="1" t="s">
        <v>247</v>
      </c>
      <c r="C1311" s="1" t="s">
        <v>19</v>
      </c>
      <c r="D1311" s="1" t="s">
        <v>78</v>
      </c>
      <c r="E1311" s="1" t="s">
        <v>21</v>
      </c>
      <c r="F1311" s="1" t="s">
        <v>22</v>
      </c>
      <c r="G1311" s="4">
        <v>10</v>
      </c>
      <c r="H1311" s="4">
        <v>2373</v>
      </c>
      <c r="I1311" s="6">
        <v>1136.1298367900024</v>
      </c>
      <c r="J1311" s="6">
        <f>表1[[#This Row],[销售金额]]-表1[[#This Row],[退款金额]]</f>
        <v>1236.8701632099976</v>
      </c>
      <c r="K1311" s="1">
        <v>891</v>
      </c>
      <c r="L1311" s="1">
        <v>37</v>
      </c>
    </row>
    <row r="1312" spans="1:12" x14ac:dyDescent="0.3">
      <c r="A1312" s="2">
        <v>45922</v>
      </c>
      <c r="B1312" s="1" t="s">
        <v>247</v>
      </c>
      <c r="C1312" s="1" t="s">
        <v>19</v>
      </c>
      <c r="D1312" s="1" t="s">
        <v>78</v>
      </c>
      <c r="E1312" s="1" t="s">
        <v>21</v>
      </c>
      <c r="F1312" s="1" t="s">
        <v>22</v>
      </c>
      <c r="G1312" s="4">
        <v>10</v>
      </c>
      <c r="H1312" s="4">
        <v>6064</v>
      </c>
      <c r="I1312" s="6">
        <v>1136.1298367900024</v>
      </c>
      <c r="J1312" s="6">
        <f>表1[[#This Row],[销售金额]]-表1[[#This Row],[退款金额]]</f>
        <v>4927.8701632099974</v>
      </c>
      <c r="K1312" s="1">
        <v>891</v>
      </c>
      <c r="L1312" s="1">
        <v>37</v>
      </c>
    </row>
    <row r="1313" spans="1:12" x14ac:dyDescent="0.3">
      <c r="A1313" s="2">
        <v>45922</v>
      </c>
      <c r="B1313" s="1" t="s">
        <v>247</v>
      </c>
      <c r="C1313" s="1" t="s">
        <v>19</v>
      </c>
      <c r="D1313" s="1" t="s">
        <v>78</v>
      </c>
      <c r="E1313" s="1" t="s">
        <v>21</v>
      </c>
      <c r="F1313" s="1" t="s">
        <v>22</v>
      </c>
      <c r="G1313" s="4">
        <v>10</v>
      </c>
      <c r="H1313" s="4">
        <v>4688</v>
      </c>
      <c r="I1313" s="6">
        <v>1136.1298367900024</v>
      </c>
      <c r="J1313" s="6">
        <f>表1[[#This Row],[销售金额]]-表1[[#This Row],[退款金额]]</f>
        <v>3551.8701632099974</v>
      </c>
      <c r="K1313" s="1">
        <v>891</v>
      </c>
      <c r="L1313" s="1">
        <v>37</v>
      </c>
    </row>
    <row r="1314" spans="1:12" x14ac:dyDescent="0.3">
      <c r="A1314" s="2">
        <v>45922</v>
      </c>
      <c r="B1314" s="1" t="s">
        <v>247</v>
      </c>
      <c r="C1314" s="1" t="s">
        <v>19</v>
      </c>
      <c r="D1314" s="1" t="s">
        <v>78</v>
      </c>
      <c r="E1314" s="1" t="s">
        <v>21</v>
      </c>
      <c r="F1314" s="1" t="s">
        <v>22</v>
      </c>
      <c r="G1314" s="4">
        <v>10</v>
      </c>
      <c r="H1314" s="4">
        <v>2105</v>
      </c>
      <c r="I1314" s="6">
        <v>1136.1298367900024</v>
      </c>
      <c r="J1314" s="6">
        <f>表1[[#This Row],[销售金额]]-表1[[#This Row],[退款金额]]</f>
        <v>968.8701632099976</v>
      </c>
      <c r="K1314" s="1">
        <v>891</v>
      </c>
      <c r="L1314" s="1">
        <v>37</v>
      </c>
    </row>
    <row r="1315" spans="1:12" x14ac:dyDescent="0.3">
      <c r="A1315" s="2">
        <v>45922</v>
      </c>
      <c r="B1315" s="1" t="s">
        <v>247</v>
      </c>
      <c r="C1315" s="1" t="s">
        <v>19</v>
      </c>
      <c r="D1315" s="1" t="s">
        <v>78</v>
      </c>
      <c r="E1315" s="1" t="s">
        <v>21</v>
      </c>
      <c r="F1315" s="1" t="s">
        <v>22</v>
      </c>
      <c r="G1315" s="4">
        <v>10</v>
      </c>
      <c r="H1315" s="4">
        <v>2716</v>
      </c>
      <c r="I1315" s="6">
        <v>1136.1298367900024</v>
      </c>
      <c r="J1315" s="6">
        <f>表1[[#This Row],[销售金额]]-表1[[#This Row],[退款金额]]</f>
        <v>1579.8701632099976</v>
      </c>
      <c r="K1315" s="1">
        <v>891</v>
      </c>
      <c r="L1315" s="1">
        <v>37</v>
      </c>
    </row>
    <row r="1316" spans="1:12" x14ac:dyDescent="0.3">
      <c r="A1316" s="2">
        <v>45922</v>
      </c>
      <c r="B1316" s="1" t="s">
        <v>247</v>
      </c>
      <c r="C1316" s="1" t="s">
        <v>19</v>
      </c>
      <c r="D1316" s="1" t="s">
        <v>78</v>
      </c>
      <c r="E1316" s="1" t="s">
        <v>21</v>
      </c>
      <c r="F1316" s="1" t="s">
        <v>22</v>
      </c>
      <c r="G1316" s="4">
        <v>10</v>
      </c>
      <c r="H1316" s="4">
        <v>5458</v>
      </c>
      <c r="I1316" s="6">
        <v>1136.1298367900024</v>
      </c>
      <c r="J1316" s="6">
        <f>表1[[#This Row],[销售金额]]-表1[[#This Row],[退款金额]]</f>
        <v>4321.8701632099974</v>
      </c>
      <c r="K1316" s="1">
        <v>891</v>
      </c>
      <c r="L1316" s="1">
        <v>37</v>
      </c>
    </row>
    <row r="1317" spans="1:12" x14ac:dyDescent="0.3">
      <c r="A1317" s="2">
        <v>45922</v>
      </c>
      <c r="B1317" s="1" t="s">
        <v>247</v>
      </c>
      <c r="C1317" s="1" t="s">
        <v>19</v>
      </c>
      <c r="D1317" s="1" t="s">
        <v>78</v>
      </c>
      <c r="E1317" s="1" t="s">
        <v>21</v>
      </c>
      <c r="F1317" s="1" t="s">
        <v>22</v>
      </c>
      <c r="G1317" s="4">
        <v>10</v>
      </c>
      <c r="H1317" s="4">
        <v>4203</v>
      </c>
      <c r="I1317" s="6">
        <v>1136.1298367900024</v>
      </c>
      <c r="J1317" s="6">
        <f>表1[[#This Row],[销售金额]]-表1[[#This Row],[退款金额]]</f>
        <v>3066.8701632099974</v>
      </c>
      <c r="K1317" s="1">
        <v>891</v>
      </c>
      <c r="L1317" s="1">
        <v>37</v>
      </c>
    </row>
    <row r="1318" spans="1:12" x14ac:dyDescent="0.3">
      <c r="A1318" s="2">
        <v>45922</v>
      </c>
      <c r="B1318" s="1" t="s">
        <v>250</v>
      </c>
      <c r="C1318" s="1" t="s">
        <v>19</v>
      </c>
      <c r="D1318" s="1" t="s">
        <v>178</v>
      </c>
      <c r="E1318" s="1" t="s">
        <v>75</v>
      </c>
      <c r="F1318" s="1" t="s">
        <v>76</v>
      </c>
      <c r="G1318" s="4">
        <v>14</v>
      </c>
      <c r="H1318" s="4">
        <v>2912</v>
      </c>
      <c r="I1318" s="6">
        <v>1717.4151856956207</v>
      </c>
      <c r="J1318" s="6">
        <f>表1[[#This Row],[销售金额]]-表1[[#This Row],[退款金额]]</f>
        <v>1194.5848143043793</v>
      </c>
      <c r="K1318" s="1">
        <v>153</v>
      </c>
      <c r="L1318" s="1">
        <v>361</v>
      </c>
    </row>
    <row r="1319" spans="1:12" x14ac:dyDescent="0.3">
      <c r="A1319" s="2">
        <v>45922</v>
      </c>
      <c r="B1319" s="1" t="s">
        <v>250</v>
      </c>
      <c r="C1319" s="1" t="s">
        <v>19</v>
      </c>
      <c r="D1319" s="1" t="s">
        <v>178</v>
      </c>
      <c r="E1319" s="1" t="s">
        <v>75</v>
      </c>
      <c r="F1319" s="1" t="s">
        <v>76</v>
      </c>
      <c r="G1319" s="4">
        <v>14</v>
      </c>
      <c r="H1319" s="4">
        <v>4846</v>
      </c>
      <c r="I1319" s="6">
        <v>1717.4151856956207</v>
      </c>
      <c r="J1319" s="6">
        <f>表1[[#This Row],[销售金额]]-表1[[#This Row],[退款金额]]</f>
        <v>3128.5848143043795</v>
      </c>
      <c r="K1319" s="1">
        <v>153</v>
      </c>
      <c r="L1319" s="1">
        <v>361</v>
      </c>
    </row>
    <row r="1320" spans="1:12" x14ac:dyDescent="0.3">
      <c r="A1320" s="2">
        <v>45922</v>
      </c>
      <c r="B1320" s="1" t="s">
        <v>250</v>
      </c>
      <c r="C1320" s="1" t="s">
        <v>19</v>
      </c>
      <c r="D1320" s="1" t="s">
        <v>178</v>
      </c>
      <c r="E1320" s="1" t="s">
        <v>75</v>
      </c>
      <c r="F1320" s="1" t="s">
        <v>76</v>
      </c>
      <c r="G1320" s="4">
        <v>14</v>
      </c>
      <c r="H1320" s="4">
        <v>3380</v>
      </c>
      <c r="I1320" s="6">
        <v>1717.4151856956207</v>
      </c>
      <c r="J1320" s="6">
        <f>表1[[#This Row],[销售金额]]-表1[[#This Row],[退款金额]]</f>
        <v>1662.5848143043793</v>
      </c>
      <c r="K1320" s="1">
        <v>153</v>
      </c>
      <c r="L1320" s="1">
        <v>361</v>
      </c>
    </row>
    <row r="1321" spans="1:12" x14ac:dyDescent="0.3">
      <c r="A1321" s="2">
        <v>45922</v>
      </c>
      <c r="B1321" s="1" t="s">
        <v>250</v>
      </c>
      <c r="C1321" s="1" t="s">
        <v>19</v>
      </c>
      <c r="D1321" s="1" t="s">
        <v>178</v>
      </c>
      <c r="E1321" s="1" t="s">
        <v>75</v>
      </c>
      <c r="F1321" s="1" t="s">
        <v>76</v>
      </c>
      <c r="G1321" s="4">
        <v>14</v>
      </c>
      <c r="H1321" s="4">
        <v>3706</v>
      </c>
      <c r="I1321" s="6">
        <v>1717.4151856956207</v>
      </c>
      <c r="J1321" s="6">
        <f>表1[[#This Row],[销售金额]]-表1[[#This Row],[退款金额]]</f>
        <v>1988.5848143043793</v>
      </c>
      <c r="K1321" s="1">
        <v>153</v>
      </c>
      <c r="L1321" s="1">
        <v>361</v>
      </c>
    </row>
    <row r="1322" spans="1:12" x14ac:dyDescent="0.3">
      <c r="A1322" s="2">
        <v>45922</v>
      </c>
      <c r="B1322" s="1" t="s">
        <v>250</v>
      </c>
      <c r="C1322" s="1" t="s">
        <v>19</v>
      </c>
      <c r="D1322" s="1" t="s">
        <v>178</v>
      </c>
      <c r="E1322" s="1" t="s">
        <v>75</v>
      </c>
      <c r="F1322" s="1" t="s">
        <v>76</v>
      </c>
      <c r="G1322" s="4">
        <v>14</v>
      </c>
      <c r="H1322" s="4">
        <v>4454</v>
      </c>
      <c r="I1322" s="6">
        <v>1717.4151856956207</v>
      </c>
      <c r="J1322" s="6">
        <f>表1[[#This Row],[销售金额]]-表1[[#This Row],[退款金额]]</f>
        <v>2736.5848143043795</v>
      </c>
      <c r="K1322" s="1">
        <v>153</v>
      </c>
      <c r="L1322" s="1">
        <v>361</v>
      </c>
    </row>
    <row r="1323" spans="1:12" x14ac:dyDescent="0.3">
      <c r="A1323" s="2">
        <v>45922</v>
      </c>
      <c r="B1323" s="1" t="s">
        <v>250</v>
      </c>
      <c r="C1323" s="1" t="s">
        <v>19</v>
      </c>
      <c r="D1323" s="1" t="s">
        <v>178</v>
      </c>
      <c r="E1323" s="1" t="s">
        <v>75</v>
      </c>
      <c r="F1323" s="1" t="s">
        <v>76</v>
      </c>
      <c r="G1323" s="4">
        <v>14</v>
      </c>
      <c r="H1323" s="4">
        <v>5125</v>
      </c>
      <c r="I1323" s="6">
        <v>1717.4151856956207</v>
      </c>
      <c r="J1323" s="6">
        <f>表1[[#This Row],[销售金额]]-表1[[#This Row],[退款金额]]</f>
        <v>3407.5848143043795</v>
      </c>
      <c r="K1323" s="1">
        <v>153</v>
      </c>
      <c r="L1323" s="1">
        <v>361</v>
      </c>
    </row>
    <row r="1324" spans="1:12" x14ac:dyDescent="0.3">
      <c r="A1324" s="2">
        <v>45922</v>
      </c>
      <c r="B1324" s="1" t="s">
        <v>250</v>
      </c>
      <c r="C1324" s="1" t="s">
        <v>19</v>
      </c>
      <c r="D1324" s="1" t="s">
        <v>178</v>
      </c>
      <c r="E1324" s="1" t="s">
        <v>75</v>
      </c>
      <c r="F1324" s="1" t="s">
        <v>76</v>
      </c>
      <c r="G1324" s="4">
        <v>14</v>
      </c>
      <c r="H1324" s="4">
        <v>3666</v>
      </c>
      <c r="I1324" s="6">
        <v>1717.4151856956207</v>
      </c>
      <c r="J1324" s="6">
        <f>表1[[#This Row],[销售金额]]-表1[[#This Row],[退款金额]]</f>
        <v>1948.5848143043793</v>
      </c>
      <c r="K1324" s="1">
        <v>153</v>
      </c>
      <c r="L1324" s="1">
        <v>361</v>
      </c>
    </row>
    <row r="1325" spans="1:12" x14ac:dyDescent="0.3">
      <c r="A1325" s="2">
        <v>45922</v>
      </c>
      <c r="B1325" s="1" t="s">
        <v>250</v>
      </c>
      <c r="C1325" s="1" t="s">
        <v>19</v>
      </c>
      <c r="D1325" s="1" t="s">
        <v>178</v>
      </c>
      <c r="E1325" s="1" t="s">
        <v>75</v>
      </c>
      <c r="F1325" s="1" t="s">
        <v>76</v>
      </c>
      <c r="G1325" s="4">
        <v>14</v>
      </c>
      <c r="H1325" s="4">
        <v>3036</v>
      </c>
      <c r="I1325" s="6">
        <v>1717.4151856956207</v>
      </c>
      <c r="J1325" s="6">
        <f>表1[[#This Row],[销售金额]]-表1[[#This Row],[退款金额]]</f>
        <v>1318.5848143043793</v>
      </c>
      <c r="K1325" s="1">
        <v>153</v>
      </c>
      <c r="L1325" s="1">
        <v>361</v>
      </c>
    </row>
    <row r="1326" spans="1:12" x14ac:dyDescent="0.3">
      <c r="A1326" s="2">
        <v>45922</v>
      </c>
      <c r="B1326" s="1" t="s">
        <v>250</v>
      </c>
      <c r="C1326" s="1" t="s">
        <v>19</v>
      </c>
      <c r="D1326" s="1" t="s">
        <v>178</v>
      </c>
      <c r="E1326" s="1" t="s">
        <v>75</v>
      </c>
      <c r="F1326" s="1" t="s">
        <v>76</v>
      </c>
      <c r="G1326" s="4">
        <v>14</v>
      </c>
      <c r="H1326" s="4">
        <v>5040</v>
      </c>
      <c r="I1326" s="6">
        <v>1717.4151856956207</v>
      </c>
      <c r="J1326" s="6">
        <f>表1[[#This Row],[销售金额]]-表1[[#This Row],[退款金额]]</f>
        <v>3322.5848143043795</v>
      </c>
      <c r="K1326" s="1">
        <v>153</v>
      </c>
      <c r="L1326" s="1">
        <v>361</v>
      </c>
    </row>
    <row r="1327" spans="1:12" x14ac:dyDescent="0.3">
      <c r="A1327" s="2">
        <v>45922</v>
      </c>
      <c r="B1327" s="1" t="s">
        <v>25</v>
      </c>
      <c r="C1327" s="1" t="s">
        <v>32</v>
      </c>
      <c r="D1327" s="1" t="s">
        <v>81</v>
      </c>
      <c r="E1327" s="1" t="s">
        <v>38</v>
      </c>
      <c r="F1327" s="1" t="s">
        <v>39</v>
      </c>
      <c r="G1327" s="4">
        <v>19</v>
      </c>
      <c r="H1327" s="4">
        <v>3982</v>
      </c>
      <c r="I1327" s="6">
        <v>838.40723454862541</v>
      </c>
      <c r="J1327" s="6">
        <f>表1[[#This Row],[销售金额]]-表1[[#This Row],[退款金额]]</f>
        <v>3143.5927654513744</v>
      </c>
      <c r="K1327" s="1">
        <v>924</v>
      </c>
      <c r="L1327" s="1">
        <v>800</v>
      </c>
    </row>
    <row r="1328" spans="1:12" x14ac:dyDescent="0.3">
      <c r="A1328" s="2">
        <v>45922</v>
      </c>
      <c r="B1328" s="1" t="s">
        <v>25</v>
      </c>
      <c r="C1328" s="1" t="s">
        <v>32</v>
      </c>
      <c r="D1328" s="1" t="s">
        <v>81</v>
      </c>
      <c r="E1328" s="1" t="s">
        <v>38</v>
      </c>
      <c r="F1328" s="1" t="s">
        <v>39</v>
      </c>
      <c r="G1328" s="4">
        <v>19</v>
      </c>
      <c r="H1328" s="4">
        <v>1041</v>
      </c>
      <c r="I1328" s="6">
        <v>838.40723454862541</v>
      </c>
      <c r="J1328" s="6">
        <f>表1[[#This Row],[销售金额]]-表1[[#This Row],[退款金额]]</f>
        <v>202.59276545137459</v>
      </c>
      <c r="K1328" s="1">
        <v>924</v>
      </c>
      <c r="L1328" s="1">
        <v>800</v>
      </c>
    </row>
    <row r="1329" spans="1:12" x14ac:dyDescent="0.3">
      <c r="A1329" s="2">
        <v>45922</v>
      </c>
      <c r="B1329" s="1" t="s">
        <v>25</v>
      </c>
      <c r="C1329" s="1" t="s">
        <v>32</v>
      </c>
      <c r="D1329" s="1" t="s">
        <v>81</v>
      </c>
      <c r="E1329" s="1" t="s">
        <v>38</v>
      </c>
      <c r="F1329" s="1" t="s">
        <v>39</v>
      </c>
      <c r="G1329" s="4">
        <v>19</v>
      </c>
      <c r="H1329" s="4">
        <v>5684</v>
      </c>
      <c r="I1329" s="6">
        <v>838.40723454862541</v>
      </c>
      <c r="J1329" s="6">
        <f>表1[[#This Row],[销售金额]]-表1[[#This Row],[退款金额]]</f>
        <v>4845.5927654513744</v>
      </c>
      <c r="K1329" s="1">
        <v>924</v>
      </c>
      <c r="L1329" s="1">
        <v>800</v>
      </c>
    </row>
    <row r="1330" spans="1:12" x14ac:dyDescent="0.3">
      <c r="A1330" s="2">
        <v>45922</v>
      </c>
      <c r="B1330" s="1" t="s">
        <v>25</v>
      </c>
      <c r="C1330" s="1" t="s">
        <v>32</v>
      </c>
      <c r="D1330" s="1" t="s">
        <v>81</v>
      </c>
      <c r="E1330" s="1" t="s">
        <v>38</v>
      </c>
      <c r="F1330" s="1" t="s">
        <v>39</v>
      </c>
      <c r="G1330" s="4">
        <v>19</v>
      </c>
      <c r="H1330" s="4">
        <v>4332</v>
      </c>
      <c r="I1330" s="6">
        <v>838.40723454862541</v>
      </c>
      <c r="J1330" s="6">
        <f>表1[[#This Row],[销售金额]]-表1[[#This Row],[退款金额]]</f>
        <v>3493.5927654513744</v>
      </c>
      <c r="K1330" s="1">
        <v>924</v>
      </c>
      <c r="L1330" s="1">
        <v>800</v>
      </c>
    </row>
    <row r="1331" spans="1:12" x14ac:dyDescent="0.3">
      <c r="A1331" s="2">
        <v>45922</v>
      </c>
      <c r="B1331" s="1" t="s">
        <v>25</v>
      </c>
      <c r="C1331" s="1" t="s">
        <v>32</v>
      </c>
      <c r="D1331" s="1" t="s">
        <v>81</v>
      </c>
      <c r="E1331" s="1" t="s">
        <v>38</v>
      </c>
      <c r="F1331" s="1" t="s">
        <v>39</v>
      </c>
      <c r="G1331" s="4">
        <v>19</v>
      </c>
      <c r="H1331" s="4">
        <v>3370</v>
      </c>
      <c r="I1331" s="6">
        <v>838.40723454862541</v>
      </c>
      <c r="J1331" s="6">
        <f>表1[[#This Row],[销售金额]]-表1[[#This Row],[退款金额]]</f>
        <v>2531.5927654513744</v>
      </c>
      <c r="K1331" s="1">
        <v>924</v>
      </c>
      <c r="L1331" s="1">
        <v>800</v>
      </c>
    </row>
    <row r="1332" spans="1:12" x14ac:dyDescent="0.3">
      <c r="A1332" s="2">
        <v>45922</v>
      </c>
      <c r="B1332" s="1" t="s">
        <v>25</v>
      </c>
      <c r="C1332" s="1" t="s">
        <v>32</v>
      </c>
      <c r="D1332" s="1" t="s">
        <v>81</v>
      </c>
      <c r="E1332" s="1" t="s">
        <v>38</v>
      </c>
      <c r="F1332" s="1" t="s">
        <v>39</v>
      </c>
      <c r="G1332" s="4">
        <v>19</v>
      </c>
      <c r="H1332" s="4">
        <v>4035</v>
      </c>
      <c r="I1332" s="6">
        <v>838.40723454862541</v>
      </c>
      <c r="J1332" s="6">
        <f>表1[[#This Row],[销售金额]]-表1[[#This Row],[退款金额]]</f>
        <v>3196.5927654513744</v>
      </c>
      <c r="K1332" s="1">
        <v>924</v>
      </c>
      <c r="L1332" s="1">
        <v>800</v>
      </c>
    </row>
    <row r="1333" spans="1:12" x14ac:dyDescent="0.3">
      <c r="A1333" s="2">
        <v>45922</v>
      </c>
      <c r="B1333" s="1" t="s">
        <v>25</v>
      </c>
      <c r="C1333" s="1" t="s">
        <v>32</v>
      </c>
      <c r="D1333" s="1" t="s">
        <v>81</v>
      </c>
      <c r="E1333" s="1" t="s">
        <v>38</v>
      </c>
      <c r="F1333" s="1" t="s">
        <v>39</v>
      </c>
      <c r="G1333" s="4">
        <v>19</v>
      </c>
      <c r="H1333" s="4">
        <v>2477</v>
      </c>
      <c r="I1333" s="6">
        <v>838.40723454862541</v>
      </c>
      <c r="J1333" s="6">
        <f>表1[[#This Row],[销售金额]]-表1[[#This Row],[退款金额]]</f>
        <v>1638.5927654513746</v>
      </c>
      <c r="K1333" s="1">
        <v>924</v>
      </c>
      <c r="L1333" s="1">
        <v>800</v>
      </c>
    </row>
    <row r="1334" spans="1:12" x14ac:dyDescent="0.3">
      <c r="A1334" s="2">
        <v>45922</v>
      </c>
      <c r="B1334" s="1" t="s">
        <v>25</v>
      </c>
      <c r="C1334" s="1" t="s">
        <v>32</v>
      </c>
      <c r="D1334" s="1" t="s">
        <v>81</v>
      </c>
      <c r="E1334" s="1" t="s">
        <v>38</v>
      </c>
      <c r="F1334" s="1" t="s">
        <v>39</v>
      </c>
      <c r="G1334" s="4">
        <v>19</v>
      </c>
      <c r="H1334" s="4">
        <v>3394</v>
      </c>
      <c r="I1334" s="6">
        <v>838.40723454862541</v>
      </c>
      <c r="J1334" s="6">
        <f>表1[[#This Row],[销售金额]]-表1[[#This Row],[退款金额]]</f>
        <v>2555.5927654513744</v>
      </c>
      <c r="K1334" s="1">
        <v>924</v>
      </c>
      <c r="L1334" s="1">
        <v>800</v>
      </c>
    </row>
    <row r="1335" spans="1:12" x14ac:dyDescent="0.3">
      <c r="A1335" s="2">
        <v>45922</v>
      </c>
      <c r="B1335" s="1" t="s">
        <v>25</v>
      </c>
      <c r="C1335" s="1" t="s">
        <v>32</v>
      </c>
      <c r="D1335" s="1" t="s">
        <v>81</v>
      </c>
      <c r="E1335" s="1" t="s">
        <v>38</v>
      </c>
      <c r="F1335" s="1" t="s">
        <v>39</v>
      </c>
      <c r="G1335" s="4">
        <v>19</v>
      </c>
      <c r="H1335" s="4">
        <v>5493</v>
      </c>
      <c r="I1335" s="6">
        <v>838.40723454862541</v>
      </c>
      <c r="J1335" s="6">
        <f>表1[[#This Row],[销售金额]]-表1[[#This Row],[退款金额]]</f>
        <v>4654.5927654513744</v>
      </c>
      <c r="K1335" s="1">
        <v>924</v>
      </c>
      <c r="L1335" s="1">
        <v>800</v>
      </c>
    </row>
    <row r="1336" spans="1:12" x14ac:dyDescent="0.3">
      <c r="A1336" s="2">
        <v>45922</v>
      </c>
      <c r="B1336" s="1" t="s">
        <v>25</v>
      </c>
      <c r="C1336" s="1" t="s">
        <v>32</v>
      </c>
      <c r="D1336" s="1" t="s">
        <v>81</v>
      </c>
      <c r="E1336" s="1" t="s">
        <v>38</v>
      </c>
      <c r="F1336" s="1" t="s">
        <v>39</v>
      </c>
      <c r="G1336" s="4">
        <v>19</v>
      </c>
      <c r="H1336" s="4">
        <v>4361</v>
      </c>
      <c r="I1336" s="6">
        <v>838.40723454862541</v>
      </c>
      <c r="J1336" s="6">
        <f>表1[[#This Row],[销售金额]]-表1[[#This Row],[退款金额]]</f>
        <v>3522.5927654513744</v>
      </c>
      <c r="K1336" s="1">
        <v>924</v>
      </c>
      <c r="L1336" s="1">
        <v>800</v>
      </c>
    </row>
    <row r="1337" spans="1:12" x14ac:dyDescent="0.3">
      <c r="A1337" s="2">
        <v>45922</v>
      </c>
      <c r="B1337" s="1" t="s">
        <v>25</v>
      </c>
      <c r="C1337" s="1" t="s">
        <v>32</v>
      </c>
      <c r="D1337" s="1" t="s">
        <v>81</v>
      </c>
      <c r="E1337" s="1" t="s">
        <v>38</v>
      </c>
      <c r="F1337" s="1" t="s">
        <v>39</v>
      </c>
      <c r="G1337" s="4">
        <v>19</v>
      </c>
      <c r="H1337" s="4">
        <v>5390</v>
      </c>
      <c r="I1337" s="6">
        <v>838.40723454862541</v>
      </c>
      <c r="J1337" s="6">
        <f>表1[[#This Row],[销售金额]]-表1[[#This Row],[退款金额]]</f>
        <v>4551.5927654513744</v>
      </c>
      <c r="K1337" s="1">
        <v>924</v>
      </c>
      <c r="L1337" s="1">
        <v>800</v>
      </c>
    </row>
    <row r="1338" spans="1:12" x14ac:dyDescent="0.3">
      <c r="A1338" s="2">
        <v>45922</v>
      </c>
      <c r="B1338" s="1" t="s">
        <v>25</v>
      </c>
      <c r="C1338" s="1" t="s">
        <v>32</v>
      </c>
      <c r="D1338" s="1" t="s">
        <v>81</v>
      </c>
      <c r="E1338" s="1" t="s">
        <v>38</v>
      </c>
      <c r="F1338" s="1" t="s">
        <v>39</v>
      </c>
      <c r="G1338" s="4">
        <v>19</v>
      </c>
      <c r="H1338" s="4">
        <v>5329</v>
      </c>
      <c r="I1338" s="6">
        <v>838.40723454862541</v>
      </c>
      <c r="J1338" s="6">
        <f>表1[[#This Row],[销售金额]]-表1[[#This Row],[退款金额]]</f>
        <v>4490.5927654513744</v>
      </c>
      <c r="K1338" s="1">
        <v>924</v>
      </c>
      <c r="L1338" s="1">
        <v>800</v>
      </c>
    </row>
    <row r="1339" spans="1:12" x14ac:dyDescent="0.3">
      <c r="A1339" s="2">
        <v>45922</v>
      </c>
      <c r="B1339" s="1" t="s">
        <v>25</v>
      </c>
      <c r="C1339" s="1" t="s">
        <v>32</v>
      </c>
      <c r="D1339" s="1" t="s">
        <v>81</v>
      </c>
      <c r="E1339" s="1" t="s">
        <v>38</v>
      </c>
      <c r="F1339" s="1" t="s">
        <v>39</v>
      </c>
      <c r="G1339" s="4">
        <v>19</v>
      </c>
      <c r="H1339" s="4">
        <v>5258</v>
      </c>
      <c r="I1339" s="6">
        <v>838.40723454862541</v>
      </c>
      <c r="J1339" s="6">
        <f>表1[[#This Row],[销售金额]]-表1[[#This Row],[退款金额]]</f>
        <v>4419.5927654513744</v>
      </c>
      <c r="K1339" s="1">
        <v>924</v>
      </c>
      <c r="L1339" s="1">
        <v>800</v>
      </c>
    </row>
    <row r="1340" spans="1:12" x14ac:dyDescent="0.3">
      <c r="A1340" s="2">
        <v>45922</v>
      </c>
      <c r="B1340" s="1" t="s">
        <v>25</v>
      </c>
      <c r="C1340" s="1" t="s">
        <v>32</v>
      </c>
      <c r="D1340" s="1" t="s">
        <v>81</v>
      </c>
      <c r="E1340" s="1" t="s">
        <v>38</v>
      </c>
      <c r="F1340" s="1" t="s">
        <v>39</v>
      </c>
      <c r="G1340" s="4">
        <v>19</v>
      </c>
      <c r="H1340" s="4">
        <v>5032</v>
      </c>
      <c r="I1340" s="6">
        <v>838.40723454862541</v>
      </c>
      <c r="J1340" s="6">
        <f>表1[[#This Row],[销售金额]]-表1[[#This Row],[退款金额]]</f>
        <v>4193.5927654513744</v>
      </c>
      <c r="K1340" s="1">
        <v>924</v>
      </c>
      <c r="L1340" s="1">
        <v>800</v>
      </c>
    </row>
    <row r="1341" spans="1:12" x14ac:dyDescent="0.3">
      <c r="A1341" s="2">
        <v>45922</v>
      </c>
      <c r="B1341" s="1" t="s">
        <v>25</v>
      </c>
      <c r="C1341" s="1" t="s">
        <v>32</v>
      </c>
      <c r="D1341" s="1" t="s">
        <v>81</v>
      </c>
      <c r="E1341" s="1" t="s">
        <v>38</v>
      </c>
      <c r="F1341" s="1" t="s">
        <v>39</v>
      </c>
      <c r="G1341" s="4">
        <v>19</v>
      </c>
      <c r="H1341" s="4">
        <v>4545</v>
      </c>
      <c r="I1341" s="6">
        <v>838.40723454862541</v>
      </c>
      <c r="J1341" s="6">
        <f>表1[[#This Row],[销售金额]]-表1[[#This Row],[退款金额]]</f>
        <v>3706.5927654513744</v>
      </c>
      <c r="K1341" s="1">
        <v>924</v>
      </c>
      <c r="L1341" s="1">
        <v>800</v>
      </c>
    </row>
    <row r="1342" spans="1:12" x14ac:dyDescent="0.3">
      <c r="A1342" s="2">
        <v>45922</v>
      </c>
      <c r="B1342" s="1" t="s">
        <v>25</v>
      </c>
      <c r="C1342" s="1" t="s">
        <v>32</v>
      </c>
      <c r="D1342" s="1" t="s">
        <v>81</v>
      </c>
      <c r="E1342" s="1" t="s">
        <v>38</v>
      </c>
      <c r="F1342" s="1" t="s">
        <v>39</v>
      </c>
      <c r="G1342" s="4">
        <v>19</v>
      </c>
      <c r="H1342" s="4">
        <v>4090</v>
      </c>
      <c r="I1342" s="6">
        <v>838.40723454862541</v>
      </c>
      <c r="J1342" s="6">
        <f>表1[[#This Row],[销售金额]]-表1[[#This Row],[退款金额]]</f>
        <v>3251.5927654513744</v>
      </c>
      <c r="K1342" s="1">
        <v>924</v>
      </c>
      <c r="L1342" s="1">
        <v>800</v>
      </c>
    </row>
    <row r="1343" spans="1:12" x14ac:dyDescent="0.3">
      <c r="A1343" s="2">
        <v>45922</v>
      </c>
      <c r="B1343" s="1" t="s">
        <v>25</v>
      </c>
      <c r="C1343" s="1" t="s">
        <v>32</v>
      </c>
      <c r="D1343" s="1" t="s">
        <v>81</v>
      </c>
      <c r="E1343" s="1" t="s">
        <v>38</v>
      </c>
      <c r="F1343" s="1" t="s">
        <v>39</v>
      </c>
      <c r="G1343" s="4">
        <v>19</v>
      </c>
      <c r="H1343" s="4">
        <v>2303</v>
      </c>
      <c r="I1343" s="6">
        <v>838.40723454862541</v>
      </c>
      <c r="J1343" s="6">
        <f>表1[[#This Row],[销售金额]]-表1[[#This Row],[退款金额]]</f>
        <v>1464.5927654513746</v>
      </c>
      <c r="K1343" s="1">
        <v>924</v>
      </c>
      <c r="L1343" s="1">
        <v>800</v>
      </c>
    </row>
    <row r="1344" spans="1:12" x14ac:dyDescent="0.3">
      <c r="A1344" s="2">
        <v>45922</v>
      </c>
      <c r="B1344" s="1" t="s">
        <v>25</v>
      </c>
      <c r="C1344" s="1" t="s">
        <v>32</v>
      </c>
      <c r="D1344" s="1" t="s">
        <v>81</v>
      </c>
      <c r="E1344" s="1" t="s">
        <v>38</v>
      </c>
      <c r="F1344" s="1" t="s">
        <v>39</v>
      </c>
      <c r="G1344" s="4">
        <v>19</v>
      </c>
      <c r="H1344" s="4">
        <v>2016</v>
      </c>
      <c r="I1344" s="6">
        <v>838.40723454862541</v>
      </c>
      <c r="J1344" s="6">
        <f>表1[[#This Row],[销售金额]]-表1[[#This Row],[退款金额]]</f>
        <v>1177.5927654513746</v>
      </c>
      <c r="K1344" s="1">
        <v>924</v>
      </c>
      <c r="L1344" s="1">
        <v>800</v>
      </c>
    </row>
    <row r="1345" spans="1:12" x14ac:dyDescent="0.3">
      <c r="A1345" s="2">
        <v>45923</v>
      </c>
      <c r="B1345" s="1" t="s">
        <v>248</v>
      </c>
      <c r="C1345" s="1" t="s">
        <v>19</v>
      </c>
      <c r="D1345" s="1" t="s">
        <v>87</v>
      </c>
      <c r="E1345" s="1" t="s">
        <v>27</v>
      </c>
      <c r="F1345" s="1" t="s">
        <v>28</v>
      </c>
      <c r="G1345" s="4">
        <v>4</v>
      </c>
      <c r="H1345" s="4">
        <v>3375</v>
      </c>
      <c r="I1345" s="6">
        <v>343.05540387921155</v>
      </c>
      <c r="J1345" s="6">
        <f>表1[[#This Row],[销售金额]]-表1[[#This Row],[退款金额]]</f>
        <v>3031.9445961207884</v>
      </c>
      <c r="K1345" s="1">
        <v>139</v>
      </c>
      <c r="L1345" s="1">
        <v>372</v>
      </c>
    </row>
    <row r="1346" spans="1:12" x14ac:dyDescent="0.3">
      <c r="A1346" s="2">
        <v>45923</v>
      </c>
      <c r="B1346" s="1" t="s">
        <v>248</v>
      </c>
      <c r="C1346" s="1" t="s">
        <v>19</v>
      </c>
      <c r="D1346" s="1" t="s">
        <v>87</v>
      </c>
      <c r="E1346" s="1" t="s">
        <v>27</v>
      </c>
      <c r="F1346" s="1" t="s">
        <v>28</v>
      </c>
      <c r="G1346" s="4">
        <v>4</v>
      </c>
      <c r="H1346" s="4">
        <v>875</v>
      </c>
      <c r="I1346" s="6">
        <v>343.05540387921155</v>
      </c>
      <c r="J1346" s="6">
        <f>表1[[#This Row],[销售金额]]-表1[[#This Row],[退款金额]]</f>
        <v>531.94459612078845</v>
      </c>
      <c r="K1346" s="1">
        <v>139</v>
      </c>
      <c r="L1346" s="1">
        <v>372</v>
      </c>
    </row>
    <row r="1347" spans="1:12" x14ac:dyDescent="0.3">
      <c r="A1347" s="2">
        <v>45923</v>
      </c>
      <c r="B1347" s="1" t="s">
        <v>25</v>
      </c>
      <c r="C1347" s="1" t="s">
        <v>10</v>
      </c>
      <c r="D1347" s="1" t="s">
        <v>65</v>
      </c>
      <c r="E1347" s="1" t="s">
        <v>13</v>
      </c>
      <c r="F1347" s="1" t="s">
        <v>14</v>
      </c>
      <c r="G1347" s="4">
        <v>4</v>
      </c>
      <c r="H1347" s="4">
        <v>15161</v>
      </c>
      <c r="I1347" s="6">
        <v>13002.905162300474</v>
      </c>
      <c r="J1347" s="6">
        <f>表1[[#This Row],[销售金额]]-表1[[#This Row],[退款金额]]</f>
        <v>2158.0948376995257</v>
      </c>
      <c r="K1347" s="1">
        <v>419</v>
      </c>
      <c r="L1347" s="1">
        <v>896</v>
      </c>
    </row>
    <row r="1348" spans="1:12" x14ac:dyDescent="0.3">
      <c r="A1348" s="2">
        <v>45923</v>
      </c>
      <c r="B1348" s="1" t="s">
        <v>248</v>
      </c>
      <c r="C1348" s="1" t="s">
        <v>19</v>
      </c>
      <c r="D1348" s="1" t="s">
        <v>87</v>
      </c>
      <c r="E1348" s="1" t="s">
        <v>27</v>
      </c>
      <c r="F1348" s="1" t="s">
        <v>28</v>
      </c>
      <c r="G1348" s="4">
        <v>4</v>
      </c>
      <c r="H1348" s="4">
        <v>4168</v>
      </c>
      <c r="I1348" s="6">
        <v>343.05540387921155</v>
      </c>
      <c r="J1348" s="6">
        <f>表1[[#This Row],[销售金额]]-表1[[#This Row],[退款金额]]</f>
        <v>3824.9445961207884</v>
      </c>
      <c r="K1348" s="1">
        <v>139</v>
      </c>
      <c r="L1348" s="1">
        <v>372</v>
      </c>
    </row>
    <row r="1349" spans="1:12" x14ac:dyDescent="0.3">
      <c r="A1349" s="2">
        <v>45923</v>
      </c>
      <c r="B1349" s="1" t="s">
        <v>248</v>
      </c>
      <c r="C1349" s="1" t="s">
        <v>19</v>
      </c>
      <c r="D1349" s="1" t="s">
        <v>87</v>
      </c>
      <c r="E1349" s="1" t="s">
        <v>27</v>
      </c>
      <c r="F1349" s="1" t="s">
        <v>28</v>
      </c>
      <c r="G1349" s="4">
        <v>4</v>
      </c>
      <c r="H1349" s="4">
        <v>4367</v>
      </c>
      <c r="I1349" s="6">
        <v>343.05540387921155</v>
      </c>
      <c r="J1349" s="6">
        <f>表1[[#This Row],[销售金额]]-表1[[#This Row],[退款金额]]</f>
        <v>4023.9445961207884</v>
      </c>
      <c r="K1349" s="1">
        <v>139</v>
      </c>
      <c r="L1349" s="1">
        <v>372</v>
      </c>
    </row>
    <row r="1350" spans="1:12" x14ac:dyDescent="0.3">
      <c r="A1350" s="2">
        <v>45923</v>
      </c>
      <c r="B1350" s="1" t="s">
        <v>25</v>
      </c>
      <c r="C1350" s="1" t="s">
        <v>10</v>
      </c>
      <c r="D1350" s="1" t="s">
        <v>65</v>
      </c>
      <c r="E1350" s="1" t="s">
        <v>13</v>
      </c>
      <c r="F1350" s="1" t="s">
        <v>14</v>
      </c>
      <c r="G1350" s="4">
        <v>4</v>
      </c>
      <c r="H1350" s="4">
        <v>17715</v>
      </c>
      <c r="I1350" s="6">
        <v>13002.905162300474</v>
      </c>
      <c r="J1350" s="6">
        <f>表1[[#This Row],[销售金额]]-表1[[#This Row],[退款金额]]</f>
        <v>4712.0948376995257</v>
      </c>
      <c r="K1350" s="1">
        <v>419</v>
      </c>
      <c r="L1350" s="1">
        <v>896</v>
      </c>
    </row>
    <row r="1351" spans="1:12" x14ac:dyDescent="0.3">
      <c r="A1351" s="2">
        <v>45923</v>
      </c>
      <c r="B1351" s="1" t="s">
        <v>248</v>
      </c>
      <c r="C1351" s="1" t="s">
        <v>19</v>
      </c>
      <c r="D1351" s="1" t="s">
        <v>87</v>
      </c>
      <c r="E1351" s="1" t="s">
        <v>27</v>
      </c>
      <c r="F1351" s="1" t="s">
        <v>28</v>
      </c>
      <c r="G1351" s="4">
        <v>4</v>
      </c>
      <c r="H1351" s="4">
        <v>3264</v>
      </c>
      <c r="I1351" s="6">
        <v>343.05540387921155</v>
      </c>
      <c r="J1351" s="6">
        <f>表1[[#This Row],[销售金额]]-表1[[#This Row],[退款金额]]</f>
        <v>2920.9445961207884</v>
      </c>
      <c r="K1351" s="1">
        <v>139</v>
      </c>
      <c r="L1351" s="1">
        <v>372</v>
      </c>
    </row>
    <row r="1352" spans="1:12" x14ac:dyDescent="0.3">
      <c r="A1352" s="2">
        <v>45923</v>
      </c>
      <c r="B1352" s="1" t="s">
        <v>248</v>
      </c>
      <c r="C1352" s="1" t="s">
        <v>19</v>
      </c>
      <c r="D1352" s="1" t="s">
        <v>87</v>
      </c>
      <c r="E1352" s="1" t="s">
        <v>27</v>
      </c>
      <c r="F1352" s="1" t="s">
        <v>28</v>
      </c>
      <c r="G1352" s="4">
        <v>4</v>
      </c>
      <c r="H1352" s="4">
        <v>4452</v>
      </c>
      <c r="I1352" s="6">
        <v>343.05540387921155</v>
      </c>
      <c r="J1352" s="6">
        <f>表1[[#This Row],[销售金额]]-表1[[#This Row],[退款金额]]</f>
        <v>4108.9445961207884</v>
      </c>
      <c r="K1352" s="1">
        <v>139</v>
      </c>
      <c r="L1352" s="1">
        <v>372</v>
      </c>
    </row>
    <row r="1353" spans="1:12" x14ac:dyDescent="0.3">
      <c r="A1353" s="2">
        <v>45923</v>
      </c>
      <c r="B1353" s="1" t="s">
        <v>25</v>
      </c>
      <c r="C1353" s="1" t="s">
        <v>10</v>
      </c>
      <c r="D1353" s="1" t="s">
        <v>65</v>
      </c>
      <c r="E1353" s="1" t="s">
        <v>13</v>
      </c>
      <c r="F1353" s="1" t="s">
        <v>14</v>
      </c>
      <c r="G1353" s="4">
        <v>4</v>
      </c>
      <c r="H1353" s="4">
        <v>16874</v>
      </c>
      <c r="I1353" s="6">
        <v>13002.905162300474</v>
      </c>
      <c r="J1353" s="6">
        <f>表1[[#This Row],[销售金额]]-表1[[#This Row],[退款金额]]</f>
        <v>3871.0948376995257</v>
      </c>
      <c r="K1353" s="1">
        <v>419</v>
      </c>
      <c r="L1353" s="1">
        <v>896</v>
      </c>
    </row>
    <row r="1354" spans="1:12" x14ac:dyDescent="0.3">
      <c r="A1354" s="2">
        <v>45923</v>
      </c>
      <c r="B1354" s="1" t="s">
        <v>248</v>
      </c>
      <c r="C1354" s="1" t="s">
        <v>19</v>
      </c>
      <c r="D1354" s="1" t="s">
        <v>87</v>
      </c>
      <c r="E1354" s="1" t="s">
        <v>27</v>
      </c>
      <c r="F1354" s="1" t="s">
        <v>28</v>
      </c>
      <c r="G1354" s="4">
        <v>4</v>
      </c>
      <c r="H1354" s="4">
        <v>1748</v>
      </c>
      <c r="I1354" s="6">
        <v>343.05540387921155</v>
      </c>
      <c r="J1354" s="6">
        <f>表1[[#This Row],[销售金额]]-表1[[#This Row],[退款金额]]</f>
        <v>1404.9445961207884</v>
      </c>
      <c r="K1354" s="1">
        <v>139</v>
      </c>
      <c r="L1354" s="1">
        <v>372</v>
      </c>
    </row>
    <row r="1355" spans="1:12" x14ac:dyDescent="0.3">
      <c r="A1355" s="2">
        <v>45923</v>
      </c>
      <c r="B1355" s="1" t="s">
        <v>248</v>
      </c>
      <c r="C1355" s="1" t="s">
        <v>19</v>
      </c>
      <c r="D1355" s="1" t="s">
        <v>87</v>
      </c>
      <c r="E1355" s="1" t="s">
        <v>27</v>
      </c>
      <c r="F1355" s="1" t="s">
        <v>28</v>
      </c>
      <c r="G1355" s="4">
        <v>4</v>
      </c>
      <c r="H1355" s="4">
        <v>667</v>
      </c>
      <c r="I1355" s="6">
        <v>343.05540387921155</v>
      </c>
      <c r="J1355" s="6">
        <f>表1[[#This Row],[销售金额]]-表1[[#This Row],[退款金额]]</f>
        <v>323.94459612078845</v>
      </c>
      <c r="K1355" s="1">
        <v>139</v>
      </c>
      <c r="L1355" s="1">
        <v>372</v>
      </c>
    </row>
    <row r="1356" spans="1:12" x14ac:dyDescent="0.3">
      <c r="A1356" s="2">
        <v>45923</v>
      </c>
      <c r="B1356" s="1" t="s">
        <v>25</v>
      </c>
      <c r="C1356" s="1" t="s">
        <v>10</v>
      </c>
      <c r="D1356" s="1" t="s">
        <v>65</v>
      </c>
      <c r="E1356" s="1" t="s">
        <v>13</v>
      </c>
      <c r="F1356" s="1" t="s">
        <v>14</v>
      </c>
      <c r="G1356" s="4">
        <v>4</v>
      </c>
      <c r="H1356" s="4">
        <v>15339</v>
      </c>
      <c r="I1356" s="6">
        <v>13002.905162300474</v>
      </c>
      <c r="J1356" s="6">
        <f>表1[[#This Row],[销售金额]]-表1[[#This Row],[退款金额]]</f>
        <v>2336.0948376995257</v>
      </c>
      <c r="K1356" s="1">
        <v>419</v>
      </c>
      <c r="L1356" s="1">
        <v>896</v>
      </c>
    </row>
    <row r="1357" spans="1:12" x14ac:dyDescent="0.3">
      <c r="A1357" s="2">
        <v>45923</v>
      </c>
      <c r="B1357" s="1" t="s">
        <v>248</v>
      </c>
      <c r="C1357" s="1" t="s">
        <v>19</v>
      </c>
      <c r="D1357" s="1" t="s">
        <v>87</v>
      </c>
      <c r="E1357" s="1" t="s">
        <v>27</v>
      </c>
      <c r="F1357" s="1" t="s">
        <v>28</v>
      </c>
      <c r="G1357" s="4">
        <v>4</v>
      </c>
      <c r="H1357" s="4">
        <v>2362</v>
      </c>
      <c r="I1357" s="6">
        <v>343.05540387921155</v>
      </c>
      <c r="J1357" s="6">
        <f>表1[[#This Row],[销售金额]]-表1[[#This Row],[退款金额]]</f>
        <v>2018.9445961207884</v>
      </c>
      <c r="K1357" s="1">
        <v>139</v>
      </c>
      <c r="L1357" s="1">
        <v>372</v>
      </c>
    </row>
    <row r="1358" spans="1:12" x14ac:dyDescent="0.3">
      <c r="A1358" s="2">
        <v>45923</v>
      </c>
      <c r="B1358" s="1" t="s">
        <v>248</v>
      </c>
      <c r="C1358" s="1" t="s">
        <v>19</v>
      </c>
      <c r="D1358" s="1" t="s">
        <v>87</v>
      </c>
      <c r="E1358" s="1" t="s">
        <v>27</v>
      </c>
      <c r="F1358" s="1" t="s">
        <v>28</v>
      </c>
      <c r="G1358" s="4">
        <v>4</v>
      </c>
      <c r="H1358" s="4">
        <v>1016</v>
      </c>
      <c r="I1358" s="6">
        <v>343.05540387921155</v>
      </c>
      <c r="J1358" s="6">
        <f>表1[[#This Row],[销售金额]]-表1[[#This Row],[退款金额]]</f>
        <v>672.94459612078845</v>
      </c>
      <c r="K1358" s="1">
        <v>139</v>
      </c>
      <c r="L1358" s="1">
        <v>372</v>
      </c>
    </row>
    <row r="1359" spans="1:12" x14ac:dyDescent="0.3">
      <c r="A1359" s="2">
        <v>45923</v>
      </c>
      <c r="B1359" s="1" t="s">
        <v>25</v>
      </c>
      <c r="C1359" s="1" t="s">
        <v>10</v>
      </c>
      <c r="D1359" s="1" t="s">
        <v>65</v>
      </c>
      <c r="E1359" s="1" t="s">
        <v>13</v>
      </c>
      <c r="F1359" s="1" t="s">
        <v>14</v>
      </c>
      <c r="G1359" s="4">
        <v>4</v>
      </c>
      <c r="H1359" s="4">
        <v>13914</v>
      </c>
      <c r="I1359" s="6">
        <v>13002.905162300474</v>
      </c>
      <c r="J1359" s="6">
        <f>表1[[#This Row],[销售金额]]-表1[[#This Row],[退款金额]]</f>
        <v>911.09483769952567</v>
      </c>
      <c r="K1359" s="1">
        <v>419</v>
      </c>
      <c r="L1359" s="1">
        <v>896</v>
      </c>
    </row>
    <row r="1360" spans="1:12" x14ac:dyDescent="0.3">
      <c r="A1360" s="2">
        <v>45923</v>
      </c>
      <c r="B1360" s="1" t="s">
        <v>248</v>
      </c>
      <c r="C1360" s="1" t="s">
        <v>19</v>
      </c>
      <c r="D1360" s="1" t="s">
        <v>87</v>
      </c>
      <c r="E1360" s="1" t="s">
        <v>27</v>
      </c>
      <c r="F1360" s="1" t="s">
        <v>28</v>
      </c>
      <c r="G1360" s="4">
        <v>4</v>
      </c>
      <c r="H1360" s="4">
        <v>4737</v>
      </c>
      <c r="I1360" s="6">
        <v>343.05540387921155</v>
      </c>
      <c r="J1360" s="6">
        <f>表1[[#This Row],[销售金额]]-表1[[#This Row],[退款金额]]</f>
        <v>4393.9445961207884</v>
      </c>
      <c r="K1360" s="1">
        <v>139</v>
      </c>
      <c r="L1360" s="1">
        <v>372</v>
      </c>
    </row>
    <row r="1361" spans="1:12" x14ac:dyDescent="0.3">
      <c r="A1361" s="2">
        <v>45923</v>
      </c>
      <c r="B1361" s="1" t="s">
        <v>248</v>
      </c>
      <c r="C1361" s="1" t="s">
        <v>19</v>
      </c>
      <c r="D1361" s="1" t="s">
        <v>87</v>
      </c>
      <c r="E1361" s="1" t="s">
        <v>27</v>
      </c>
      <c r="F1361" s="1" t="s">
        <v>28</v>
      </c>
      <c r="G1361" s="4">
        <v>4</v>
      </c>
      <c r="H1361" s="4">
        <v>5047</v>
      </c>
      <c r="I1361" s="6">
        <v>343.05540387921155</v>
      </c>
      <c r="J1361" s="6">
        <f>表1[[#This Row],[销售金额]]-表1[[#This Row],[退款金额]]</f>
        <v>4703.9445961207884</v>
      </c>
      <c r="K1361" s="1">
        <v>139</v>
      </c>
      <c r="L1361" s="1">
        <v>372</v>
      </c>
    </row>
    <row r="1362" spans="1:12" x14ac:dyDescent="0.3">
      <c r="A1362" s="2">
        <v>45923</v>
      </c>
      <c r="B1362" s="1" t="s">
        <v>25</v>
      </c>
      <c r="C1362" s="1" t="s">
        <v>10</v>
      </c>
      <c r="D1362" s="1" t="s">
        <v>65</v>
      </c>
      <c r="E1362" s="1" t="s">
        <v>13</v>
      </c>
      <c r="F1362" s="1" t="s">
        <v>14</v>
      </c>
      <c r="G1362" s="4">
        <v>4</v>
      </c>
      <c r="H1362" s="4">
        <v>16958</v>
      </c>
      <c r="I1362" s="6">
        <v>13002.905162300474</v>
      </c>
      <c r="J1362" s="6">
        <f>表1[[#This Row],[销售金额]]-表1[[#This Row],[退款金额]]</f>
        <v>3955.0948376995257</v>
      </c>
      <c r="K1362" s="1">
        <v>419</v>
      </c>
      <c r="L1362" s="1">
        <v>896</v>
      </c>
    </row>
    <row r="1363" spans="1:12" x14ac:dyDescent="0.3">
      <c r="A1363" s="2">
        <v>45923</v>
      </c>
      <c r="B1363" s="1" t="s">
        <v>248</v>
      </c>
      <c r="C1363" s="1" t="s">
        <v>19</v>
      </c>
      <c r="D1363" s="1" t="s">
        <v>87</v>
      </c>
      <c r="E1363" s="1" t="s">
        <v>27</v>
      </c>
      <c r="F1363" s="1" t="s">
        <v>28</v>
      </c>
      <c r="G1363" s="4">
        <v>4</v>
      </c>
      <c r="H1363" s="4">
        <v>1160</v>
      </c>
      <c r="I1363" s="6">
        <v>343.05540387921155</v>
      </c>
      <c r="J1363" s="6">
        <f>表1[[#This Row],[销售金额]]-表1[[#This Row],[退款金额]]</f>
        <v>816.94459612078845</v>
      </c>
      <c r="K1363" s="1">
        <v>139</v>
      </c>
      <c r="L1363" s="1">
        <v>372</v>
      </c>
    </row>
    <row r="1364" spans="1:12" x14ac:dyDescent="0.3">
      <c r="A1364" s="2">
        <v>45923</v>
      </c>
      <c r="B1364" s="1" t="s">
        <v>248</v>
      </c>
      <c r="C1364" s="1" t="s">
        <v>19</v>
      </c>
      <c r="D1364" s="1" t="s">
        <v>87</v>
      </c>
      <c r="E1364" s="1" t="s">
        <v>27</v>
      </c>
      <c r="F1364" s="1" t="s">
        <v>28</v>
      </c>
      <c r="G1364" s="4">
        <v>4</v>
      </c>
      <c r="H1364" s="4">
        <v>3075</v>
      </c>
      <c r="I1364" s="6">
        <v>343.05540387921155</v>
      </c>
      <c r="J1364" s="6">
        <f>表1[[#This Row],[销售金额]]-表1[[#This Row],[退款金额]]</f>
        <v>2731.9445961207884</v>
      </c>
      <c r="K1364" s="1">
        <v>139</v>
      </c>
      <c r="L1364" s="1">
        <v>372</v>
      </c>
    </row>
    <row r="1365" spans="1:12" x14ac:dyDescent="0.3">
      <c r="A1365" s="2">
        <v>45923</v>
      </c>
      <c r="B1365" s="1" t="s">
        <v>25</v>
      </c>
      <c r="C1365" s="1" t="s">
        <v>10</v>
      </c>
      <c r="D1365" s="1" t="s">
        <v>65</v>
      </c>
      <c r="E1365" s="1" t="s">
        <v>13</v>
      </c>
      <c r="F1365" s="1" t="s">
        <v>14</v>
      </c>
      <c r="G1365" s="4">
        <v>4</v>
      </c>
      <c r="H1365" s="4">
        <v>17067</v>
      </c>
      <c r="I1365" s="6">
        <v>13002.905162300474</v>
      </c>
      <c r="J1365" s="6">
        <f>表1[[#This Row],[销售金额]]-表1[[#This Row],[退款金额]]</f>
        <v>4064.0948376995257</v>
      </c>
      <c r="K1365" s="1">
        <v>419</v>
      </c>
      <c r="L1365" s="1">
        <v>896</v>
      </c>
    </row>
    <row r="1366" spans="1:12" x14ac:dyDescent="0.3">
      <c r="A1366" s="2">
        <v>45923</v>
      </c>
      <c r="B1366" s="1" t="s">
        <v>248</v>
      </c>
      <c r="C1366" s="1" t="s">
        <v>19</v>
      </c>
      <c r="D1366" s="1" t="s">
        <v>87</v>
      </c>
      <c r="E1366" s="1" t="s">
        <v>27</v>
      </c>
      <c r="F1366" s="1" t="s">
        <v>28</v>
      </c>
      <c r="G1366" s="4">
        <v>4</v>
      </c>
      <c r="H1366" s="4">
        <v>3266</v>
      </c>
      <c r="I1366" s="6">
        <v>343.05540387921155</v>
      </c>
      <c r="J1366" s="6">
        <f>表1[[#This Row],[销售金额]]-表1[[#This Row],[退款金额]]</f>
        <v>2922.9445961207884</v>
      </c>
      <c r="K1366" s="1">
        <v>139</v>
      </c>
      <c r="L1366" s="1">
        <v>372</v>
      </c>
    </row>
    <row r="1367" spans="1:12" x14ac:dyDescent="0.3">
      <c r="A1367" s="2">
        <v>45923</v>
      </c>
      <c r="B1367" s="1" t="s">
        <v>248</v>
      </c>
      <c r="C1367" s="1" t="s">
        <v>19</v>
      </c>
      <c r="D1367" s="1" t="s">
        <v>87</v>
      </c>
      <c r="E1367" s="1" t="s">
        <v>27</v>
      </c>
      <c r="F1367" s="1" t="s">
        <v>28</v>
      </c>
      <c r="G1367" s="4">
        <v>4</v>
      </c>
      <c r="H1367" s="4">
        <v>564</v>
      </c>
      <c r="I1367" s="6">
        <v>343.05540387921155</v>
      </c>
      <c r="J1367" s="6">
        <f>表1[[#This Row],[销售金额]]-表1[[#This Row],[退款金额]]</f>
        <v>220.94459612078845</v>
      </c>
      <c r="K1367" s="1">
        <v>139</v>
      </c>
      <c r="L1367" s="1">
        <v>372</v>
      </c>
    </row>
    <row r="1368" spans="1:12" x14ac:dyDescent="0.3">
      <c r="A1368" s="2">
        <v>45923</v>
      </c>
      <c r="B1368" s="1" t="s">
        <v>25</v>
      </c>
      <c r="C1368" s="1" t="s">
        <v>10</v>
      </c>
      <c r="D1368" s="1" t="s">
        <v>65</v>
      </c>
      <c r="E1368" s="1" t="s">
        <v>13</v>
      </c>
      <c r="F1368" s="1" t="s">
        <v>14</v>
      </c>
      <c r="G1368" s="4">
        <v>4</v>
      </c>
      <c r="H1368" s="4">
        <v>17828</v>
      </c>
      <c r="I1368" s="6">
        <v>13002.905162300474</v>
      </c>
      <c r="J1368" s="6">
        <f>表1[[#This Row],[销售金额]]-表1[[#This Row],[退款金额]]</f>
        <v>4825.0948376995257</v>
      </c>
      <c r="K1368" s="1">
        <v>419</v>
      </c>
      <c r="L1368" s="1">
        <v>896</v>
      </c>
    </row>
    <row r="1369" spans="1:12" x14ac:dyDescent="0.3">
      <c r="A1369" s="2">
        <v>45923</v>
      </c>
      <c r="B1369" s="1" t="s">
        <v>248</v>
      </c>
      <c r="C1369" s="1" t="s">
        <v>19</v>
      </c>
      <c r="D1369" s="1" t="s">
        <v>87</v>
      </c>
      <c r="E1369" s="1" t="s">
        <v>27</v>
      </c>
      <c r="F1369" s="1" t="s">
        <v>28</v>
      </c>
      <c r="G1369" s="4">
        <v>4</v>
      </c>
      <c r="H1369" s="4">
        <v>451</v>
      </c>
      <c r="I1369" s="6">
        <v>343.05540387921155</v>
      </c>
      <c r="J1369" s="6">
        <f>表1[[#This Row],[销售金额]]-表1[[#This Row],[退款金额]]</f>
        <v>107.94459612078845</v>
      </c>
      <c r="K1369" s="1">
        <v>139</v>
      </c>
      <c r="L1369" s="1">
        <v>372</v>
      </c>
    </row>
    <row r="1370" spans="1:12" x14ac:dyDescent="0.3">
      <c r="A1370" s="2">
        <v>45923</v>
      </c>
      <c r="B1370" s="1" t="s">
        <v>248</v>
      </c>
      <c r="C1370" s="1" t="s">
        <v>19</v>
      </c>
      <c r="D1370" s="1" t="s">
        <v>87</v>
      </c>
      <c r="E1370" s="1" t="s">
        <v>27</v>
      </c>
      <c r="F1370" s="1" t="s">
        <v>28</v>
      </c>
      <c r="G1370" s="4">
        <v>4</v>
      </c>
      <c r="H1370" s="4">
        <v>1783</v>
      </c>
      <c r="I1370" s="6">
        <v>343.05540387921155</v>
      </c>
      <c r="J1370" s="6">
        <f>表1[[#This Row],[销售金额]]-表1[[#This Row],[退款金额]]</f>
        <v>1439.9445961207884</v>
      </c>
      <c r="K1370" s="1">
        <v>139</v>
      </c>
      <c r="L1370" s="1">
        <v>372</v>
      </c>
    </row>
    <row r="1371" spans="1:12" x14ac:dyDescent="0.3">
      <c r="A1371" s="2">
        <v>45923</v>
      </c>
      <c r="B1371" s="1" t="s">
        <v>15</v>
      </c>
      <c r="C1371" s="1" t="s">
        <v>32</v>
      </c>
      <c r="D1371" s="1" t="s">
        <v>137</v>
      </c>
      <c r="E1371" s="1" t="s">
        <v>60</v>
      </c>
      <c r="F1371" s="1" t="s">
        <v>61</v>
      </c>
      <c r="G1371" s="4">
        <v>8</v>
      </c>
      <c r="H1371" s="4">
        <v>21526</v>
      </c>
      <c r="I1371" s="6">
        <v>20551.035825094714</v>
      </c>
      <c r="J1371" s="6">
        <f>表1[[#This Row],[销售金额]]-表1[[#This Row],[退款金额]]</f>
        <v>974.9641749052862</v>
      </c>
      <c r="K1371" s="1">
        <v>788</v>
      </c>
      <c r="L1371" s="1">
        <v>12</v>
      </c>
    </row>
    <row r="1372" spans="1:12" x14ac:dyDescent="0.3">
      <c r="A1372" s="2">
        <v>45923</v>
      </c>
      <c r="B1372" s="1" t="s">
        <v>15</v>
      </c>
      <c r="C1372" s="1" t="s">
        <v>32</v>
      </c>
      <c r="D1372" s="1" t="s">
        <v>137</v>
      </c>
      <c r="E1372" s="1" t="s">
        <v>60</v>
      </c>
      <c r="F1372" s="1" t="s">
        <v>61</v>
      </c>
      <c r="G1372" s="4">
        <v>8</v>
      </c>
      <c r="H1372" s="4">
        <v>23020</v>
      </c>
      <c r="I1372" s="6">
        <v>20551.035825094714</v>
      </c>
      <c r="J1372" s="6">
        <f>表1[[#This Row],[销售金额]]-表1[[#This Row],[退款金额]]</f>
        <v>2468.9641749052862</v>
      </c>
      <c r="K1372" s="1">
        <v>788</v>
      </c>
      <c r="L1372" s="1">
        <v>12</v>
      </c>
    </row>
    <row r="1373" spans="1:12" x14ac:dyDescent="0.3">
      <c r="A1373" s="2">
        <v>45923</v>
      </c>
      <c r="B1373" s="1" t="s">
        <v>15</v>
      </c>
      <c r="C1373" s="1" t="s">
        <v>32</v>
      </c>
      <c r="D1373" s="1" t="s">
        <v>137</v>
      </c>
      <c r="E1373" s="1" t="s">
        <v>60</v>
      </c>
      <c r="F1373" s="1" t="s">
        <v>61</v>
      </c>
      <c r="G1373" s="4">
        <v>8</v>
      </c>
      <c r="H1373" s="4">
        <v>23708</v>
      </c>
      <c r="I1373" s="6">
        <v>20551.035825094714</v>
      </c>
      <c r="J1373" s="6">
        <f>表1[[#This Row],[销售金额]]-表1[[#This Row],[退款金额]]</f>
        <v>3156.9641749052862</v>
      </c>
      <c r="K1373" s="1">
        <v>788</v>
      </c>
      <c r="L1373" s="1">
        <v>12</v>
      </c>
    </row>
    <row r="1374" spans="1:12" x14ac:dyDescent="0.3">
      <c r="A1374" s="2">
        <v>45923</v>
      </c>
      <c r="B1374" s="1" t="s">
        <v>15</v>
      </c>
      <c r="C1374" s="1" t="s">
        <v>32</v>
      </c>
      <c r="D1374" s="1" t="s">
        <v>137</v>
      </c>
      <c r="E1374" s="1" t="s">
        <v>60</v>
      </c>
      <c r="F1374" s="1" t="s">
        <v>61</v>
      </c>
      <c r="G1374" s="4">
        <v>8</v>
      </c>
      <c r="H1374" s="4">
        <v>22514</v>
      </c>
      <c r="I1374" s="6">
        <v>20551.035825094714</v>
      </c>
      <c r="J1374" s="6">
        <f>表1[[#This Row],[销售金额]]-表1[[#This Row],[退款金额]]</f>
        <v>1962.9641749052862</v>
      </c>
      <c r="K1374" s="1">
        <v>788</v>
      </c>
      <c r="L1374" s="1">
        <v>12</v>
      </c>
    </row>
    <row r="1375" spans="1:12" x14ac:dyDescent="0.3">
      <c r="A1375" s="2">
        <v>45923</v>
      </c>
      <c r="B1375" s="1" t="s">
        <v>15</v>
      </c>
      <c r="C1375" s="1" t="s">
        <v>32</v>
      </c>
      <c r="D1375" s="1" t="s">
        <v>137</v>
      </c>
      <c r="E1375" s="1" t="s">
        <v>60</v>
      </c>
      <c r="F1375" s="1" t="s">
        <v>61</v>
      </c>
      <c r="G1375" s="4">
        <v>8</v>
      </c>
      <c r="H1375" s="4">
        <v>24249</v>
      </c>
      <c r="I1375" s="6">
        <v>20551.035825094714</v>
      </c>
      <c r="J1375" s="6">
        <f>表1[[#This Row],[销售金额]]-表1[[#This Row],[退款金额]]</f>
        <v>3697.9641749052862</v>
      </c>
      <c r="K1375" s="1">
        <v>788</v>
      </c>
      <c r="L1375" s="1">
        <v>12</v>
      </c>
    </row>
    <row r="1376" spans="1:12" x14ac:dyDescent="0.3">
      <c r="A1376" s="2">
        <v>45923</v>
      </c>
      <c r="B1376" s="1" t="s">
        <v>15</v>
      </c>
      <c r="C1376" s="1" t="s">
        <v>32</v>
      </c>
      <c r="D1376" s="1" t="s">
        <v>137</v>
      </c>
      <c r="E1376" s="1" t="s">
        <v>60</v>
      </c>
      <c r="F1376" s="1" t="s">
        <v>61</v>
      </c>
      <c r="G1376" s="4">
        <v>8</v>
      </c>
      <c r="H1376" s="4">
        <v>22250</v>
      </c>
      <c r="I1376" s="6">
        <v>20551.035825094714</v>
      </c>
      <c r="J1376" s="6">
        <f>表1[[#This Row],[销售金额]]-表1[[#This Row],[退款金额]]</f>
        <v>1698.9641749052862</v>
      </c>
      <c r="K1376" s="1">
        <v>788</v>
      </c>
      <c r="L1376" s="1">
        <v>12</v>
      </c>
    </row>
    <row r="1377" spans="1:12" x14ac:dyDescent="0.3">
      <c r="A1377" s="2">
        <v>45923</v>
      </c>
      <c r="B1377" s="1" t="s">
        <v>15</v>
      </c>
      <c r="C1377" s="1" t="s">
        <v>32</v>
      </c>
      <c r="D1377" s="1" t="s">
        <v>137</v>
      </c>
      <c r="E1377" s="1" t="s">
        <v>60</v>
      </c>
      <c r="F1377" s="1" t="s">
        <v>61</v>
      </c>
      <c r="G1377" s="4">
        <v>8</v>
      </c>
      <c r="H1377" s="4">
        <v>22204</v>
      </c>
      <c r="I1377" s="6">
        <v>20551.035825094714</v>
      </c>
      <c r="J1377" s="6">
        <f>表1[[#This Row],[销售金额]]-表1[[#This Row],[退款金额]]</f>
        <v>1652.9641749052862</v>
      </c>
      <c r="K1377" s="1">
        <v>788</v>
      </c>
      <c r="L1377" s="1">
        <v>12</v>
      </c>
    </row>
    <row r="1378" spans="1:12" x14ac:dyDescent="0.3">
      <c r="A1378" s="2">
        <v>45923</v>
      </c>
      <c r="B1378" s="1" t="s">
        <v>15</v>
      </c>
      <c r="C1378" s="1" t="s">
        <v>32</v>
      </c>
      <c r="D1378" s="1" t="s">
        <v>137</v>
      </c>
      <c r="E1378" s="1" t="s">
        <v>60</v>
      </c>
      <c r="F1378" s="1" t="s">
        <v>61</v>
      </c>
      <c r="G1378" s="4">
        <v>8</v>
      </c>
      <c r="H1378" s="4">
        <v>21851</v>
      </c>
      <c r="I1378" s="6">
        <v>20551.035825094714</v>
      </c>
      <c r="J1378" s="6">
        <f>表1[[#This Row],[销售金额]]-表1[[#This Row],[退款金额]]</f>
        <v>1299.9641749052862</v>
      </c>
      <c r="K1378" s="1">
        <v>788</v>
      </c>
      <c r="L1378" s="1">
        <v>12</v>
      </c>
    </row>
    <row r="1379" spans="1:12" x14ac:dyDescent="0.3">
      <c r="A1379" s="2">
        <v>45923</v>
      </c>
      <c r="B1379" s="1" t="s">
        <v>15</v>
      </c>
      <c r="C1379" s="1" t="s">
        <v>32</v>
      </c>
      <c r="D1379" s="1" t="s">
        <v>137</v>
      </c>
      <c r="E1379" s="1" t="s">
        <v>60</v>
      </c>
      <c r="F1379" s="1" t="s">
        <v>61</v>
      </c>
      <c r="G1379" s="4">
        <v>8</v>
      </c>
      <c r="H1379" s="4">
        <v>23510</v>
      </c>
      <c r="I1379" s="6">
        <v>20551.035825094714</v>
      </c>
      <c r="J1379" s="6">
        <f>表1[[#This Row],[销售金额]]-表1[[#This Row],[退款金额]]</f>
        <v>2958.9641749052862</v>
      </c>
      <c r="K1379" s="1">
        <v>788</v>
      </c>
      <c r="L1379" s="1">
        <v>12</v>
      </c>
    </row>
    <row r="1380" spans="1:12" x14ac:dyDescent="0.3">
      <c r="A1380" s="2">
        <v>45923</v>
      </c>
      <c r="B1380" s="1" t="s">
        <v>248</v>
      </c>
      <c r="C1380" s="1" t="s">
        <v>10</v>
      </c>
      <c r="D1380" s="1" t="s">
        <v>99</v>
      </c>
      <c r="E1380" s="1" t="s">
        <v>42</v>
      </c>
      <c r="F1380" s="1" t="s">
        <v>43</v>
      </c>
      <c r="G1380" s="4">
        <v>9</v>
      </c>
      <c r="H1380" s="4">
        <v>3201</v>
      </c>
      <c r="I1380" s="6">
        <v>1908.0873880009995</v>
      </c>
      <c r="J1380" s="6">
        <f>表1[[#This Row],[销售金额]]-表1[[#This Row],[退款金额]]</f>
        <v>1292.9126119990005</v>
      </c>
      <c r="K1380" s="1">
        <v>256</v>
      </c>
      <c r="L1380" s="1">
        <v>529</v>
      </c>
    </row>
    <row r="1381" spans="1:12" x14ac:dyDescent="0.3">
      <c r="A1381" s="2">
        <v>45923</v>
      </c>
      <c r="B1381" s="1" t="s">
        <v>248</v>
      </c>
      <c r="C1381" s="1" t="s">
        <v>10</v>
      </c>
      <c r="D1381" s="1" t="s">
        <v>99</v>
      </c>
      <c r="E1381" s="1" t="s">
        <v>42</v>
      </c>
      <c r="F1381" s="1" t="s">
        <v>43</v>
      </c>
      <c r="G1381" s="4">
        <v>9</v>
      </c>
      <c r="H1381" s="4">
        <v>3070</v>
      </c>
      <c r="I1381" s="6">
        <v>1908.0873880009995</v>
      </c>
      <c r="J1381" s="6">
        <f>表1[[#This Row],[销售金额]]-表1[[#This Row],[退款金额]]</f>
        <v>1161.9126119990005</v>
      </c>
      <c r="K1381" s="1">
        <v>256</v>
      </c>
      <c r="L1381" s="1">
        <v>529</v>
      </c>
    </row>
    <row r="1382" spans="1:12" x14ac:dyDescent="0.3">
      <c r="A1382" s="2">
        <v>45923</v>
      </c>
      <c r="B1382" s="1" t="s">
        <v>15</v>
      </c>
      <c r="C1382" s="1" t="s">
        <v>10</v>
      </c>
      <c r="D1382" s="1" t="s">
        <v>55</v>
      </c>
      <c r="E1382" s="1" t="s">
        <v>34</v>
      </c>
      <c r="F1382" s="1" t="s">
        <v>35</v>
      </c>
      <c r="G1382" s="4">
        <v>9</v>
      </c>
      <c r="H1382" s="4">
        <v>15013</v>
      </c>
      <c r="I1382" s="6">
        <v>12621.07012011145</v>
      </c>
      <c r="J1382" s="6">
        <f>表1[[#This Row],[销售金额]]-表1[[#This Row],[退款金额]]</f>
        <v>2391.9298798885502</v>
      </c>
      <c r="K1382" s="1">
        <v>227</v>
      </c>
      <c r="L1382" s="1">
        <v>50</v>
      </c>
    </row>
    <row r="1383" spans="1:12" x14ac:dyDescent="0.3">
      <c r="A1383" s="2">
        <v>45923</v>
      </c>
      <c r="B1383" s="1" t="s">
        <v>248</v>
      </c>
      <c r="C1383" s="1" t="s">
        <v>10</v>
      </c>
      <c r="D1383" s="1" t="s">
        <v>99</v>
      </c>
      <c r="E1383" s="1" t="s">
        <v>42</v>
      </c>
      <c r="F1383" s="1" t="s">
        <v>43</v>
      </c>
      <c r="G1383" s="4">
        <v>9</v>
      </c>
      <c r="H1383" s="4">
        <v>2748</v>
      </c>
      <c r="I1383" s="6">
        <v>1908.0873880009995</v>
      </c>
      <c r="J1383" s="6">
        <f>表1[[#This Row],[销售金额]]-表1[[#This Row],[退款金额]]</f>
        <v>839.91261199900055</v>
      </c>
      <c r="K1383" s="1">
        <v>256</v>
      </c>
      <c r="L1383" s="1">
        <v>529</v>
      </c>
    </row>
    <row r="1384" spans="1:12" x14ac:dyDescent="0.3">
      <c r="A1384" s="2">
        <v>45923</v>
      </c>
      <c r="B1384" s="1" t="s">
        <v>248</v>
      </c>
      <c r="C1384" s="1" t="s">
        <v>10</v>
      </c>
      <c r="D1384" s="1" t="s">
        <v>99</v>
      </c>
      <c r="E1384" s="1" t="s">
        <v>42</v>
      </c>
      <c r="F1384" s="1" t="s">
        <v>43</v>
      </c>
      <c r="G1384" s="4">
        <v>9</v>
      </c>
      <c r="H1384" s="4">
        <v>2749</v>
      </c>
      <c r="I1384" s="6">
        <v>1908.0873880009995</v>
      </c>
      <c r="J1384" s="6">
        <f>表1[[#This Row],[销售金额]]-表1[[#This Row],[退款金额]]</f>
        <v>840.91261199900055</v>
      </c>
      <c r="K1384" s="1">
        <v>256</v>
      </c>
      <c r="L1384" s="1">
        <v>529</v>
      </c>
    </row>
    <row r="1385" spans="1:12" x14ac:dyDescent="0.3">
      <c r="A1385" s="2">
        <v>45923</v>
      </c>
      <c r="B1385" s="1" t="s">
        <v>15</v>
      </c>
      <c r="C1385" s="1" t="s">
        <v>10</v>
      </c>
      <c r="D1385" s="1" t="s">
        <v>55</v>
      </c>
      <c r="E1385" s="1" t="s">
        <v>34</v>
      </c>
      <c r="F1385" s="1" t="s">
        <v>35</v>
      </c>
      <c r="G1385" s="4">
        <v>9</v>
      </c>
      <c r="H1385" s="4">
        <v>14814</v>
      </c>
      <c r="I1385" s="6">
        <v>12621.07012011145</v>
      </c>
      <c r="J1385" s="6">
        <f>表1[[#This Row],[销售金额]]-表1[[#This Row],[退款金额]]</f>
        <v>2192.9298798885502</v>
      </c>
      <c r="K1385" s="1">
        <v>227</v>
      </c>
      <c r="L1385" s="1">
        <v>50</v>
      </c>
    </row>
    <row r="1386" spans="1:12" x14ac:dyDescent="0.3">
      <c r="A1386" s="2">
        <v>45923</v>
      </c>
      <c r="B1386" s="1" t="s">
        <v>248</v>
      </c>
      <c r="C1386" s="1" t="s">
        <v>10</v>
      </c>
      <c r="D1386" s="1" t="s">
        <v>99</v>
      </c>
      <c r="E1386" s="1" t="s">
        <v>42</v>
      </c>
      <c r="F1386" s="1" t="s">
        <v>43</v>
      </c>
      <c r="G1386" s="4">
        <v>9</v>
      </c>
      <c r="H1386" s="4">
        <v>5499</v>
      </c>
      <c r="I1386" s="6">
        <v>1908.0873880009995</v>
      </c>
      <c r="J1386" s="6">
        <f>表1[[#This Row],[销售金额]]-表1[[#This Row],[退款金额]]</f>
        <v>3590.9126119990005</v>
      </c>
      <c r="K1386" s="1">
        <v>256</v>
      </c>
      <c r="L1386" s="1">
        <v>529</v>
      </c>
    </row>
    <row r="1387" spans="1:12" x14ac:dyDescent="0.3">
      <c r="A1387" s="2">
        <v>45923</v>
      </c>
      <c r="B1387" s="1" t="s">
        <v>248</v>
      </c>
      <c r="C1387" s="1" t="s">
        <v>10</v>
      </c>
      <c r="D1387" s="1" t="s">
        <v>99</v>
      </c>
      <c r="E1387" s="1" t="s">
        <v>42</v>
      </c>
      <c r="F1387" s="1" t="s">
        <v>43</v>
      </c>
      <c r="G1387" s="4">
        <v>9</v>
      </c>
      <c r="H1387" s="4">
        <v>3479</v>
      </c>
      <c r="I1387" s="6">
        <v>1908.0873880009995</v>
      </c>
      <c r="J1387" s="6">
        <f>表1[[#This Row],[销售金额]]-表1[[#This Row],[退款金额]]</f>
        <v>1570.9126119990005</v>
      </c>
      <c r="K1387" s="1">
        <v>256</v>
      </c>
      <c r="L1387" s="1">
        <v>529</v>
      </c>
    </row>
    <row r="1388" spans="1:12" x14ac:dyDescent="0.3">
      <c r="A1388" s="2">
        <v>45923</v>
      </c>
      <c r="B1388" s="1" t="s">
        <v>15</v>
      </c>
      <c r="C1388" s="1" t="s">
        <v>10</v>
      </c>
      <c r="D1388" s="1" t="s">
        <v>55</v>
      </c>
      <c r="E1388" s="1" t="s">
        <v>34</v>
      </c>
      <c r="F1388" s="1" t="s">
        <v>35</v>
      </c>
      <c r="G1388" s="4">
        <v>9</v>
      </c>
      <c r="H1388" s="4">
        <v>17139</v>
      </c>
      <c r="I1388" s="6">
        <v>12621.07012011145</v>
      </c>
      <c r="J1388" s="6">
        <f>表1[[#This Row],[销售金额]]-表1[[#This Row],[退款金额]]</f>
        <v>4517.9298798885502</v>
      </c>
      <c r="K1388" s="1">
        <v>227</v>
      </c>
      <c r="L1388" s="1">
        <v>50</v>
      </c>
    </row>
    <row r="1389" spans="1:12" x14ac:dyDescent="0.3">
      <c r="A1389" s="2">
        <v>45923</v>
      </c>
      <c r="B1389" s="1" t="s">
        <v>248</v>
      </c>
      <c r="C1389" s="1" t="s">
        <v>10</v>
      </c>
      <c r="D1389" s="1" t="s">
        <v>99</v>
      </c>
      <c r="E1389" s="1" t="s">
        <v>42</v>
      </c>
      <c r="F1389" s="1" t="s">
        <v>43</v>
      </c>
      <c r="G1389" s="4">
        <v>9</v>
      </c>
      <c r="H1389" s="4">
        <v>3830</v>
      </c>
      <c r="I1389" s="6">
        <v>1908.0873880009995</v>
      </c>
      <c r="J1389" s="6">
        <f>表1[[#This Row],[销售金额]]-表1[[#This Row],[退款金额]]</f>
        <v>1921.9126119990005</v>
      </c>
      <c r="K1389" s="1">
        <v>256</v>
      </c>
      <c r="L1389" s="1">
        <v>529</v>
      </c>
    </row>
    <row r="1390" spans="1:12" x14ac:dyDescent="0.3">
      <c r="A1390" s="2">
        <v>45923</v>
      </c>
      <c r="B1390" s="1" t="s">
        <v>248</v>
      </c>
      <c r="C1390" s="1" t="s">
        <v>10</v>
      </c>
      <c r="D1390" s="1" t="s">
        <v>99</v>
      </c>
      <c r="E1390" s="1" t="s">
        <v>42</v>
      </c>
      <c r="F1390" s="1" t="s">
        <v>43</v>
      </c>
      <c r="G1390" s="4">
        <v>9</v>
      </c>
      <c r="H1390" s="4">
        <v>2417</v>
      </c>
      <c r="I1390" s="6">
        <v>1908.0873880009995</v>
      </c>
      <c r="J1390" s="6">
        <f>表1[[#This Row],[销售金额]]-表1[[#This Row],[退款金额]]</f>
        <v>508.91261199900055</v>
      </c>
      <c r="K1390" s="1">
        <v>256</v>
      </c>
      <c r="L1390" s="1">
        <v>529</v>
      </c>
    </row>
    <row r="1391" spans="1:12" x14ac:dyDescent="0.3">
      <c r="A1391" s="2">
        <v>45923</v>
      </c>
      <c r="B1391" s="1" t="s">
        <v>15</v>
      </c>
      <c r="C1391" s="1" t="s">
        <v>10</v>
      </c>
      <c r="D1391" s="1" t="s">
        <v>55</v>
      </c>
      <c r="E1391" s="1" t="s">
        <v>34</v>
      </c>
      <c r="F1391" s="1" t="s">
        <v>35</v>
      </c>
      <c r="G1391" s="4">
        <v>9</v>
      </c>
      <c r="H1391" s="4">
        <v>16789</v>
      </c>
      <c r="I1391" s="6">
        <v>12621.07012011145</v>
      </c>
      <c r="J1391" s="6">
        <f>表1[[#This Row],[销售金额]]-表1[[#This Row],[退款金额]]</f>
        <v>4167.9298798885502</v>
      </c>
      <c r="K1391" s="1">
        <v>227</v>
      </c>
      <c r="L1391" s="1">
        <v>50</v>
      </c>
    </row>
    <row r="1392" spans="1:12" x14ac:dyDescent="0.3">
      <c r="A1392" s="2">
        <v>45923</v>
      </c>
      <c r="B1392" s="1" t="s">
        <v>248</v>
      </c>
      <c r="C1392" s="1" t="s">
        <v>10</v>
      </c>
      <c r="D1392" s="1" t="s">
        <v>99</v>
      </c>
      <c r="E1392" s="1" t="s">
        <v>42</v>
      </c>
      <c r="F1392" s="1" t="s">
        <v>43</v>
      </c>
      <c r="G1392" s="4">
        <v>9</v>
      </c>
      <c r="H1392" s="4">
        <v>5290</v>
      </c>
      <c r="I1392" s="6">
        <v>1908.0873880009995</v>
      </c>
      <c r="J1392" s="6">
        <f>表1[[#This Row],[销售金额]]-表1[[#This Row],[退款金额]]</f>
        <v>3381.9126119990005</v>
      </c>
      <c r="K1392" s="1">
        <v>256</v>
      </c>
      <c r="L1392" s="1">
        <v>529</v>
      </c>
    </row>
    <row r="1393" spans="1:12" x14ac:dyDescent="0.3">
      <c r="A1393" s="2">
        <v>45923</v>
      </c>
      <c r="B1393" s="1" t="s">
        <v>248</v>
      </c>
      <c r="C1393" s="1" t="s">
        <v>10</v>
      </c>
      <c r="D1393" s="1" t="s">
        <v>99</v>
      </c>
      <c r="E1393" s="1" t="s">
        <v>42</v>
      </c>
      <c r="F1393" s="1" t="s">
        <v>43</v>
      </c>
      <c r="G1393" s="4">
        <v>9</v>
      </c>
      <c r="H1393" s="4">
        <v>5374</v>
      </c>
      <c r="I1393" s="6">
        <v>1908.0873880009995</v>
      </c>
      <c r="J1393" s="6">
        <f>表1[[#This Row],[销售金额]]-表1[[#This Row],[退款金额]]</f>
        <v>3465.9126119990005</v>
      </c>
      <c r="K1393" s="1">
        <v>256</v>
      </c>
      <c r="L1393" s="1">
        <v>529</v>
      </c>
    </row>
    <row r="1394" spans="1:12" x14ac:dyDescent="0.3">
      <c r="A1394" s="2">
        <v>45923</v>
      </c>
      <c r="B1394" s="1" t="s">
        <v>15</v>
      </c>
      <c r="C1394" s="1" t="s">
        <v>10</v>
      </c>
      <c r="D1394" s="1" t="s">
        <v>55</v>
      </c>
      <c r="E1394" s="1" t="s">
        <v>34</v>
      </c>
      <c r="F1394" s="1" t="s">
        <v>35</v>
      </c>
      <c r="G1394" s="4">
        <v>9</v>
      </c>
      <c r="H1394" s="4">
        <v>16782</v>
      </c>
      <c r="I1394" s="6">
        <v>12621.07012011145</v>
      </c>
      <c r="J1394" s="6">
        <f>表1[[#This Row],[销售金额]]-表1[[#This Row],[退款金额]]</f>
        <v>4160.9298798885502</v>
      </c>
      <c r="K1394" s="1">
        <v>227</v>
      </c>
      <c r="L1394" s="1">
        <v>50</v>
      </c>
    </row>
    <row r="1395" spans="1:12" x14ac:dyDescent="0.3">
      <c r="A1395" s="2">
        <v>45923</v>
      </c>
      <c r="B1395" s="1" t="s">
        <v>248</v>
      </c>
      <c r="C1395" s="1" t="s">
        <v>10</v>
      </c>
      <c r="D1395" s="1" t="s">
        <v>99</v>
      </c>
      <c r="E1395" s="1" t="s">
        <v>42</v>
      </c>
      <c r="F1395" s="1" t="s">
        <v>43</v>
      </c>
      <c r="G1395" s="4">
        <v>9</v>
      </c>
      <c r="H1395" s="4">
        <v>4418</v>
      </c>
      <c r="I1395" s="6">
        <v>1908.0873880009995</v>
      </c>
      <c r="J1395" s="6">
        <f>表1[[#This Row],[销售金额]]-表1[[#This Row],[退款金额]]</f>
        <v>2509.9126119990005</v>
      </c>
      <c r="K1395" s="1">
        <v>256</v>
      </c>
      <c r="L1395" s="1">
        <v>529</v>
      </c>
    </row>
    <row r="1396" spans="1:12" x14ac:dyDescent="0.3">
      <c r="A1396" s="2">
        <v>45923</v>
      </c>
      <c r="B1396" s="1" t="s">
        <v>248</v>
      </c>
      <c r="C1396" s="1" t="s">
        <v>10</v>
      </c>
      <c r="D1396" s="1" t="s">
        <v>99</v>
      </c>
      <c r="E1396" s="1" t="s">
        <v>42</v>
      </c>
      <c r="F1396" s="1" t="s">
        <v>43</v>
      </c>
      <c r="G1396" s="4">
        <v>9</v>
      </c>
      <c r="H1396" s="4">
        <v>4699</v>
      </c>
      <c r="I1396" s="6">
        <v>1908.0873880009995</v>
      </c>
      <c r="J1396" s="6">
        <f>表1[[#This Row],[销售金额]]-表1[[#This Row],[退款金额]]</f>
        <v>2790.9126119990005</v>
      </c>
      <c r="K1396" s="1">
        <v>256</v>
      </c>
      <c r="L1396" s="1">
        <v>529</v>
      </c>
    </row>
    <row r="1397" spans="1:12" x14ac:dyDescent="0.3">
      <c r="A1397" s="2">
        <v>45923</v>
      </c>
      <c r="B1397" s="1" t="s">
        <v>15</v>
      </c>
      <c r="C1397" s="1" t="s">
        <v>10</v>
      </c>
      <c r="D1397" s="1" t="s">
        <v>55</v>
      </c>
      <c r="E1397" s="1" t="s">
        <v>34</v>
      </c>
      <c r="F1397" s="1" t="s">
        <v>35</v>
      </c>
      <c r="G1397" s="4">
        <v>9</v>
      </c>
      <c r="H1397" s="4">
        <v>13358</v>
      </c>
      <c r="I1397" s="6">
        <v>12621.07012011145</v>
      </c>
      <c r="J1397" s="6">
        <f>表1[[#This Row],[销售金额]]-表1[[#This Row],[退款金额]]</f>
        <v>736.9298798885502</v>
      </c>
      <c r="K1397" s="1">
        <v>227</v>
      </c>
      <c r="L1397" s="1">
        <v>50</v>
      </c>
    </row>
    <row r="1398" spans="1:12" x14ac:dyDescent="0.3">
      <c r="A1398" s="2">
        <v>45923</v>
      </c>
      <c r="B1398" s="1" t="s">
        <v>248</v>
      </c>
      <c r="C1398" s="1" t="s">
        <v>10</v>
      </c>
      <c r="D1398" s="1" t="s">
        <v>99</v>
      </c>
      <c r="E1398" s="1" t="s">
        <v>42</v>
      </c>
      <c r="F1398" s="1" t="s">
        <v>43</v>
      </c>
      <c r="G1398" s="4">
        <v>9</v>
      </c>
      <c r="H1398" s="4">
        <v>6224</v>
      </c>
      <c r="I1398" s="6">
        <v>1908.0873880009995</v>
      </c>
      <c r="J1398" s="6">
        <f>表1[[#This Row],[销售金额]]-表1[[#This Row],[退款金额]]</f>
        <v>4315.9126119990005</v>
      </c>
      <c r="K1398" s="1">
        <v>256</v>
      </c>
      <c r="L1398" s="1">
        <v>529</v>
      </c>
    </row>
    <row r="1399" spans="1:12" x14ac:dyDescent="0.3">
      <c r="A1399" s="2">
        <v>45923</v>
      </c>
      <c r="B1399" s="1" t="s">
        <v>248</v>
      </c>
      <c r="C1399" s="1" t="s">
        <v>10</v>
      </c>
      <c r="D1399" s="1" t="s">
        <v>99</v>
      </c>
      <c r="E1399" s="1" t="s">
        <v>42</v>
      </c>
      <c r="F1399" s="1" t="s">
        <v>43</v>
      </c>
      <c r="G1399" s="4">
        <v>9</v>
      </c>
      <c r="H1399" s="4">
        <v>2993</v>
      </c>
      <c r="I1399" s="6">
        <v>1908.0873880009995</v>
      </c>
      <c r="J1399" s="6">
        <f>表1[[#This Row],[销售金额]]-表1[[#This Row],[退款金额]]</f>
        <v>1084.9126119990005</v>
      </c>
      <c r="K1399" s="1">
        <v>256</v>
      </c>
      <c r="L1399" s="1">
        <v>529</v>
      </c>
    </row>
    <row r="1400" spans="1:12" x14ac:dyDescent="0.3">
      <c r="A1400" s="2">
        <v>45923</v>
      </c>
      <c r="B1400" s="1" t="s">
        <v>15</v>
      </c>
      <c r="C1400" s="1" t="s">
        <v>10</v>
      </c>
      <c r="D1400" s="1" t="s">
        <v>55</v>
      </c>
      <c r="E1400" s="1" t="s">
        <v>34</v>
      </c>
      <c r="F1400" s="1" t="s">
        <v>35</v>
      </c>
      <c r="G1400" s="4">
        <v>9</v>
      </c>
      <c r="H1400" s="4">
        <v>12881</v>
      </c>
      <c r="I1400" s="6">
        <v>12621.07012011145</v>
      </c>
      <c r="J1400" s="6">
        <f>表1[[#This Row],[销售金额]]-表1[[#This Row],[退款金额]]</f>
        <v>259.9298798885502</v>
      </c>
      <c r="K1400" s="1">
        <v>227</v>
      </c>
      <c r="L1400" s="1">
        <v>50</v>
      </c>
    </row>
    <row r="1401" spans="1:12" x14ac:dyDescent="0.3">
      <c r="A1401" s="2">
        <v>45923</v>
      </c>
      <c r="B1401" s="1" t="s">
        <v>248</v>
      </c>
      <c r="C1401" s="1" t="s">
        <v>10</v>
      </c>
      <c r="D1401" s="1" t="s">
        <v>99</v>
      </c>
      <c r="E1401" s="1" t="s">
        <v>42</v>
      </c>
      <c r="F1401" s="1" t="s">
        <v>43</v>
      </c>
      <c r="G1401" s="4">
        <v>9</v>
      </c>
      <c r="H1401" s="4">
        <v>6063</v>
      </c>
      <c r="I1401" s="6">
        <v>1908.0873880009995</v>
      </c>
      <c r="J1401" s="6">
        <f>表1[[#This Row],[销售金额]]-表1[[#This Row],[退款金额]]</f>
        <v>4154.9126119990005</v>
      </c>
      <c r="K1401" s="1">
        <v>256</v>
      </c>
      <c r="L1401" s="1">
        <v>529</v>
      </c>
    </row>
    <row r="1402" spans="1:12" x14ac:dyDescent="0.3">
      <c r="A1402" s="2">
        <v>45923</v>
      </c>
      <c r="B1402" s="1" t="s">
        <v>248</v>
      </c>
      <c r="C1402" s="1" t="s">
        <v>10</v>
      </c>
      <c r="D1402" s="1" t="s">
        <v>99</v>
      </c>
      <c r="E1402" s="1" t="s">
        <v>42</v>
      </c>
      <c r="F1402" s="1" t="s">
        <v>43</v>
      </c>
      <c r="G1402" s="4">
        <v>9</v>
      </c>
      <c r="H1402" s="4">
        <v>2237</v>
      </c>
      <c r="I1402" s="6">
        <v>1908.0873880009995</v>
      </c>
      <c r="J1402" s="6">
        <f>表1[[#This Row],[销售金额]]-表1[[#This Row],[退款金额]]</f>
        <v>328.91261199900055</v>
      </c>
      <c r="K1402" s="1">
        <v>256</v>
      </c>
      <c r="L1402" s="1">
        <v>529</v>
      </c>
    </row>
    <row r="1403" spans="1:12" x14ac:dyDescent="0.3">
      <c r="A1403" s="2">
        <v>45923</v>
      </c>
      <c r="B1403" s="1" t="s">
        <v>15</v>
      </c>
      <c r="C1403" s="1" t="s">
        <v>10</v>
      </c>
      <c r="D1403" s="1" t="s">
        <v>55</v>
      </c>
      <c r="E1403" s="1" t="s">
        <v>34</v>
      </c>
      <c r="F1403" s="1" t="s">
        <v>35</v>
      </c>
      <c r="G1403" s="4">
        <v>9</v>
      </c>
      <c r="H1403" s="4">
        <v>17291</v>
      </c>
      <c r="I1403" s="6">
        <v>12621.07012011145</v>
      </c>
      <c r="J1403" s="6">
        <f>表1[[#This Row],[销售金额]]-表1[[#This Row],[退款金额]]</f>
        <v>4669.9298798885502</v>
      </c>
      <c r="K1403" s="1">
        <v>227</v>
      </c>
      <c r="L1403" s="1">
        <v>50</v>
      </c>
    </row>
    <row r="1404" spans="1:12" x14ac:dyDescent="0.3">
      <c r="A1404" s="2">
        <v>45923</v>
      </c>
      <c r="B1404" s="1" t="s">
        <v>248</v>
      </c>
      <c r="C1404" s="1" t="s">
        <v>10</v>
      </c>
      <c r="D1404" s="1" t="s">
        <v>99</v>
      </c>
      <c r="E1404" s="1" t="s">
        <v>42</v>
      </c>
      <c r="F1404" s="1" t="s">
        <v>43</v>
      </c>
      <c r="G1404" s="4">
        <v>9</v>
      </c>
      <c r="H1404" s="4">
        <v>5412</v>
      </c>
      <c r="I1404" s="6">
        <v>1908.0873880009995</v>
      </c>
      <c r="J1404" s="6">
        <f>表1[[#This Row],[销售金额]]-表1[[#This Row],[退款金额]]</f>
        <v>3503.9126119990005</v>
      </c>
      <c r="K1404" s="1">
        <v>256</v>
      </c>
      <c r="L1404" s="1">
        <v>529</v>
      </c>
    </row>
    <row r="1405" spans="1:12" x14ac:dyDescent="0.3">
      <c r="A1405" s="2">
        <v>45923</v>
      </c>
      <c r="B1405" s="1" t="s">
        <v>248</v>
      </c>
      <c r="C1405" s="1" t="s">
        <v>10</v>
      </c>
      <c r="D1405" s="1" t="s">
        <v>99</v>
      </c>
      <c r="E1405" s="1" t="s">
        <v>42</v>
      </c>
      <c r="F1405" s="1" t="s">
        <v>43</v>
      </c>
      <c r="G1405" s="4">
        <v>9</v>
      </c>
      <c r="H1405" s="4">
        <v>3870</v>
      </c>
      <c r="I1405" s="6">
        <v>1908.0873880009995</v>
      </c>
      <c r="J1405" s="6">
        <f>表1[[#This Row],[销售金额]]-表1[[#This Row],[退款金额]]</f>
        <v>1961.9126119990005</v>
      </c>
      <c r="K1405" s="1">
        <v>256</v>
      </c>
      <c r="L1405" s="1">
        <v>529</v>
      </c>
    </row>
    <row r="1406" spans="1:12" x14ac:dyDescent="0.3">
      <c r="A1406" s="2">
        <v>45923</v>
      </c>
      <c r="B1406" s="1" t="s">
        <v>25</v>
      </c>
      <c r="C1406" s="1" t="s">
        <v>32</v>
      </c>
      <c r="D1406" s="1" t="s">
        <v>97</v>
      </c>
      <c r="E1406" s="1" t="s">
        <v>30</v>
      </c>
      <c r="F1406" s="1" t="s">
        <v>31</v>
      </c>
      <c r="G1406" s="4">
        <v>11</v>
      </c>
      <c r="H1406" s="4">
        <v>7774</v>
      </c>
      <c r="I1406" s="6">
        <v>6878.7213247540094</v>
      </c>
      <c r="J1406" s="6">
        <f>表1[[#This Row],[销售金额]]-表1[[#This Row],[退款金额]]</f>
        <v>895.2786752459906</v>
      </c>
      <c r="K1406" s="1">
        <v>610</v>
      </c>
      <c r="L1406" s="1">
        <v>201</v>
      </c>
    </row>
    <row r="1407" spans="1:12" x14ac:dyDescent="0.3">
      <c r="A1407" s="2">
        <v>45923</v>
      </c>
      <c r="B1407" s="1" t="s">
        <v>25</v>
      </c>
      <c r="C1407" s="1" t="s">
        <v>32</v>
      </c>
      <c r="D1407" s="1" t="s">
        <v>97</v>
      </c>
      <c r="E1407" s="1" t="s">
        <v>30</v>
      </c>
      <c r="F1407" s="1" t="s">
        <v>31</v>
      </c>
      <c r="G1407" s="4">
        <v>11</v>
      </c>
      <c r="H1407" s="4">
        <v>9189</v>
      </c>
      <c r="I1407" s="6">
        <v>6878.7213247540094</v>
      </c>
      <c r="J1407" s="6">
        <f>表1[[#This Row],[销售金额]]-表1[[#This Row],[退款金额]]</f>
        <v>2310.2786752459906</v>
      </c>
      <c r="K1407" s="1">
        <v>610</v>
      </c>
      <c r="L1407" s="1">
        <v>201</v>
      </c>
    </row>
    <row r="1408" spans="1:12" x14ac:dyDescent="0.3">
      <c r="A1408" s="2">
        <v>45923</v>
      </c>
      <c r="B1408" s="1" t="s">
        <v>25</v>
      </c>
      <c r="C1408" s="1" t="s">
        <v>32</v>
      </c>
      <c r="D1408" s="1" t="s">
        <v>97</v>
      </c>
      <c r="E1408" s="1" t="s">
        <v>30</v>
      </c>
      <c r="F1408" s="1" t="s">
        <v>31</v>
      </c>
      <c r="G1408" s="4">
        <v>11</v>
      </c>
      <c r="H1408" s="4">
        <v>8393</v>
      </c>
      <c r="I1408" s="6">
        <v>6878.7213247540094</v>
      </c>
      <c r="J1408" s="6">
        <f>表1[[#This Row],[销售金额]]-表1[[#This Row],[退款金额]]</f>
        <v>1514.2786752459906</v>
      </c>
      <c r="K1408" s="1">
        <v>610</v>
      </c>
      <c r="L1408" s="1">
        <v>201</v>
      </c>
    </row>
    <row r="1409" spans="1:12" x14ac:dyDescent="0.3">
      <c r="A1409" s="2">
        <v>45923</v>
      </c>
      <c r="B1409" s="1" t="s">
        <v>25</v>
      </c>
      <c r="C1409" s="1" t="s">
        <v>32</v>
      </c>
      <c r="D1409" s="1" t="s">
        <v>97</v>
      </c>
      <c r="E1409" s="1" t="s">
        <v>30</v>
      </c>
      <c r="F1409" s="1" t="s">
        <v>31</v>
      </c>
      <c r="G1409" s="4">
        <v>11</v>
      </c>
      <c r="H1409" s="4">
        <v>10385</v>
      </c>
      <c r="I1409" s="6">
        <v>6878.7213247540094</v>
      </c>
      <c r="J1409" s="6">
        <f>表1[[#This Row],[销售金额]]-表1[[#This Row],[退款金额]]</f>
        <v>3506.2786752459906</v>
      </c>
      <c r="K1409" s="1">
        <v>610</v>
      </c>
      <c r="L1409" s="1">
        <v>201</v>
      </c>
    </row>
    <row r="1410" spans="1:12" x14ac:dyDescent="0.3">
      <c r="A1410" s="2">
        <v>45923</v>
      </c>
      <c r="B1410" s="1" t="s">
        <v>25</v>
      </c>
      <c r="C1410" s="1" t="s">
        <v>32</v>
      </c>
      <c r="D1410" s="1" t="s">
        <v>97</v>
      </c>
      <c r="E1410" s="1" t="s">
        <v>30</v>
      </c>
      <c r="F1410" s="1" t="s">
        <v>31</v>
      </c>
      <c r="G1410" s="4">
        <v>11</v>
      </c>
      <c r="H1410" s="4">
        <v>8826</v>
      </c>
      <c r="I1410" s="6">
        <v>6878.7213247540094</v>
      </c>
      <c r="J1410" s="6">
        <f>表1[[#This Row],[销售金额]]-表1[[#This Row],[退款金额]]</f>
        <v>1947.2786752459906</v>
      </c>
      <c r="K1410" s="1">
        <v>610</v>
      </c>
      <c r="L1410" s="1">
        <v>201</v>
      </c>
    </row>
    <row r="1411" spans="1:12" x14ac:dyDescent="0.3">
      <c r="A1411" s="2">
        <v>45923</v>
      </c>
      <c r="B1411" s="1" t="s">
        <v>25</v>
      </c>
      <c r="C1411" s="1" t="s">
        <v>32</v>
      </c>
      <c r="D1411" s="1" t="s">
        <v>97</v>
      </c>
      <c r="E1411" s="1" t="s">
        <v>30</v>
      </c>
      <c r="F1411" s="1" t="s">
        <v>31</v>
      </c>
      <c r="G1411" s="4">
        <v>11</v>
      </c>
      <c r="H1411" s="4">
        <v>9553</v>
      </c>
      <c r="I1411" s="6">
        <v>6878.7213247540094</v>
      </c>
      <c r="J1411" s="6">
        <f>表1[[#This Row],[销售金额]]-表1[[#This Row],[退款金额]]</f>
        <v>2674.2786752459906</v>
      </c>
      <c r="K1411" s="1">
        <v>610</v>
      </c>
      <c r="L1411" s="1">
        <v>201</v>
      </c>
    </row>
    <row r="1412" spans="1:12" x14ac:dyDescent="0.3">
      <c r="A1412" s="2">
        <v>45923</v>
      </c>
      <c r="B1412" s="1" t="s">
        <v>25</v>
      </c>
      <c r="C1412" s="1" t="s">
        <v>32</v>
      </c>
      <c r="D1412" s="1" t="s">
        <v>97</v>
      </c>
      <c r="E1412" s="1" t="s">
        <v>30</v>
      </c>
      <c r="F1412" s="1" t="s">
        <v>31</v>
      </c>
      <c r="G1412" s="4">
        <v>11</v>
      </c>
      <c r="H1412" s="4">
        <v>11227</v>
      </c>
      <c r="I1412" s="6">
        <v>6878.7213247540094</v>
      </c>
      <c r="J1412" s="6">
        <f>表1[[#This Row],[销售金额]]-表1[[#This Row],[退款金额]]</f>
        <v>4348.2786752459906</v>
      </c>
      <c r="K1412" s="1">
        <v>610</v>
      </c>
      <c r="L1412" s="1">
        <v>201</v>
      </c>
    </row>
    <row r="1413" spans="1:12" x14ac:dyDescent="0.3">
      <c r="A1413" s="2">
        <v>45923</v>
      </c>
      <c r="B1413" s="1" t="s">
        <v>25</v>
      </c>
      <c r="C1413" s="1" t="s">
        <v>32</v>
      </c>
      <c r="D1413" s="1" t="s">
        <v>97</v>
      </c>
      <c r="E1413" s="1" t="s">
        <v>30</v>
      </c>
      <c r="F1413" s="1" t="s">
        <v>31</v>
      </c>
      <c r="G1413" s="4">
        <v>11</v>
      </c>
      <c r="H1413" s="4">
        <v>11675</v>
      </c>
      <c r="I1413" s="6">
        <v>6878.7213247540094</v>
      </c>
      <c r="J1413" s="6">
        <f>表1[[#This Row],[销售金额]]-表1[[#This Row],[退款金额]]</f>
        <v>4796.2786752459906</v>
      </c>
      <c r="K1413" s="1">
        <v>610</v>
      </c>
      <c r="L1413" s="1">
        <v>201</v>
      </c>
    </row>
    <row r="1414" spans="1:12" x14ac:dyDescent="0.3">
      <c r="A1414" s="2">
        <v>45923</v>
      </c>
      <c r="B1414" s="1" t="s">
        <v>25</v>
      </c>
      <c r="C1414" s="1" t="s">
        <v>32</v>
      </c>
      <c r="D1414" s="1" t="s">
        <v>97</v>
      </c>
      <c r="E1414" s="1" t="s">
        <v>30</v>
      </c>
      <c r="F1414" s="1" t="s">
        <v>31</v>
      </c>
      <c r="G1414" s="4">
        <v>11</v>
      </c>
      <c r="H1414" s="4">
        <v>10672</v>
      </c>
      <c r="I1414" s="6">
        <v>6878.7213247540094</v>
      </c>
      <c r="J1414" s="6">
        <f>表1[[#This Row],[销售金额]]-表1[[#This Row],[退款金额]]</f>
        <v>3793.2786752459906</v>
      </c>
      <c r="K1414" s="1">
        <v>610</v>
      </c>
      <c r="L1414" s="1">
        <v>201</v>
      </c>
    </row>
    <row r="1415" spans="1:12" x14ac:dyDescent="0.3">
      <c r="A1415" s="2">
        <v>45923</v>
      </c>
      <c r="B1415" s="1" t="s">
        <v>25</v>
      </c>
      <c r="C1415" s="1" t="s">
        <v>32</v>
      </c>
      <c r="D1415" s="1" t="s">
        <v>97</v>
      </c>
      <c r="E1415" s="1" t="s">
        <v>30</v>
      </c>
      <c r="F1415" s="1" t="s">
        <v>31</v>
      </c>
      <c r="G1415" s="4">
        <v>11</v>
      </c>
      <c r="H1415" s="4">
        <v>7157</v>
      </c>
      <c r="I1415" s="6">
        <v>6878.7213247540094</v>
      </c>
      <c r="J1415" s="6">
        <f>表1[[#This Row],[销售金额]]-表1[[#This Row],[退款金额]]</f>
        <v>278.2786752459906</v>
      </c>
      <c r="K1415" s="1">
        <v>610</v>
      </c>
      <c r="L1415" s="1">
        <v>201</v>
      </c>
    </row>
    <row r="1416" spans="1:12" x14ac:dyDescent="0.3">
      <c r="A1416" s="2">
        <v>45923</v>
      </c>
      <c r="B1416" s="1" t="s">
        <v>25</v>
      </c>
      <c r="C1416" s="1" t="s">
        <v>32</v>
      </c>
      <c r="D1416" s="1" t="s">
        <v>97</v>
      </c>
      <c r="E1416" s="1" t="s">
        <v>30</v>
      </c>
      <c r="F1416" s="1" t="s">
        <v>31</v>
      </c>
      <c r="G1416" s="4">
        <v>11</v>
      </c>
      <c r="H1416" s="4">
        <v>9348</v>
      </c>
      <c r="I1416" s="6">
        <v>6878.7213247540094</v>
      </c>
      <c r="J1416" s="6">
        <f>表1[[#This Row],[销售金额]]-表1[[#This Row],[退款金额]]</f>
        <v>2469.2786752459906</v>
      </c>
      <c r="K1416" s="1">
        <v>610</v>
      </c>
      <c r="L1416" s="1">
        <v>201</v>
      </c>
    </row>
    <row r="1417" spans="1:12" x14ac:dyDescent="0.3">
      <c r="A1417" s="2">
        <v>45923</v>
      </c>
      <c r="B1417" s="1" t="s">
        <v>25</v>
      </c>
      <c r="C1417" s="1" t="s">
        <v>32</v>
      </c>
      <c r="D1417" s="1" t="s">
        <v>97</v>
      </c>
      <c r="E1417" s="1" t="s">
        <v>30</v>
      </c>
      <c r="F1417" s="1" t="s">
        <v>31</v>
      </c>
      <c r="G1417" s="4">
        <v>11</v>
      </c>
      <c r="H1417" s="4">
        <v>7741</v>
      </c>
      <c r="I1417" s="6">
        <v>6878.7213247540094</v>
      </c>
      <c r="J1417" s="6">
        <f>表1[[#This Row],[销售金额]]-表1[[#This Row],[退款金额]]</f>
        <v>862.2786752459906</v>
      </c>
      <c r="K1417" s="1">
        <v>610</v>
      </c>
      <c r="L1417" s="1">
        <v>201</v>
      </c>
    </row>
    <row r="1418" spans="1:12" x14ac:dyDescent="0.3">
      <c r="A1418" s="2">
        <v>45923</v>
      </c>
      <c r="B1418" s="1" t="s">
        <v>25</v>
      </c>
      <c r="C1418" s="1" t="s">
        <v>32</v>
      </c>
      <c r="D1418" s="1" t="s">
        <v>97</v>
      </c>
      <c r="E1418" s="1" t="s">
        <v>30</v>
      </c>
      <c r="F1418" s="1" t="s">
        <v>31</v>
      </c>
      <c r="G1418" s="4">
        <v>11</v>
      </c>
      <c r="H1418" s="4">
        <v>10742</v>
      </c>
      <c r="I1418" s="6">
        <v>6878.7213247540094</v>
      </c>
      <c r="J1418" s="6">
        <f>表1[[#This Row],[销售金额]]-表1[[#This Row],[退款金额]]</f>
        <v>3863.2786752459906</v>
      </c>
      <c r="K1418" s="1">
        <v>610</v>
      </c>
      <c r="L1418" s="1">
        <v>201</v>
      </c>
    </row>
    <row r="1419" spans="1:12" x14ac:dyDescent="0.3">
      <c r="A1419" s="2">
        <v>45923</v>
      </c>
      <c r="B1419" s="1" t="s">
        <v>25</v>
      </c>
      <c r="C1419" s="1" t="s">
        <v>32</v>
      </c>
      <c r="D1419" s="1" t="s">
        <v>97</v>
      </c>
      <c r="E1419" s="1" t="s">
        <v>30</v>
      </c>
      <c r="F1419" s="1" t="s">
        <v>31</v>
      </c>
      <c r="G1419" s="4">
        <v>11</v>
      </c>
      <c r="H1419" s="4">
        <v>8963</v>
      </c>
      <c r="I1419" s="6">
        <v>6878.7213247540094</v>
      </c>
      <c r="J1419" s="6">
        <f>表1[[#This Row],[销售金额]]-表1[[#This Row],[退款金额]]</f>
        <v>2084.2786752459906</v>
      </c>
      <c r="K1419" s="1">
        <v>610</v>
      </c>
      <c r="L1419" s="1">
        <v>201</v>
      </c>
    </row>
    <row r="1420" spans="1:12" x14ac:dyDescent="0.3">
      <c r="A1420" s="2">
        <v>45923</v>
      </c>
      <c r="B1420" s="1" t="s">
        <v>25</v>
      </c>
      <c r="C1420" s="1" t="s">
        <v>32</v>
      </c>
      <c r="D1420" s="1" t="s">
        <v>97</v>
      </c>
      <c r="E1420" s="1" t="s">
        <v>30</v>
      </c>
      <c r="F1420" s="1" t="s">
        <v>31</v>
      </c>
      <c r="G1420" s="4">
        <v>11</v>
      </c>
      <c r="H1420" s="4">
        <v>10865</v>
      </c>
      <c r="I1420" s="6">
        <v>6878.7213247540094</v>
      </c>
      <c r="J1420" s="6">
        <f>表1[[#This Row],[销售金额]]-表1[[#This Row],[退款金额]]</f>
        <v>3986.2786752459906</v>
      </c>
      <c r="K1420" s="1">
        <v>610</v>
      </c>
      <c r="L1420" s="1">
        <v>201</v>
      </c>
    </row>
    <row r="1421" spans="1:12" x14ac:dyDescent="0.3">
      <c r="A1421" s="2">
        <v>45923</v>
      </c>
      <c r="B1421" s="1" t="s">
        <v>25</v>
      </c>
      <c r="C1421" s="1" t="s">
        <v>32</v>
      </c>
      <c r="D1421" s="1" t="s">
        <v>97</v>
      </c>
      <c r="E1421" s="1" t="s">
        <v>30</v>
      </c>
      <c r="F1421" s="1" t="s">
        <v>31</v>
      </c>
      <c r="G1421" s="4">
        <v>11</v>
      </c>
      <c r="H1421" s="4">
        <v>11788</v>
      </c>
      <c r="I1421" s="6">
        <v>6878.7213247540094</v>
      </c>
      <c r="J1421" s="6">
        <f>表1[[#This Row],[销售金额]]-表1[[#This Row],[退款金额]]</f>
        <v>4909.2786752459906</v>
      </c>
      <c r="K1421" s="1">
        <v>610</v>
      </c>
      <c r="L1421" s="1">
        <v>201</v>
      </c>
    </row>
    <row r="1422" spans="1:12" x14ac:dyDescent="0.3">
      <c r="A1422" s="2">
        <v>45923</v>
      </c>
      <c r="B1422" s="1" t="s">
        <v>25</v>
      </c>
      <c r="C1422" s="1" t="s">
        <v>32</v>
      </c>
      <c r="D1422" s="1" t="s">
        <v>97</v>
      </c>
      <c r="E1422" s="1" t="s">
        <v>30</v>
      </c>
      <c r="F1422" s="1" t="s">
        <v>31</v>
      </c>
      <c r="G1422" s="4">
        <v>11</v>
      </c>
      <c r="H1422" s="4">
        <v>8609</v>
      </c>
      <c r="I1422" s="6">
        <v>6878.7213247540094</v>
      </c>
      <c r="J1422" s="6">
        <f>表1[[#This Row],[销售金额]]-表1[[#This Row],[退款金额]]</f>
        <v>1730.2786752459906</v>
      </c>
      <c r="K1422" s="1">
        <v>610</v>
      </c>
      <c r="L1422" s="1">
        <v>201</v>
      </c>
    </row>
    <row r="1423" spans="1:12" x14ac:dyDescent="0.3">
      <c r="A1423" s="2">
        <v>45923</v>
      </c>
      <c r="B1423" s="1" t="s">
        <v>25</v>
      </c>
      <c r="C1423" s="1" t="s">
        <v>32</v>
      </c>
      <c r="D1423" s="1" t="s">
        <v>97</v>
      </c>
      <c r="E1423" s="1" t="s">
        <v>30</v>
      </c>
      <c r="F1423" s="1" t="s">
        <v>31</v>
      </c>
      <c r="G1423" s="4">
        <v>11</v>
      </c>
      <c r="H1423" s="4">
        <v>10122</v>
      </c>
      <c r="I1423" s="6">
        <v>6878.7213247540094</v>
      </c>
      <c r="J1423" s="6">
        <f>表1[[#This Row],[销售金额]]-表1[[#This Row],[退款金额]]</f>
        <v>3243.2786752459906</v>
      </c>
      <c r="K1423" s="1">
        <v>610</v>
      </c>
      <c r="L1423" s="1">
        <v>201</v>
      </c>
    </row>
    <row r="1424" spans="1:12" x14ac:dyDescent="0.3">
      <c r="A1424" s="2">
        <v>45923</v>
      </c>
      <c r="B1424" s="1" t="s">
        <v>15</v>
      </c>
      <c r="C1424" s="1" t="s">
        <v>10</v>
      </c>
      <c r="D1424" s="1" t="s">
        <v>167</v>
      </c>
      <c r="E1424" s="1" t="s">
        <v>42</v>
      </c>
      <c r="F1424" s="1" t="s">
        <v>43</v>
      </c>
      <c r="G1424" s="4">
        <v>13</v>
      </c>
      <c r="H1424" s="4">
        <v>11207</v>
      </c>
      <c r="I1424" s="6">
        <v>9135.8850463313083</v>
      </c>
      <c r="J1424" s="6">
        <f>表1[[#This Row],[销售金额]]-表1[[#This Row],[退款金额]]</f>
        <v>2071.1149536686917</v>
      </c>
      <c r="K1424" s="1">
        <v>927</v>
      </c>
      <c r="L1424" s="1">
        <v>445</v>
      </c>
    </row>
    <row r="1425" spans="1:12" x14ac:dyDescent="0.3">
      <c r="A1425" s="2">
        <v>45923</v>
      </c>
      <c r="B1425" s="1" t="s">
        <v>15</v>
      </c>
      <c r="C1425" s="1" t="s">
        <v>10</v>
      </c>
      <c r="D1425" s="1" t="s">
        <v>167</v>
      </c>
      <c r="E1425" s="1" t="s">
        <v>42</v>
      </c>
      <c r="F1425" s="1" t="s">
        <v>43</v>
      </c>
      <c r="G1425" s="4">
        <v>13</v>
      </c>
      <c r="H1425" s="4">
        <v>11962</v>
      </c>
      <c r="I1425" s="6">
        <v>9135.8850463313083</v>
      </c>
      <c r="J1425" s="6">
        <f>表1[[#This Row],[销售金额]]-表1[[#This Row],[退款金额]]</f>
        <v>2826.1149536686917</v>
      </c>
      <c r="K1425" s="1">
        <v>927</v>
      </c>
      <c r="L1425" s="1">
        <v>445</v>
      </c>
    </row>
    <row r="1426" spans="1:12" x14ac:dyDescent="0.3">
      <c r="A1426" s="2">
        <v>45923</v>
      </c>
      <c r="B1426" s="1" t="s">
        <v>15</v>
      </c>
      <c r="C1426" s="1" t="s">
        <v>10</v>
      </c>
      <c r="D1426" s="1" t="s">
        <v>167</v>
      </c>
      <c r="E1426" s="1" t="s">
        <v>42</v>
      </c>
      <c r="F1426" s="1" t="s">
        <v>43</v>
      </c>
      <c r="G1426" s="4">
        <v>13</v>
      </c>
      <c r="H1426" s="4">
        <v>11583</v>
      </c>
      <c r="I1426" s="6">
        <v>9135.8850463313083</v>
      </c>
      <c r="J1426" s="6">
        <f>表1[[#This Row],[销售金额]]-表1[[#This Row],[退款金额]]</f>
        <v>2447.1149536686917</v>
      </c>
      <c r="K1426" s="1">
        <v>927</v>
      </c>
      <c r="L1426" s="1">
        <v>445</v>
      </c>
    </row>
    <row r="1427" spans="1:12" x14ac:dyDescent="0.3">
      <c r="A1427" s="2">
        <v>45923</v>
      </c>
      <c r="B1427" s="1" t="s">
        <v>15</v>
      </c>
      <c r="C1427" s="1" t="s">
        <v>10</v>
      </c>
      <c r="D1427" s="1" t="s">
        <v>167</v>
      </c>
      <c r="E1427" s="1" t="s">
        <v>42</v>
      </c>
      <c r="F1427" s="1" t="s">
        <v>43</v>
      </c>
      <c r="G1427" s="4">
        <v>13</v>
      </c>
      <c r="H1427" s="4">
        <v>10059</v>
      </c>
      <c r="I1427" s="6">
        <v>9135.8850463313083</v>
      </c>
      <c r="J1427" s="6">
        <f>表1[[#This Row],[销售金额]]-表1[[#This Row],[退款金额]]</f>
        <v>923.11495366869167</v>
      </c>
      <c r="K1427" s="1">
        <v>927</v>
      </c>
      <c r="L1427" s="1">
        <v>445</v>
      </c>
    </row>
    <row r="1428" spans="1:12" x14ac:dyDescent="0.3">
      <c r="A1428" s="2">
        <v>45923</v>
      </c>
      <c r="B1428" s="1" t="s">
        <v>15</v>
      </c>
      <c r="C1428" s="1" t="s">
        <v>10</v>
      </c>
      <c r="D1428" s="1" t="s">
        <v>167</v>
      </c>
      <c r="E1428" s="1" t="s">
        <v>42</v>
      </c>
      <c r="F1428" s="1" t="s">
        <v>43</v>
      </c>
      <c r="G1428" s="4">
        <v>13</v>
      </c>
      <c r="H1428" s="4">
        <v>11791</v>
      </c>
      <c r="I1428" s="6">
        <v>9135.8850463313083</v>
      </c>
      <c r="J1428" s="6">
        <f>表1[[#This Row],[销售金额]]-表1[[#This Row],[退款金额]]</f>
        <v>2655.1149536686917</v>
      </c>
      <c r="K1428" s="1">
        <v>927</v>
      </c>
      <c r="L1428" s="1">
        <v>445</v>
      </c>
    </row>
    <row r="1429" spans="1:12" x14ac:dyDescent="0.3">
      <c r="A1429" s="2">
        <v>45923</v>
      </c>
      <c r="B1429" s="1" t="s">
        <v>15</v>
      </c>
      <c r="C1429" s="1" t="s">
        <v>10</v>
      </c>
      <c r="D1429" s="1" t="s">
        <v>167</v>
      </c>
      <c r="E1429" s="1" t="s">
        <v>42</v>
      </c>
      <c r="F1429" s="1" t="s">
        <v>43</v>
      </c>
      <c r="G1429" s="4">
        <v>13</v>
      </c>
      <c r="H1429" s="4">
        <v>9520</v>
      </c>
      <c r="I1429" s="6">
        <v>9135.8850463313083</v>
      </c>
      <c r="J1429" s="6">
        <f>表1[[#This Row],[销售金额]]-表1[[#This Row],[退款金额]]</f>
        <v>384.11495366869167</v>
      </c>
      <c r="K1429" s="1">
        <v>927</v>
      </c>
      <c r="L1429" s="1">
        <v>445</v>
      </c>
    </row>
    <row r="1430" spans="1:12" x14ac:dyDescent="0.3">
      <c r="A1430" s="2">
        <v>45923</v>
      </c>
      <c r="B1430" s="1" t="s">
        <v>15</v>
      </c>
      <c r="C1430" s="1" t="s">
        <v>10</v>
      </c>
      <c r="D1430" s="1" t="s">
        <v>167</v>
      </c>
      <c r="E1430" s="1" t="s">
        <v>42</v>
      </c>
      <c r="F1430" s="1" t="s">
        <v>43</v>
      </c>
      <c r="G1430" s="4">
        <v>13</v>
      </c>
      <c r="H1430" s="4">
        <v>13958</v>
      </c>
      <c r="I1430" s="6">
        <v>9135.8850463313083</v>
      </c>
      <c r="J1430" s="6">
        <f>表1[[#This Row],[销售金额]]-表1[[#This Row],[退款金额]]</f>
        <v>4822.1149536686917</v>
      </c>
      <c r="K1430" s="1">
        <v>927</v>
      </c>
      <c r="L1430" s="1">
        <v>445</v>
      </c>
    </row>
    <row r="1431" spans="1:12" x14ac:dyDescent="0.3">
      <c r="A1431" s="2">
        <v>45923</v>
      </c>
      <c r="B1431" s="1" t="s">
        <v>15</v>
      </c>
      <c r="C1431" s="1" t="s">
        <v>10</v>
      </c>
      <c r="D1431" s="1" t="s">
        <v>167</v>
      </c>
      <c r="E1431" s="1" t="s">
        <v>42</v>
      </c>
      <c r="F1431" s="1" t="s">
        <v>43</v>
      </c>
      <c r="G1431" s="4">
        <v>13</v>
      </c>
      <c r="H1431" s="4">
        <v>9409</v>
      </c>
      <c r="I1431" s="6">
        <v>9135.8850463313083</v>
      </c>
      <c r="J1431" s="6">
        <f>表1[[#This Row],[销售金额]]-表1[[#This Row],[退款金额]]</f>
        <v>273.11495366869167</v>
      </c>
      <c r="K1431" s="1">
        <v>927</v>
      </c>
      <c r="L1431" s="1">
        <v>445</v>
      </c>
    </row>
    <row r="1432" spans="1:12" x14ac:dyDescent="0.3">
      <c r="A1432" s="2">
        <v>45923</v>
      </c>
      <c r="B1432" s="1" t="s">
        <v>15</v>
      </c>
      <c r="C1432" s="1" t="s">
        <v>10</v>
      </c>
      <c r="D1432" s="1" t="s">
        <v>167</v>
      </c>
      <c r="E1432" s="1" t="s">
        <v>42</v>
      </c>
      <c r="F1432" s="1" t="s">
        <v>43</v>
      </c>
      <c r="G1432" s="4">
        <v>13</v>
      </c>
      <c r="H1432" s="4">
        <v>13474</v>
      </c>
      <c r="I1432" s="6">
        <v>9135.8850463313083</v>
      </c>
      <c r="J1432" s="6">
        <f>表1[[#This Row],[销售金额]]-表1[[#This Row],[退款金额]]</f>
        <v>4338.1149536686917</v>
      </c>
      <c r="K1432" s="1">
        <v>927</v>
      </c>
      <c r="L1432" s="1">
        <v>445</v>
      </c>
    </row>
    <row r="1433" spans="1:12" x14ac:dyDescent="0.3">
      <c r="A1433" s="2">
        <v>45924</v>
      </c>
      <c r="B1433" s="1" t="s">
        <v>250</v>
      </c>
      <c r="C1433" s="1" t="s">
        <v>19</v>
      </c>
      <c r="D1433" s="1" t="s">
        <v>56</v>
      </c>
      <c r="E1433" s="1" t="s">
        <v>51</v>
      </c>
      <c r="F1433" s="1" t="s">
        <v>52</v>
      </c>
      <c r="G1433" s="4">
        <v>1</v>
      </c>
      <c r="H1433" s="4">
        <v>2161</v>
      </c>
      <c r="I1433" s="6">
        <v>480.96121346399798</v>
      </c>
      <c r="J1433" s="6">
        <f>表1[[#This Row],[销售金额]]-表1[[#This Row],[退款金额]]</f>
        <v>1680.0387865360021</v>
      </c>
      <c r="K1433" s="1">
        <v>727</v>
      </c>
      <c r="L1433" s="1">
        <v>109</v>
      </c>
    </row>
    <row r="1434" spans="1:12" x14ac:dyDescent="0.3">
      <c r="A1434" s="2">
        <v>45924</v>
      </c>
      <c r="B1434" s="1" t="s">
        <v>250</v>
      </c>
      <c r="C1434" s="1" t="s">
        <v>19</v>
      </c>
      <c r="D1434" s="1" t="s">
        <v>56</v>
      </c>
      <c r="E1434" s="1" t="s">
        <v>51</v>
      </c>
      <c r="F1434" s="1" t="s">
        <v>52</v>
      </c>
      <c r="G1434" s="4">
        <v>1</v>
      </c>
      <c r="H1434" s="4">
        <v>1395</v>
      </c>
      <c r="I1434" s="6">
        <v>480.96121346399798</v>
      </c>
      <c r="J1434" s="6">
        <f>表1[[#This Row],[销售金额]]-表1[[#This Row],[退款金额]]</f>
        <v>914.03878653600202</v>
      </c>
      <c r="K1434" s="1">
        <v>727</v>
      </c>
      <c r="L1434" s="1">
        <v>109</v>
      </c>
    </row>
    <row r="1435" spans="1:12" x14ac:dyDescent="0.3">
      <c r="A1435" s="2">
        <v>45924</v>
      </c>
      <c r="B1435" s="1" t="s">
        <v>250</v>
      </c>
      <c r="C1435" s="1" t="s">
        <v>19</v>
      </c>
      <c r="D1435" s="1" t="s">
        <v>56</v>
      </c>
      <c r="E1435" s="1" t="s">
        <v>51</v>
      </c>
      <c r="F1435" s="1" t="s">
        <v>52</v>
      </c>
      <c r="G1435" s="4">
        <v>1</v>
      </c>
      <c r="H1435" s="4">
        <v>2766</v>
      </c>
      <c r="I1435" s="6">
        <v>480.96121346399798</v>
      </c>
      <c r="J1435" s="6">
        <f>表1[[#This Row],[销售金额]]-表1[[#This Row],[退款金额]]</f>
        <v>2285.0387865360021</v>
      </c>
      <c r="K1435" s="1">
        <v>727</v>
      </c>
      <c r="L1435" s="1">
        <v>109</v>
      </c>
    </row>
    <row r="1436" spans="1:12" x14ac:dyDescent="0.3">
      <c r="A1436" s="2">
        <v>45924</v>
      </c>
      <c r="B1436" s="1" t="s">
        <v>250</v>
      </c>
      <c r="C1436" s="1" t="s">
        <v>19</v>
      </c>
      <c r="D1436" s="1" t="s">
        <v>56</v>
      </c>
      <c r="E1436" s="1" t="s">
        <v>51</v>
      </c>
      <c r="F1436" s="1" t="s">
        <v>52</v>
      </c>
      <c r="G1436" s="4">
        <v>1</v>
      </c>
      <c r="H1436" s="4">
        <v>4815</v>
      </c>
      <c r="I1436" s="6">
        <v>480.96121346399798</v>
      </c>
      <c r="J1436" s="6">
        <f>表1[[#This Row],[销售金额]]-表1[[#This Row],[退款金额]]</f>
        <v>4334.0387865360017</v>
      </c>
      <c r="K1436" s="1">
        <v>727</v>
      </c>
      <c r="L1436" s="1">
        <v>109</v>
      </c>
    </row>
    <row r="1437" spans="1:12" x14ac:dyDescent="0.3">
      <c r="A1437" s="2">
        <v>45924</v>
      </c>
      <c r="B1437" s="1" t="s">
        <v>250</v>
      </c>
      <c r="C1437" s="1" t="s">
        <v>19</v>
      </c>
      <c r="D1437" s="1" t="s">
        <v>56</v>
      </c>
      <c r="E1437" s="1" t="s">
        <v>51</v>
      </c>
      <c r="F1437" s="1" t="s">
        <v>52</v>
      </c>
      <c r="G1437" s="4">
        <v>1</v>
      </c>
      <c r="H1437" s="4">
        <v>1600</v>
      </c>
      <c r="I1437" s="6">
        <v>480.96121346399798</v>
      </c>
      <c r="J1437" s="6">
        <f>表1[[#This Row],[销售金额]]-表1[[#This Row],[退款金额]]</f>
        <v>1119.0387865360021</v>
      </c>
      <c r="K1437" s="1">
        <v>727</v>
      </c>
      <c r="L1437" s="1">
        <v>109</v>
      </c>
    </row>
    <row r="1438" spans="1:12" x14ac:dyDescent="0.3">
      <c r="A1438" s="2">
        <v>45924</v>
      </c>
      <c r="B1438" s="1" t="s">
        <v>250</v>
      </c>
      <c r="C1438" s="1" t="s">
        <v>19</v>
      </c>
      <c r="D1438" s="1" t="s">
        <v>56</v>
      </c>
      <c r="E1438" s="1" t="s">
        <v>51</v>
      </c>
      <c r="F1438" s="1" t="s">
        <v>52</v>
      </c>
      <c r="G1438" s="4">
        <v>1</v>
      </c>
      <c r="H1438" s="4">
        <v>3157</v>
      </c>
      <c r="I1438" s="6">
        <v>480.96121346399798</v>
      </c>
      <c r="J1438" s="6">
        <f>表1[[#This Row],[销售金额]]-表1[[#This Row],[退款金额]]</f>
        <v>2676.0387865360021</v>
      </c>
      <c r="K1438" s="1">
        <v>727</v>
      </c>
      <c r="L1438" s="1">
        <v>109</v>
      </c>
    </row>
    <row r="1439" spans="1:12" x14ac:dyDescent="0.3">
      <c r="A1439" s="2">
        <v>45924</v>
      </c>
      <c r="B1439" s="1" t="s">
        <v>250</v>
      </c>
      <c r="C1439" s="1" t="s">
        <v>19</v>
      </c>
      <c r="D1439" s="1" t="s">
        <v>56</v>
      </c>
      <c r="E1439" s="1" t="s">
        <v>51</v>
      </c>
      <c r="F1439" s="1" t="s">
        <v>52</v>
      </c>
      <c r="G1439" s="4">
        <v>1</v>
      </c>
      <c r="H1439" s="4">
        <v>1649</v>
      </c>
      <c r="I1439" s="6">
        <v>480.96121346399798</v>
      </c>
      <c r="J1439" s="6">
        <f>表1[[#This Row],[销售金额]]-表1[[#This Row],[退款金额]]</f>
        <v>1168.0387865360021</v>
      </c>
      <c r="K1439" s="1">
        <v>727</v>
      </c>
      <c r="L1439" s="1">
        <v>109</v>
      </c>
    </row>
    <row r="1440" spans="1:12" x14ac:dyDescent="0.3">
      <c r="A1440" s="2">
        <v>45924</v>
      </c>
      <c r="B1440" s="1" t="s">
        <v>250</v>
      </c>
      <c r="C1440" s="1" t="s">
        <v>19</v>
      </c>
      <c r="D1440" s="1" t="s">
        <v>56</v>
      </c>
      <c r="E1440" s="1" t="s">
        <v>51</v>
      </c>
      <c r="F1440" s="1" t="s">
        <v>52</v>
      </c>
      <c r="G1440" s="4">
        <v>1</v>
      </c>
      <c r="H1440" s="4">
        <v>3989</v>
      </c>
      <c r="I1440" s="6">
        <v>480.96121346399798</v>
      </c>
      <c r="J1440" s="6">
        <f>表1[[#This Row],[销售金额]]-表1[[#This Row],[退款金额]]</f>
        <v>3508.0387865360021</v>
      </c>
      <c r="K1440" s="1">
        <v>727</v>
      </c>
      <c r="L1440" s="1">
        <v>109</v>
      </c>
    </row>
    <row r="1441" spans="1:12" x14ac:dyDescent="0.3">
      <c r="A1441" s="2">
        <v>45924</v>
      </c>
      <c r="B1441" s="1" t="s">
        <v>247</v>
      </c>
      <c r="C1441" s="1" t="s">
        <v>32</v>
      </c>
      <c r="D1441" s="1" t="s">
        <v>224</v>
      </c>
      <c r="E1441" s="1" t="s">
        <v>30</v>
      </c>
      <c r="F1441" s="1" t="s">
        <v>31</v>
      </c>
      <c r="G1441" s="4">
        <v>2</v>
      </c>
      <c r="H1441" s="4">
        <v>4814</v>
      </c>
      <c r="I1441" s="6">
        <v>462.27300123939182</v>
      </c>
      <c r="J1441" s="6">
        <f>表1[[#This Row],[销售金额]]-表1[[#This Row],[退款金额]]</f>
        <v>4351.7269987606078</v>
      </c>
      <c r="K1441" s="1">
        <v>276</v>
      </c>
      <c r="L1441" s="1">
        <v>687</v>
      </c>
    </row>
    <row r="1442" spans="1:12" x14ac:dyDescent="0.3">
      <c r="A1442" s="2">
        <v>45924</v>
      </c>
      <c r="B1442" s="1" t="s">
        <v>247</v>
      </c>
      <c r="C1442" s="1" t="s">
        <v>32</v>
      </c>
      <c r="D1442" s="1" t="s">
        <v>224</v>
      </c>
      <c r="E1442" s="1" t="s">
        <v>30</v>
      </c>
      <c r="F1442" s="1" t="s">
        <v>31</v>
      </c>
      <c r="G1442" s="4">
        <v>2</v>
      </c>
      <c r="H1442" s="4">
        <v>4700</v>
      </c>
      <c r="I1442" s="6">
        <v>462.27300123939182</v>
      </c>
      <c r="J1442" s="6">
        <f>表1[[#This Row],[销售金额]]-表1[[#This Row],[退款金额]]</f>
        <v>4237.7269987606078</v>
      </c>
      <c r="K1442" s="1">
        <v>276</v>
      </c>
      <c r="L1442" s="1">
        <v>687</v>
      </c>
    </row>
    <row r="1443" spans="1:12" x14ac:dyDescent="0.3">
      <c r="A1443" s="2">
        <v>45924</v>
      </c>
      <c r="B1443" s="1" t="s">
        <v>247</v>
      </c>
      <c r="C1443" s="1" t="s">
        <v>32</v>
      </c>
      <c r="D1443" s="1" t="s">
        <v>224</v>
      </c>
      <c r="E1443" s="1" t="s">
        <v>30</v>
      </c>
      <c r="F1443" s="1" t="s">
        <v>31</v>
      </c>
      <c r="G1443" s="4">
        <v>2</v>
      </c>
      <c r="H1443" s="4">
        <v>3154</v>
      </c>
      <c r="I1443" s="6">
        <v>462.27300123939182</v>
      </c>
      <c r="J1443" s="6">
        <f>表1[[#This Row],[销售金额]]-表1[[#This Row],[退款金额]]</f>
        <v>2691.7269987606082</v>
      </c>
      <c r="K1443" s="1">
        <v>276</v>
      </c>
      <c r="L1443" s="1">
        <v>687</v>
      </c>
    </row>
    <row r="1444" spans="1:12" x14ac:dyDescent="0.3">
      <c r="A1444" s="2">
        <v>45924</v>
      </c>
      <c r="B1444" s="1" t="s">
        <v>247</v>
      </c>
      <c r="C1444" s="1" t="s">
        <v>32</v>
      </c>
      <c r="D1444" s="1" t="s">
        <v>224</v>
      </c>
      <c r="E1444" s="1" t="s">
        <v>30</v>
      </c>
      <c r="F1444" s="1" t="s">
        <v>31</v>
      </c>
      <c r="G1444" s="4">
        <v>2</v>
      </c>
      <c r="H1444" s="4">
        <v>4848</v>
      </c>
      <c r="I1444" s="6">
        <v>462.27300123939182</v>
      </c>
      <c r="J1444" s="6">
        <f>表1[[#This Row],[销售金额]]-表1[[#This Row],[退款金额]]</f>
        <v>4385.7269987606078</v>
      </c>
      <c r="K1444" s="1">
        <v>276</v>
      </c>
      <c r="L1444" s="1">
        <v>687</v>
      </c>
    </row>
    <row r="1445" spans="1:12" x14ac:dyDescent="0.3">
      <c r="A1445" s="2">
        <v>45924</v>
      </c>
      <c r="B1445" s="1" t="s">
        <v>247</v>
      </c>
      <c r="C1445" s="1" t="s">
        <v>32</v>
      </c>
      <c r="D1445" s="1" t="s">
        <v>224</v>
      </c>
      <c r="E1445" s="1" t="s">
        <v>30</v>
      </c>
      <c r="F1445" s="1" t="s">
        <v>31</v>
      </c>
      <c r="G1445" s="4">
        <v>2</v>
      </c>
      <c r="H1445" s="4">
        <v>2499</v>
      </c>
      <c r="I1445" s="6">
        <v>462.27300123939182</v>
      </c>
      <c r="J1445" s="6">
        <f>表1[[#This Row],[销售金额]]-表1[[#This Row],[退款金额]]</f>
        <v>2036.7269987606082</v>
      </c>
      <c r="K1445" s="1">
        <v>276</v>
      </c>
      <c r="L1445" s="1">
        <v>687</v>
      </c>
    </row>
    <row r="1446" spans="1:12" x14ac:dyDescent="0.3">
      <c r="A1446" s="2">
        <v>45924</v>
      </c>
      <c r="B1446" s="1" t="s">
        <v>247</v>
      </c>
      <c r="C1446" s="1" t="s">
        <v>32</v>
      </c>
      <c r="D1446" s="1" t="s">
        <v>224</v>
      </c>
      <c r="E1446" s="1" t="s">
        <v>30</v>
      </c>
      <c r="F1446" s="1" t="s">
        <v>31</v>
      </c>
      <c r="G1446" s="4">
        <v>2</v>
      </c>
      <c r="H1446" s="4">
        <v>2733</v>
      </c>
      <c r="I1446" s="6">
        <v>462.27300123939182</v>
      </c>
      <c r="J1446" s="6">
        <f>表1[[#This Row],[销售金额]]-表1[[#This Row],[退款金额]]</f>
        <v>2270.7269987606082</v>
      </c>
      <c r="K1446" s="1">
        <v>276</v>
      </c>
      <c r="L1446" s="1">
        <v>687</v>
      </c>
    </row>
    <row r="1447" spans="1:12" x14ac:dyDescent="0.3">
      <c r="A1447" s="2">
        <v>45924</v>
      </c>
      <c r="B1447" s="1" t="s">
        <v>247</v>
      </c>
      <c r="C1447" s="1" t="s">
        <v>32</v>
      </c>
      <c r="D1447" s="1" t="s">
        <v>224</v>
      </c>
      <c r="E1447" s="1" t="s">
        <v>30</v>
      </c>
      <c r="F1447" s="1" t="s">
        <v>31</v>
      </c>
      <c r="G1447" s="4">
        <v>2</v>
      </c>
      <c r="H1447" s="4">
        <v>3250</v>
      </c>
      <c r="I1447" s="6">
        <v>462.27300123939182</v>
      </c>
      <c r="J1447" s="6">
        <f>表1[[#This Row],[销售金额]]-表1[[#This Row],[退款金额]]</f>
        <v>2787.7269987606082</v>
      </c>
      <c r="K1447" s="1">
        <v>276</v>
      </c>
      <c r="L1447" s="1">
        <v>687</v>
      </c>
    </row>
    <row r="1448" spans="1:12" x14ac:dyDescent="0.3">
      <c r="A1448" s="2">
        <v>45924</v>
      </c>
      <c r="B1448" s="1" t="s">
        <v>247</v>
      </c>
      <c r="C1448" s="1" t="s">
        <v>32</v>
      </c>
      <c r="D1448" s="1" t="s">
        <v>224</v>
      </c>
      <c r="E1448" s="1" t="s">
        <v>30</v>
      </c>
      <c r="F1448" s="1" t="s">
        <v>31</v>
      </c>
      <c r="G1448" s="4">
        <v>2</v>
      </c>
      <c r="H1448" s="4">
        <v>988</v>
      </c>
      <c r="I1448" s="6">
        <v>462.27300123939182</v>
      </c>
      <c r="J1448" s="6">
        <f>表1[[#This Row],[销售金额]]-表1[[#This Row],[退款金额]]</f>
        <v>525.72699876060824</v>
      </c>
      <c r="K1448" s="1">
        <v>276</v>
      </c>
      <c r="L1448" s="1">
        <v>687</v>
      </c>
    </row>
    <row r="1449" spans="1:12" x14ac:dyDescent="0.3">
      <c r="A1449" s="2">
        <v>45924</v>
      </c>
      <c r="B1449" s="1" t="s">
        <v>247</v>
      </c>
      <c r="C1449" s="1" t="s">
        <v>32</v>
      </c>
      <c r="D1449" s="1" t="s">
        <v>224</v>
      </c>
      <c r="E1449" s="1" t="s">
        <v>30</v>
      </c>
      <c r="F1449" s="1" t="s">
        <v>31</v>
      </c>
      <c r="G1449" s="4">
        <v>2</v>
      </c>
      <c r="H1449" s="4">
        <v>1859</v>
      </c>
      <c r="I1449" s="6">
        <v>462.27300123939182</v>
      </c>
      <c r="J1449" s="6">
        <f>表1[[#This Row],[销售金额]]-表1[[#This Row],[退款金额]]</f>
        <v>1396.7269987606082</v>
      </c>
      <c r="K1449" s="1">
        <v>276</v>
      </c>
      <c r="L1449" s="1">
        <v>687</v>
      </c>
    </row>
    <row r="1450" spans="1:12" x14ac:dyDescent="0.3">
      <c r="A1450" s="2">
        <v>45924</v>
      </c>
      <c r="B1450" s="1" t="s">
        <v>15</v>
      </c>
      <c r="C1450" s="1" t="s">
        <v>10</v>
      </c>
      <c r="D1450" s="1" t="s">
        <v>143</v>
      </c>
      <c r="E1450" s="1" t="s">
        <v>8</v>
      </c>
      <c r="F1450" s="1" t="s">
        <v>9</v>
      </c>
      <c r="G1450" s="4">
        <v>5</v>
      </c>
      <c r="H1450" s="4">
        <v>8127</v>
      </c>
      <c r="I1450" s="6">
        <v>7378.1654813779605</v>
      </c>
      <c r="J1450" s="6">
        <f>表1[[#This Row],[销售金额]]-表1[[#This Row],[退款金额]]</f>
        <v>748.83451862203947</v>
      </c>
      <c r="K1450" s="1">
        <v>762</v>
      </c>
      <c r="L1450" s="1">
        <v>75</v>
      </c>
    </row>
    <row r="1451" spans="1:12" x14ac:dyDescent="0.3">
      <c r="A1451" s="2">
        <v>45924</v>
      </c>
      <c r="B1451" s="1" t="s">
        <v>247</v>
      </c>
      <c r="C1451" s="1" t="s">
        <v>32</v>
      </c>
      <c r="D1451" s="1" t="s">
        <v>58</v>
      </c>
      <c r="E1451" s="1" t="s">
        <v>38</v>
      </c>
      <c r="F1451" s="1" t="s">
        <v>39</v>
      </c>
      <c r="G1451" s="4">
        <v>5</v>
      </c>
      <c r="H1451" s="4">
        <v>5784</v>
      </c>
      <c r="I1451" s="6">
        <v>1668.2187546665409</v>
      </c>
      <c r="J1451" s="6">
        <f>表1[[#This Row],[销售金额]]-表1[[#This Row],[退款金额]]</f>
        <v>4115.7812453334591</v>
      </c>
      <c r="K1451" s="1">
        <v>478</v>
      </c>
      <c r="L1451" s="1">
        <v>717</v>
      </c>
    </row>
    <row r="1452" spans="1:12" x14ac:dyDescent="0.3">
      <c r="A1452" s="2">
        <v>45924</v>
      </c>
      <c r="B1452" s="1" t="s">
        <v>15</v>
      </c>
      <c r="C1452" s="1" t="s">
        <v>10</v>
      </c>
      <c r="D1452" s="1" t="s">
        <v>143</v>
      </c>
      <c r="E1452" s="1" t="s">
        <v>8</v>
      </c>
      <c r="F1452" s="1" t="s">
        <v>9</v>
      </c>
      <c r="G1452" s="4">
        <v>5</v>
      </c>
      <c r="H1452" s="4">
        <v>9348</v>
      </c>
      <c r="I1452" s="6">
        <v>7378.1654813779605</v>
      </c>
      <c r="J1452" s="6">
        <f>表1[[#This Row],[销售金额]]-表1[[#This Row],[退款金额]]</f>
        <v>1969.8345186220395</v>
      </c>
      <c r="K1452" s="1">
        <v>762</v>
      </c>
      <c r="L1452" s="1">
        <v>75</v>
      </c>
    </row>
    <row r="1453" spans="1:12" x14ac:dyDescent="0.3">
      <c r="A1453" s="2">
        <v>45924</v>
      </c>
      <c r="B1453" s="1" t="s">
        <v>247</v>
      </c>
      <c r="C1453" s="1" t="s">
        <v>32</v>
      </c>
      <c r="D1453" s="1" t="s">
        <v>58</v>
      </c>
      <c r="E1453" s="1" t="s">
        <v>38</v>
      </c>
      <c r="F1453" s="1" t="s">
        <v>39</v>
      </c>
      <c r="G1453" s="4">
        <v>5</v>
      </c>
      <c r="H1453" s="4">
        <v>5826</v>
      </c>
      <c r="I1453" s="6">
        <v>1668.2187546665409</v>
      </c>
      <c r="J1453" s="6">
        <f>表1[[#This Row],[销售金额]]-表1[[#This Row],[退款金额]]</f>
        <v>4157.7812453334591</v>
      </c>
      <c r="K1453" s="1">
        <v>478</v>
      </c>
      <c r="L1453" s="1">
        <v>717</v>
      </c>
    </row>
    <row r="1454" spans="1:12" x14ac:dyDescent="0.3">
      <c r="A1454" s="2">
        <v>45924</v>
      </c>
      <c r="B1454" s="1" t="s">
        <v>15</v>
      </c>
      <c r="C1454" s="1" t="s">
        <v>10</v>
      </c>
      <c r="D1454" s="1" t="s">
        <v>143</v>
      </c>
      <c r="E1454" s="1" t="s">
        <v>8</v>
      </c>
      <c r="F1454" s="1" t="s">
        <v>9</v>
      </c>
      <c r="G1454" s="4">
        <v>5</v>
      </c>
      <c r="H1454" s="4">
        <v>10443</v>
      </c>
      <c r="I1454" s="6">
        <v>7378.1654813779605</v>
      </c>
      <c r="J1454" s="6">
        <f>表1[[#This Row],[销售金额]]-表1[[#This Row],[退款金额]]</f>
        <v>3064.8345186220395</v>
      </c>
      <c r="K1454" s="1">
        <v>762</v>
      </c>
      <c r="L1454" s="1">
        <v>75</v>
      </c>
    </row>
    <row r="1455" spans="1:12" x14ac:dyDescent="0.3">
      <c r="A1455" s="2">
        <v>45924</v>
      </c>
      <c r="B1455" s="1" t="s">
        <v>247</v>
      </c>
      <c r="C1455" s="1" t="s">
        <v>32</v>
      </c>
      <c r="D1455" s="1" t="s">
        <v>58</v>
      </c>
      <c r="E1455" s="1" t="s">
        <v>38</v>
      </c>
      <c r="F1455" s="1" t="s">
        <v>39</v>
      </c>
      <c r="G1455" s="4">
        <v>5</v>
      </c>
      <c r="H1455" s="4">
        <v>3042</v>
      </c>
      <c r="I1455" s="6">
        <v>1668.2187546665409</v>
      </c>
      <c r="J1455" s="6">
        <f>表1[[#This Row],[销售金额]]-表1[[#This Row],[退款金额]]</f>
        <v>1373.7812453334591</v>
      </c>
      <c r="K1455" s="1">
        <v>478</v>
      </c>
      <c r="L1455" s="1">
        <v>717</v>
      </c>
    </row>
    <row r="1456" spans="1:12" x14ac:dyDescent="0.3">
      <c r="A1456" s="2">
        <v>45924</v>
      </c>
      <c r="B1456" s="1" t="s">
        <v>15</v>
      </c>
      <c r="C1456" s="1" t="s">
        <v>10</v>
      </c>
      <c r="D1456" s="1" t="s">
        <v>143</v>
      </c>
      <c r="E1456" s="1" t="s">
        <v>8</v>
      </c>
      <c r="F1456" s="1" t="s">
        <v>9</v>
      </c>
      <c r="G1456" s="4">
        <v>5</v>
      </c>
      <c r="H1456" s="4">
        <v>8502</v>
      </c>
      <c r="I1456" s="6">
        <v>7378.1654813779605</v>
      </c>
      <c r="J1456" s="6">
        <f>表1[[#This Row],[销售金额]]-表1[[#This Row],[退款金额]]</f>
        <v>1123.8345186220395</v>
      </c>
      <c r="K1456" s="1">
        <v>762</v>
      </c>
      <c r="L1456" s="1">
        <v>75</v>
      </c>
    </row>
    <row r="1457" spans="1:12" x14ac:dyDescent="0.3">
      <c r="A1457" s="2">
        <v>45924</v>
      </c>
      <c r="B1457" s="1" t="s">
        <v>247</v>
      </c>
      <c r="C1457" s="1" t="s">
        <v>32</v>
      </c>
      <c r="D1457" s="1" t="s">
        <v>58</v>
      </c>
      <c r="E1457" s="1" t="s">
        <v>38</v>
      </c>
      <c r="F1457" s="1" t="s">
        <v>39</v>
      </c>
      <c r="G1457" s="4">
        <v>5</v>
      </c>
      <c r="H1457" s="4">
        <v>2936</v>
      </c>
      <c r="I1457" s="6">
        <v>1668.2187546665409</v>
      </c>
      <c r="J1457" s="6">
        <f>表1[[#This Row],[销售金额]]-表1[[#This Row],[退款金额]]</f>
        <v>1267.7812453334591</v>
      </c>
      <c r="K1457" s="1">
        <v>478</v>
      </c>
      <c r="L1457" s="1">
        <v>717</v>
      </c>
    </row>
    <row r="1458" spans="1:12" x14ac:dyDescent="0.3">
      <c r="A1458" s="2">
        <v>45924</v>
      </c>
      <c r="B1458" s="1" t="s">
        <v>15</v>
      </c>
      <c r="C1458" s="1" t="s">
        <v>10</v>
      </c>
      <c r="D1458" s="1" t="s">
        <v>143</v>
      </c>
      <c r="E1458" s="1" t="s">
        <v>8</v>
      </c>
      <c r="F1458" s="1" t="s">
        <v>9</v>
      </c>
      <c r="G1458" s="4">
        <v>5</v>
      </c>
      <c r="H1458" s="4">
        <v>10837</v>
      </c>
      <c r="I1458" s="6">
        <v>7378.1654813779605</v>
      </c>
      <c r="J1458" s="6">
        <f>表1[[#This Row],[销售金额]]-表1[[#This Row],[退款金额]]</f>
        <v>3458.8345186220395</v>
      </c>
      <c r="K1458" s="1">
        <v>762</v>
      </c>
      <c r="L1458" s="1">
        <v>75</v>
      </c>
    </row>
    <row r="1459" spans="1:12" x14ac:dyDescent="0.3">
      <c r="A1459" s="2">
        <v>45924</v>
      </c>
      <c r="B1459" s="1" t="s">
        <v>247</v>
      </c>
      <c r="C1459" s="1" t="s">
        <v>32</v>
      </c>
      <c r="D1459" s="1" t="s">
        <v>58</v>
      </c>
      <c r="E1459" s="1" t="s">
        <v>38</v>
      </c>
      <c r="F1459" s="1" t="s">
        <v>39</v>
      </c>
      <c r="G1459" s="4">
        <v>5</v>
      </c>
      <c r="H1459" s="4">
        <v>2310</v>
      </c>
      <c r="I1459" s="6">
        <v>1668.2187546665409</v>
      </c>
      <c r="J1459" s="6">
        <f>表1[[#This Row],[销售金额]]-表1[[#This Row],[退款金额]]</f>
        <v>641.78124533345908</v>
      </c>
      <c r="K1459" s="1">
        <v>478</v>
      </c>
      <c r="L1459" s="1">
        <v>717</v>
      </c>
    </row>
    <row r="1460" spans="1:12" x14ac:dyDescent="0.3">
      <c r="A1460" s="2">
        <v>45924</v>
      </c>
      <c r="B1460" s="1" t="s">
        <v>15</v>
      </c>
      <c r="C1460" s="1" t="s">
        <v>10</v>
      </c>
      <c r="D1460" s="1" t="s">
        <v>143</v>
      </c>
      <c r="E1460" s="1" t="s">
        <v>8</v>
      </c>
      <c r="F1460" s="1" t="s">
        <v>9</v>
      </c>
      <c r="G1460" s="4">
        <v>5</v>
      </c>
      <c r="H1460" s="4">
        <v>10820</v>
      </c>
      <c r="I1460" s="6">
        <v>7378.1654813779605</v>
      </c>
      <c r="J1460" s="6">
        <f>表1[[#This Row],[销售金额]]-表1[[#This Row],[退款金额]]</f>
        <v>3441.8345186220395</v>
      </c>
      <c r="K1460" s="1">
        <v>762</v>
      </c>
      <c r="L1460" s="1">
        <v>75</v>
      </c>
    </row>
    <row r="1461" spans="1:12" x14ac:dyDescent="0.3">
      <c r="A1461" s="2">
        <v>45924</v>
      </c>
      <c r="B1461" s="1" t="s">
        <v>247</v>
      </c>
      <c r="C1461" s="1" t="s">
        <v>32</v>
      </c>
      <c r="D1461" s="1" t="s">
        <v>58</v>
      </c>
      <c r="E1461" s="1" t="s">
        <v>38</v>
      </c>
      <c r="F1461" s="1" t="s">
        <v>39</v>
      </c>
      <c r="G1461" s="4">
        <v>5</v>
      </c>
      <c r="H1461" s="4">
        <v>3936</v>
      </c>
      <c r="I1461" s="6">
        <v>1668.2187546665409</v>
      </c>
      <c r="J1461" s="6">
        <f>表1[[#This Row],[销售金额]]-表1[[#This Row],[退款金额]]</f>
        <v>2267.7812453334591</v>
      </c>
      <c r="K1461" s="1">
        <v>478</v>
      </c>
      <c r="L1461" s="1">
        <v>717</v>
      </c>
    </row>
    <row r="1462" spans="1:12" x14ac:dyDescent="0.3">
      <c r="A1462" s="2">
        <v>45924</v>
      </c>
      <c r="B1462" s="1" t="s">
        <v>15</v>
      </c>
      <c r="C1462" s="1" t="s">
        <v>10</v>
      </c>
      <c r="D1462" s="1" t="s">
        <v>143</v>
      </c>
      <c r="E1462" s="1" t="s">
        <v>8</v>
      </c>
      <c r="F1462" s="1" t="s">
        <v>9</v>
      </c>
      <c r="G1462" s="4">
        <v>5</v>
      </c>
      <c r="H1462" s="4">
        <v>12004</v>
      </c>
      <c r="I1462" s="6">
        <v>7378.1654813779605</v>
      </c>
      <c r="J1462" s="6">
        <f>表1[[#This Row],[销售金额]]-表1[[#This Row],[退款金额]]</f>
        <v>4625.8345186220395</v>
      </c>
      <c r="K1462" s="1">
        <v>762</v>
      </c>
      <c r="L1462" s="1">
        <v>75</v>
      </c>
    </row>
    <row r="1463" spans="1:12" x14ac:dyDescent="0.3">
      <c r="A1463" s="2">
        <v>45924</v>
      </c>
      <c r="B1463" s="1" t="s">
        <v>247</v>
      </c>
      <c r="C1463" s="1" t="s">
        <v>32</v>
      </c>
      <c r="D1463" s="1" t="s">
        <v>58</v>
      </c>
      <c r="E1463" s="1" t="s">
        <v>38</v>
      </c>
      <c r="F1463" s="1" t="s">
        <v>39</v>
      </c>
      <c r="G1463" s="4">
        <v>5</v>
      </c>
      <c r="H1463" s="4">
        <v>4734</v>
      </c>
      <c r="I1463" s="6">
        <v>1668.2187546665409</v>
      </c>
      <c r="J1463" s="6">
        <f>表1[[#This Row],[销售金额]]-表1[[#This Row],[退款金额]]</f>
        <v>3065.7812453334591</v>
      </c>
      <c r="K1463" s="1">
        <v>478</v>
      </c>
      <c r="L1463" s="1">
        <v>717</v>
      </c>
    </row>
    <row r="1464" spans="1:12" x14ac:dyDescent="0.3">
      <c r="A1464" s="2">
        <v>45924</v>
      </c>
      <c r="B1464" s="1" t="s">
        <v>15</v>
      </c>
      <c r="C1464" s="1" t="s">
        <v>10</v>
      </c>
      <c r="D1464" s="1" t="s">
        <v>143</v>
      </c>
      <c r="E1464" s="1" t="s">
        <v>8</v>
      </c>
      <c r="F1464" s="1" t="s">
        <v>9</v>
      </c>
      <c r="G1464" s="4">
        <v>5</v>
      </c>
      <c r="H1464" s="4">
        <v>9576</v>
      </c>
      <c r="I1464" s="6">
        <v>7378.1654813779605</v>
      </c>
      <c r="J1464" s="6">
        <f>表1[[#This Row],[销售金额]]-表1[[#This Row],[退款金额]]</f>
        <v>2197.8345186220395</v>
      </c>
      <c r="K1464" s="1">
        <v>762</v>
      </c>
      <c r="L1464" s="1">
        <v>75</v>
      </c>
    </row>
    <row r="1465" spans="1:12" x14ac:dyDescent="0.3">
      <c r="A1465" s="2">
        <v>45924</v>
      </c>
      <c r="B1465" s="1" t="s">
        <v>247</v>
      </c>
      <c r="C1465" s="1" t="s">
        <v>32</v>
      </c>
      <c r="D1465" s="1" t="s">
        <v>58</v>
      </c>
      <c r="E1465" s="1" t="s">
        <v>38</v>
      </c>
      <c r="F1465" s="1" t="s">
        <v>39</v>
      </c>
      <c r="G1465" s="4">
        <v>5</v>
      </c>
      <c r="H1465" s="4">
        <v>5562</v>
      </c>
      <c r="I1465" s="6">
        <v>1668.2187546665409</v>
      </c>
      <c r="J1465" s="6">
        <f>表1[[#This Row],[销售金额]]-表1[[#This Row],[退款金额]]</f>
        <v>3893.7812453334591</v>
      </c>
      <c r="K1465" s="1">
        <v>478</v>
      </c>
      <c r="L1465" s="1">
        <v>717</v>
      </c>
    </row>
    <row r="1466" spans="1:12" x14ac:dyDescent="0.3">
      <c r="A1466" s="2">
        <v>45924</v>
      </c>
      <c r="B1466" s="1" t="s">
        <v>15</v>
      </c>
      <c r="C1466" s="1" t="s">
        <v>10</v>
      </c>
      <c r="D1466" s="1" t="s">
        <v>143</v>
      </c>
      <c r="E1466" s="1" t="s">
        <v>8</v>
      </c>
      <c r="F1466" s="1" t="s">
        <v>9</v>
      </c>
      <c r="G1466" s="4">
        <v>5</v>
      </c>
      <c r="H1466" s="4">
        <v>11049</v>
      </c>
      <c r="I1466" s="6">
        <v>7378.1654813779605</v>
      </c>
      <c r="J1466" s="6">
        <f>表1[[#This Row],[销售金额]]-表1[[#This Row],[退款金额]]</f>
        <v>3670.8345186220395</v>
      </c>
      <c r="K1466" s="1">
        <v>762</v>
      </c>
      <c r="L1466" s="1">
        <v>75</v>
      </c>
    </row>
    <row r="1467" spans="1:12" x14ac:dyDescent="0.3">
      <c r="A1467" s="2">
        <v>45924</v>
      </c>
      <c r="B1467" s="1" t="s">
        <v>11</v>
      </c>
      <c r="C1467" s="1" t="s">
        <v>10</v>
      </c>
      <c r="D1467" s="1" t="s">
        <v>85</v>
      </c>
      <c r="E1467" s="1" t="s">
        <v>8</v>
      </c>
      <c r="F1467" s="1" t="s">
        <v>9</v>
      </c>
      <c r="G1467" s="4">
        <v>6</v>
      </c>
      <c r="H1467" s="4">
        <v>9242</v>
      </c>
      <c r="I1467" s="6">
        <v>8390.6821076744</v>
      </c>
      <c r="J1467" s="6">
        <f>表1[[#This Row],[销售金额]]-表1[[#This Row],[退款金额]]</f>
        <v>851.31789232560004</v>
      </c>
      <c r="K1467" s="1">
        <v>532</v>
      </c>
      <c r="L1467" s="1">
        <v>207</v>
      </c>
    </row>
    <row r="1468" spans="1:12" x14ac:dyDescent="0.3">
      <c r="A1468" s="2">
        <v>45924</v>
      </c>
      <c r="B1468" s="1" t="s">
        <v>248</v>
      </c>
      <c r="C1468" s="1" t="s">
        <v>10</v>
      </c>
      <c r="D1468" s="1" t="s">
        <v>98</v>
      </c>
      <c r="E1468" s="1" t="s">
        <v>8</v>
      </c>
      <c r="F1468" s="1" t="s">
        <v>9</v>
      </c>
      <c r="G1468" s="4">
        <v>6</v>
      </c>
      <c r="H1468" s="4">
        <v>25289</v>
      </c>
      <c r="I1468" s="6">
        <v>21673.407195145941</v>
      </c>
      <c r="J1468" s="6">
        <f>表1[[#This Row],[销售金额]]-表1[[#This Row],[退款金额]]</f>
        <v>3615.5928048540591</v>
      </c>
      <c r="K1468" s="1">
        <v>870</v>
      </c>
      <c r="L1468" s="1">
        <v>129</v>
      </c>
    </row>
    <row r="1469" spans="1:12" x14ac:dyDescent="0.3">
      <c r="A1469" s="2">
        <v>45924</v>
      </c>
      <c r="B1469" s="1" t="s">
        <v>11</v>
      </c>
      <c r="C1469" s="1" t="s">
        <v>10</v>
      </c>
      <c r="D1469" s="1" t="s">
        <v>85</v>
      </c>
      <c r="E1469" s="1" t="s">
        <v>8</v>
      </c>
      <c r="F1469" s="1" t="s">
        <v>9</v>
      </c>
      <c r="G1469" s="4">
        <v>6</v>
      </c>
      <c r="H1469" s="4">
        <v>10940</v>
      </c>
      <c r="I1469" s="6">
        <v>8390.6821076744</v>
      </c>
      <c r="J1469" s="6">
        <f>表1[[#This Row],[销售金额]]-表1[[#This Row],[退款金额]]</f>
        <v>2549.3178923256</v>
      </c>
      <c r="K1469" s="1">
        <v>532</v>
      </c>
      <c r="L1469" s="1">
        <v>207</v>
      </c>
    </row>
    <row r="1470" spans="1:12" x14ac:dyDescent="0.3">
      <c r="A1470" s="2">
        <v>45924</v>
      </c>
      <c r="B1470" s="1" t="s">
        <v>248</v>
      </c>
      <c r="C1470" s="1" t="s">
        <v>10</v>
      </c>
      <c r="D1470" s="1" t="s">
        <v>98</v>
      </c>
      <c r="E1470" s="1" t="s">
        <v>8</v>
      </c>
      <c r="F1470" s="1" t="s">
        <v>9</v>
      </c>
      <c r="G1470" s="4">
        <v>6</v>
      </c>
      <c r="H1470" s="4">
        <v>25956</v>
      </c>
      <c r="I1470" s="6">
        <v>21673.407195145941</v>
      </c>
      <c r="J1470" s="6">
        <f>表1[[#This Row],[销售金额]]-表1[[#This Row],[退款金额]]</f>
        <v>4282.5928048540591</v>
      </c>
      <c r="K1470" s="1">
        <v>870</v>
      </c>
      <c r="L1470" s="1">
        <v>129</v>
      </c>
    </row>
    <row r="1471" spans="1:12" x14ac:dyDescent="0.3">
      <c r="A1471" s="2">
        <v>45924</v>
      </c>
      <c r="B1471" s="1" t="s">
        <v>11</v>
      </c>
      <c r="C1471" s="1" t="s">
        <v>10</v>
      </c>
      <c r="D1471" s="1" t="s">
        <v>85</v>
      </c>
      <c r="E1471" s="1" t="s">
        <v>8</v>
      </c>
      <c r="F1471" s="1" t="s">
        <v>9</v>
      </c>
      <c r="G1471" s="4">
        <v>6</v>
      </c>
      <c r="H1471" s="4">
        <v>9715</v>
      </c>
      <c r="I1471" s="6">
        <v>8390.6821076744</v>
      </c>
      <c r="J1471" s="6">
        <f>表1[[#This Row],[销售金额]]-表1[[#This Row],[退款金额]]</f>
        <v>1324.3178923256</v>
      </c>
      <c r="K1471" s="1">
        <v>532</v>
      </c>
      <c r="L1471" s="1">
        <v>207</v>
      </c>
    </row>
    <row r="1472" spans="1:12" x14ac:dyDescent="0.3">
      <c r="A1472" s="2">
        <v>45924</v>
      </c>
      <c r="B1472" s="1" t="s">
        <v>248</v>
      </c>
      <c r="C1472" s="1" t="s">
        <v>10</v>
      </c>
      <c r="D1472" s="1" t="s">
        <v>98</v>
      </c>
      <c r="E1472" s="1" t="s">
        <v>8</v>
      </c>
      <c r="F1472" s="1" t="s">
        <v>9</v>
      </c>
      <c r="G1472" s="4">
        <v>6</v>
      </c>
      <c r="H1472" s="4">
        <v>25562</v>
      </c>
      <c r="I1472" s="6">
        <v>21673.407195145941</v>
      </c>
      <c r="J1472" s="6">
        <f>表1[[#This Row],[销售金额]]-表1[[#This Row],[退款金额]]</f>
        <v>3888.5928048540591</v>
      </c>
      <c r="K1472" s="1">
        <v>870</v>
      </c>
      <c r="L1472" s="1">
        <v>129</v>
      </c>
    </row>
    <row r="1473" spans="1:12" x14ac:dyDescent="0.3">
      <c r="A1473" s="2">
        <v>45924</v>
      </c>
      <c r="B1473" s="1" t="s">
        <v>11</v>
      </c>
      <c r="C1473" s="1" t="s">
        <v>10</v>
      </c>
      <c r="D1473" s="1" t="s">
        <v>85</v>
      </c>
      <c r="E1473" s="1" t="s">
        <v>8</v>
      </c>
      <c r="F1473" s="1" t="s">
        <v>9</v>
      </c>
      <c r="G1473" s="4">
        <v>6</v>
      </c>
      <c r="H1473" s="4">
        <v>10032</v>
      </c>
      <c r="I1473" s="6">
        <v>8390.6821076744</v>
      </c>
      <c r="J1473" s="6">
        <f>表1[[#This Row],[销售金额]]-表1[[#This Row],[退款金额]]</f>
        <v>1641.3178923256</v>
      </c>
      <c r="K1473" s="1">
        <v>532</v>
      </c>
      <c r="L1473" s="1">
        <v>207</v>
      </c>
    </row>
    <row r="1474" spans="1:12" x14ac:dyDescent="0.3">
      <c r="A1474" s="2">
        <v>45924</v>
      </c>
      <c r="B1474" s="1" t="s">
        <v>248</v>
      </c>
      <c r="C1474" s="1" t="s">
        <v>10</v>
      </c>
      <c r="D1474" s="1" t="s">
        <v>98</v>
      </c>
      <c r="E1474" s="1" t="s">
        <v>8</v>
      </c>
      <c r="F1474" s="1" t="s">
        <v>9</v>
      </c>
      <c r="G1474" s="4">
        <v>6</v>
      </c>
      <c r="H1474" s="4">
        <v>23325</v>
      </c>
      <c r="I1474" s="6">
        <v>21673.407195145941</v>
      </c>
      <c r="J1474" s="6">
        <f>表1[[#This Row],[销售金额]]-表1[[#This Row],[退款金额]]</f>
        <v>1651.5928048540591</v>
      </c>
      <c r="K1474" s="1">
        <v>870</v>
      </c>
      <c r="L1474" s="1">
        <v>129</v>
      </c>
    </row>
    <row r="1475" spans="1:12" x14ac:dyDescent="0.3">
      <c r="A1475" s="2">
        <v>45924</v>
      </c>
      <c r="B1475" s="1" t="s">
        <v>11</v>
      </c>
      <c r="C1475" s="1" t="s">
        <v>10</v>
      </c>
      <c r="D1475" s="1" t="s">
        <v>85</v>
      </c>
      <c r="E1475" s="1" t="s">
        <v>8</v>
      </c>
      <c r="F1475" s="1" t="s">
        <v>9</v>
      </c>
      <c r="G1475" s="4">
        <v>6</v>
      </c>
      <c r="H1475" s="4">
        <v>13102</v>
      </c>
      <c r="I1475" s="6">
        <v>8390.6821076744</v>
      </c>
      <c r="J1475" s="6">
        <f>表1[[#This Row],[销售金额]]-表1[[#This Row],[退款金额]]</f>
        <v>4711.3178923256</v>
      </c>
      <c r="K1475" s="1">
        <v>532</v>
      </c>
      <c r="L1475" s="1">
        <v>207</v>
      </c>
    </row>
    <row r="1476" spans="1:12" x14ac:dyDescent="0.3">
      <c r="A1476" s="2">
        <v>45924</v>
      </c>
      <c r="B1476" s="1" t="s">
        <v>248</v>
      </c>
      <c r="C1476" s="1" t="s">
        <v>10</v>
      </c>
      <c r="D1476" s="1" t="s">
        <v>98</v>
      </c>
      <c r="E1476" s="1" t="s">
        <v>8</v>
      </c>
      <c r="F1476" s="1" t="s">
        <v>9</v>
      </c>
      <c r="G1476" s="4">
        <v>6</v>
      </c>
      <c r="H1476" s="4">
        <v>24296</v>
      </c>
      <c r="I1476" s="6">
        <v>21673.407195145941</v>
      </c>
      <c r="J1476" s="6">
        <f>表1[[#This Row],[销售金额]]-表1[[#This Row],[退款金额]]</f>
        <v>2622.5928048540591</v>
      </c>
      <c r="K1476" s="1">
        <v>870</v>
      </c>
      <c r="L1476" s="1">
        <v>129</v>
      </c>
    </row>
    <row r="1477" spans="1:12" x14ac:dyDescent="0.3">
      <c r="A1477" s="2">
        <v>45924</v>
      </c>
      <c r="B1477" s="1" t="s">
        <v>11</v>
      </c>
      <c r="C1477" s="1" t="s">
        <v>10</v>
      </c>
      <c r="D1477" s="1" t="s">
        <v>85</v>
      </c>
      <c r="E1477" s="1" t="s">
        <v>8</v>
      </c>
      <c r="F1477" s="1" t="s">
        <v>9</v>
      </c>
      <c r="G1477" s="4">
        <v>6</v>
      </c>
      <c r="H1477" s="4">
        <v>10787</v>
      </c>
      <c r="I1477" s="6">
        <v>8390.6821076744</v>
      </c>
      <c r="J1477" s="6">
        <f>表1[[#This Row],[销售金额]]-表1[[#This Row],[退款金额]]</f>
        <v>2396.3178923256</v>
      </c>
      <c r="K1477" s="1">
        <v>532</v>
      </c>
      <c r="L1477" s="1">
        <v>207</v>
      </c>
    </row>
    <row r="1478" spans="1:12" x14ac:dyDescent="0.3">
      <c r="A1478" s="2">
        <v>45924</v>
      </c>
      <c r="B1478" s="1" t="s">
        <v>248</v>
      </c>
      <c r="C1478" s="1" t="s">
        <v>10</v>
      </c>
      <c r="D1478" s="1" t="s">
        <v>98</v>
      </c>
      <c r="E1478" s="1" t="s">
        <v>8</v>
      </c>
      <c r="F1478" s="1" t="s">
        <v>9</v>
      </c>
      <c r="G1478" s="4">
        <v>6</v>
      </c>
      <c r="H1478" s="4">
        <v>25135</v>
      </c>
      <c r="I1478" s="6">
        <v>21673.407195145941</v>
      </c>
      <c r="J1478" s="6">
        <f>表1[[#This Row],[销售金额]]-表1[[#This Row],[退款金额]]</f>
        <v>3461.5928048540591</v>
      </c>
      <c r="K1478" s="1">
        <v>870</v>
      </c>
      <c r="L1478" s="1">
        <v>129</v>
      </c>
    </row>
    <row r="1479" spans="1:12" x14ac:dyDescent="0.3">
      <c r="A1479" s="2">
        <v>45924</v>
      </c>
      <c r="B1479" s="1" t="s">
        <v>11</v>
      </c>
      <c r="C1479" s="1" t="s">
        <v>10</v>
      </c>
      <c r="D1479" s="1" t="s">
        <v>85</v>
      </c>
      <c r="E1479" s="1" t="s">
        <v>8</v>
      </c>
      <c r="F1479" s="1" t="s">
        <v>9</v>
      </c>
      <c r="G1479" s="4">
        <v>6</v>
      </c>
      <c r="H1479" s="4">
        <v>12052</v>
      </c>
      <c r="I1479" s="6">
        <v>8390.6821076744</v>
      </c>
      <c r="J1479" s="6">
        <f>表1[[#This Row],[销售金额]]-表1[[#This Row],[退款金额]]</f>
        <v>3661.3178923256</v>
      </c>
      <c r="K1479" s="1">
        <v>532</v>
      </c>
      <c r="L1479" s="1">
        <v>207</v>
      </c>
    </row>
    <row r="1480" spans="1:12" x14ac:dyDescent="0.3">
      <c r="A1480" s="2">
        <v>45924</v>
      </c>
      <c r="B1480" s="1" t="s">
        <v>248</v>
      </c>
      <c r="C1480" s="1" t="s">
        <v>10</v>
      </c>
      <c r="D1480" s="1" t="s">
        <v>98</v>
      </c>
      <c r="E1480" s="1" t="s">
        <v>8</v>
      </c>
      <c r="F1480" s="1" t="s">
        <v>9</v>
      </c>
      <c r="G1480" s="4">
        <v>6</v>
      </c>
      <c r="H1480" s="4">
        <v>25326</v>
      </c>
      <c r="I1480" s="6">
        <v>21673.407195145941</v>
      </c>
      <c r="J1480" s="6">
        <f>表1[[#This Row],[销售金额]]-表1[[#This Row],[退款金额]]</f>
        <v>3652.5928048540591</v>
      </c>
      <c r="K1480" s="1">
        <v>870</v>
      </c>
      <c r="L1480" s="1">
        <v>129</v>
      </c>
    </row>
    <row r="1481" spans="1:12" x14ac:dyDescent="0.3">
      <c r="A1481" s="2">
        <v>45924</v>
      </c>
      <c r="B1481" s="1" t="s">
        <v>11</v>
      </c>
      <c r="C1481" s="1" t="s">
        <v>10</v>
      </c>
      <c r="D1481" s="1" t="s">
        <v>85</v>
      </c>
      <c r="E1481" s="1" t="s">
        <v>8</v>
      </c>
      <c r="F1481" s="1" t="s">
        <v>9</v>
      </c>
      <c r="G1481" s="4">
        <v>6</v>
      </c>
      <c r="H1481" s="4">
        <v>8682</v>
      </c>
      <c r="I1481" s="6">
        <v>8390.6821076744</v>
      </c>
      <c r="J1481" s="6">
        <f>表1[[#This Row],[销售金额]]-表1[[#This Row],[退款金额]]</f>
        <v>291.31789232560004</v>
      </c>
      <c r="K1481" s="1">
        <v>532</v>
      </c>
      <c r="L1481" s="1">
        <v>207</v>
      </c>
    </row>
    <row r="1482" spans="1:12" x14ac:dyDescent="0.3">
      <c r="A1482" s="2">
        <v>45924</v>
      </c>
      <c r="B1482" s="1" t="s">
        <v>248</v>
      </c>
      <c r="C1482" s="1" t="s">
        <v>10</v>
      </c>
      <c r="D1482" s="1" t="s">
        <v>98</v>
      </c>
      <c r="E1482" s="1" t="s">
        <v>8</v>
      </c>
      <c r="F1482" s="1" t="s">
        <v>9</v>
      </c>
      <c r="G1482" s="4">
        <v>6</v>
      </c>
      <c r="H1482" s="4">
        <v>21766</v>
      </c>
      <c r="I1482" s="6">
        <v>21673.407195145941</v>
      </c>
      <c r="J1482" s="6">
        <f>表1[[#This Row],[销售金额]]-表1[[#This Row],[退款金额]]</f>
        <v>92.592804854059068</v>
      </c>
      <c r="K1482" s="1">
        <v>870</v>
      </c>
      <c r="L1482" s="1">
        <v>129</v>
      </c>
    </row>
    <row r="1483" spans="1:12" x14ac:dyDescent="0.3">
      <c r="A1483" s="2">
        <v>45924</v>
      </c>
      <c r="B1483" s="1" t="s">
        <v>11</v>
      </c>
      <c r="C1483" s="1" t="s">
        <v>10</v>
      </c>
      <c r="D1483" s="1" t="s">
        <v>85</v>
      </c>
      <c r="E1483" s="1" t="s">
        <v>8</v>
      </c>
      <c r="F1483" s="1" t="s">
        <v>9</v>
      </c>
      <c r="G1483" s="4">
        <v>6</v>
      </c>
      <c r="H1483" s="4">
        <v>9080</v>
      </c>
      <c r="I1483" s="6">
        <v>8390.6821076744</v>
      </c>
      <c r="J1483" s="6">
        <f>表1[[#This Row],[销售金额]]-表1[[#This Row],[退款金额]]</f>
        <v>689.31789232560004</v>
      </c>
      <c r="K1483" s="1">
        <v>532</v>
      </c>
      <c r="L1483" s="1">
        <v>207</v>
      </c>
    </row>
    <row r="1484" spans="1:12" x14ac:dyDescent="0.3">
      <c r="A1484" s="2">
        <v>45924</v>
      </c>
      <c r="B1484" s="1" t="s">
        <v>248</v>
      </c>
      <c r="C1484" s="1" t="s">
        <v>10</v>
      </c>
      <c r="D1484" s="1" t="s">
        <v>98</v>
      </c>
      <c r="E1484" s="1" t="s">
        <v>8</v>
      </c>
      <c r="F1484" s="1" t="s">
        <v>9</v>
      </c>
      <c r="G1484" s="4">
        <v>6</v>
      </c>
      <c r="H1484" s="4">
        <v>25556</v>
      </c>
      <c r="I1484" s="6">
        <v>21673.407195145941</v>
      </c>
      <c r="J1484" s="6">
        <f>表1[[#This Row],[销售金额]]-表1[[#This Row],[退款金额]]</f>
        <v>3882.5928048540591</v>
      </c>
      <c r="K1484" s="1">
        <v>870</v>
      </c>
      <c r="L1484" s="1">
        <v>129</v>
      </c>
    </row>
    <row r="1485" spans="1:12" x14ac:dyDescent="0.3">
      <c r="A1485" s="2">
        <v>45924</v>
      </c>
      <c r="B1485" s="1" t="s">
        <v>11</v>
      </c>
      <c r="C1485" s="1" t="s">
        <v>10</v>
      </c>
      <c r="D1485" s="1" t="s">
        <v>85</v>
      </c>
      <c r="E1485" s="1" t="s">
        <v>8</v>
      </c>
      <c r="F1485" s="1" t="s">
        <v>9</v>
      </c>
      <c r="G1485" s="4">
        <v>6</v>
      </c>
      <c r="H1485" s="4">
        <v>12903</v>
      </c>
      <c r="I1485" s="6">
        <v>8390.6821076744</v>
      </c>
      <c r="J1485" s="6">
        <f>表1[[#This Row],[销售金额]]-表1[[#This Row],[退款金额]]</f>
        <v>4512.3178923256</v>
      </c>
      <c r="K1485" s="1">
        <v>532</v>
      </c>
      <c r="L1485" s="1">
        <v>207</v>
      </c>
    </row>
    <row r="1486" spans="1:12" x14ac:dyDescent="0.3">
      <c r="A1486" s="2">
        <v>45924</v>
      </c>
      <c r="B1486" s="1" t="s">
        <v>248</v>
      </c>
      <c r="C1486" s="1" t="s">
        <v>10</v>
      </c>
      <c r="D1486" s="1" t="s">
        <v>98</v>
      </c>
      <c r="E1486" s="1" t="s">
        <v>8</v>
      </c>
      <c r="F1486" s="1" t="s">
        <v>9</v>
      </c>
      <c r="G1486" s="4">
        <v>6</v>
      </c>
      <c r="H1486" s="4">
        <v>23705</v>
      </c>
      <c r="I1486" s="6">
        <v>21673.407195145941</v>
      </c>
      <c r="J1486" s="6">
        <f>表1[[#This Row],[销售金额]]-表1[[#This Row],[退款金额]]</f>
        <v>2031.5928048540591</v>
      </c>
      <c r="K1486" s="1">
        <v>870</v>
      </c>
      <c r="L1486" s="1">
        <v>129</v>
      </c>
    </row>
    <row r="1487" spans="1:12" x14ac:dyDescent="0.3">
      <c r="A1487" s="2">
        <v>45924</v>
      </c>
      <c r="B1487" s="1" t="s">
        <v>11</v>
      </c>
      <c r="C1487" s="1" t="s">
        <v>10</v>
      </c>
      <c r="D1487" s="1" t="s">
        <v>85</v>
      </c>
      <c r="E1487" s="1" t="s">
        <v>8</v>
      </c>
      <c r="F1487" s="1" t="s">
        <v>9</v>
      </c>
      <c r="G1487" s="4">
        <v>6</v>
      </c>
      <c r="H1487" s="4">
        <v>10490</v>
      </c>
      <c r="I1487" s="6">
        <v>8390.6821076744</v>
      </c>
      <c r="J1487" s="6">
        <f>表1[[#This Row],[销售金额]]-表1[[#This Row],[退款金额]]</f>
        <v>2099.3178923256</v>
      </c>
      <c r="K1487" s="1">
        <v>532</v>
      </c>
      <c r="L1487" s="1">
        <v>207</v>
      </c>
    </row>
    <row r="1488" spans="1:12" x14ac:dyDescent="0.3">
      <c r="A1488" s="2">
        <v>45924</v>
      </c>
      <c r="B1488" s="1" t="s">
        <v>248</v>
      </c>
      <c r="C1488" s="1" t="s">
        <v>10</v>
      </c>
      <c r="D1488" s="1" t="s">
        <v>98</v>
      </c>
      <c r="E1488" s="1" t="s">
        <v>8</v>
      </c>
      <c r="F1488" s="1" t="s">
        <v>9</v>
      </c>
      <c r="G1488" s="4">
        <v>6</v>
      </c>
      <c r="H1488" s="4">
        <v>24905</v>
      </c>
      <c r="I1488" s="6">
        <v>21673.407195145941</v>
      </c>
      <c r="J1488" s="6">
        <f>表1[[#This Row],[销售金额]]-表1[[#This Row],[退款金额]]</f>
        <v>3231.5928048540591</v>
      </c>
      <c r="K1488" s="1">
        <v>870</v>
      </c>
      <c r="L1488" s="1">
        <v>129</v>
      </c>
    </row>
    <row r="1489" spans="1:12" x14ac:dyDescent="0.3">
      <c r="A1489" s="2">
        <v>45924</v>
      </c>
      <c r="B1489" s="1" t="s">
        <v>11</v>
      </c>
      <c r="C1489" s="1" t="s">
        <v>10</v>
      </c>
      <c r="D1489" s="1" t="s">
        <v>85</v>
      </c>
      <c r="E1489" s="1" t="s">
        <v>8</v>
      </c>
      <c r="F1489" s="1" t="s">
        <v>9</v>
      </c>
      <c r="G1489" s="4">
        <v>6</v>
      </c>
      <c r="H1489" s="4">
        <v>12504</v>
      </c>
      <c r="I1489" s="6">
        <v>8390.6821076744</v>
      </c>
      <c r="J1489" s="6">
        <f>表1[[#This Row],[销售金额]]-表1[[#This Row],[退款金额]]</f>
        <v>4113.3178923256</v>
      </c>
      <c r="K1489" s="1">
        <v>532</v>
      </c>
      <c r="L1489" s="1">
        <v>207</v>
      </c>
    </row>
    <row r="1490" spans="1:12" x14ac:dyDescent="0.3">
      <c r="A1490" s="2">
        <v>45924</v>
      </c>
      <c r="B1490" s="1" t="s">
        <v>248</v>
      </c>
      <c r="C1490" s="1" t="s">
        <v>10</v>
      </c>
      <c r="D1490" s="1" t="s">
        <v>98</v>
      </c>
      <c r="E1490" s="1" t="s">
        <v>8</v>
      </c>
      <c r="F1490" s="1" t="s">
        <v>9</v>
      </c>
      <c r="G1490" s="4">
        <v>6</v>
      </c>
      <c r="H1490" s="4">
        <v>22279</v>
      </c>
      <c r="I1490" s="6">
        <v>21673.407195145941</v>
      </c>
      <c r="J1490" s="6">
        <f>表1[[#This Row],[销售金额]]-表1[[#This Row],[退款金额]]</f>
        <v>605.59280485405907</v>
      </c>
      <c r="K1490" s="1">
        <v>870</v>
      </c>
      <c r="L1490" s="1">
        <v>129</v>
      </c>
    </row>
    <row r="1491" spans="1:12" x14ac:dyDescent="0.3">
      <c r="A1491" s="2">
        <v>45924</v>
      </c>
      <c r="B1491" s="1" t="s">
        <v>11</v>
      </c>
      <c r="C1491" s="1" t="s">
        <v>10</v>
      </c>
      <c r="D1491" s="1" t="s">
        <v>85</v>
      </c>
      <c r="E1491" s="1" t="s">
        <v>8</v>
      </c>
      <c r="F1491" s="1" t="s">
        <v>9</v>
      </c>
      <c r="G1491" s="4">
        <v>6</v>
      </c>
      <c r="H1491" s="4">
        <v>12593</v>
      </c>
      <c r="I1491" s="6">
        <v>8390.6821076744</v>
      </c>
      <c r="J1491" s="6">
        <f>表1[[#This Row],[销售金额]]-表1[[#This Row],[退款金额]]</f>
        <v>4202.3178923256</v>
      </c>
      <c r="K1491" s="1">
        <v>532</v>
      </c>
      <c r="L1491" s="1">
        <v>207</v>
      </c>
    </row>
    <row r="1492" spans="1:12" x14ac:dyDescent="0.3">
      <c r="A1492" s="2">
        <v>45924</v>
      </c>
      <c r="B1492" s="1" t="s">
        <v>248</v>
      </c>
      <c r="C1492" s="1" t="s">
        <v>10</v>
      </c>
      <c r="D1492" s="1" t="s">
        <v>98</v>
      </c>
      <c r="E1492" s="1" t="s">
        <v>8</v>
      </c>
      <c r="F1492" s="1" t="s">
        <v>9</v>
      </c>
      <c r="G1492" s="4">
        <v>6</v>
      </c>
      <c r="H1492" s="4">
        <v>21837</v>
      </c>
      <c r="I1492" s="6">
        <v>21673.407195145941</v>
      </c>
      <c r="J1492" s="6">
        <f>表1[[#This Row],[销售金额]]-表1[[#This Row],[退款金额]]</f>
        <v>163.59280485405907</v>
      </c>
      <c r="K1492" s="1">
        <v>870</v>
      </c>
      <c r="L1492" s="1">
        <v>129</v>
      </c>
    </row>
    <row r="1493" spans="1:12" x14ac:dyDescent="0.3">
      <c r="A1493" s="2">
        <v>45924</v>
      </c>
      <c r="B1493" s="1" t="s">
        <v>11</v>
      </c>
      <c r="C1493" s="1" t="s">
        <v>10</v>
      </c>
      <c r="D1493" s="1" t="s">
        <v>85</v>
      </c>
      <c r="E1493" s="1" t="s">
        <v>8</v>
      </c>
      <c r="F1493" s="1" t="s">
        <v>9</v>
      </c>
      <c r="G1493" s="4">
        <v>6</v>
      </c>
      <c r="H1493" s="4">
        <v>8942</v>
      </c>
      <c r="I1493" s="6">
        <v>8390.6821076744</v>
      </c>
      <c r="J1493" s="6">
        <f>表1[[#This Row],[销售金额]]-表1[[#This Row],[退款金额]]</f>
        <v>551.31789232560004</v>
      </c>
      <c r="K1493" s="1">
        <v>532</v>
      </c>
      <c r="L1493" s="1">
        <v>207</v>
      </c>
    </row>
    <row r="1494" spans="1:12" x14ac:dyDescent="0.3">
      <c r="A1494" s="2">
        <v>45924</v>
      </c>
      <c r="B1494" s="1" t="s">
        <v>248</v>
      </c>
      <c r="C1494" s="1" t="s">
        <v>10</v>
      </c>
      <c r="D1494" s="1" t="s">
        <v>98</v>
      </c>
      <c r="E1494" s="1" t="s">
        <v>8</v>
      </c>
      <c r="F1494" s="1" t="s">
        <v>9</v>
      </c>
      <c r="G1494" s="4">
        <v>6</v>
      </c>
      <c r="H1494" s="4">
        <v>25275</v>
      </c>
      <c r="I1494" s="6">
        <v>21673.407195145941</v>
      </c>
      <c r="J1494" s="6">
        <f>表1[[#This Row],[销售金额]]-表1[[#This Row],[退款金额]]</f>
        <v>3601.5928048540591</v>
      </c>
      <c r="K1494" s="1">
        <v>870</v>
      </c>
      <c r="L1494" s="1">
        <v>129</v>
      </c>
    </row>
    <row r="1495" spans="1:12" x14ac:dyDescent="0.3">
      <c r="A1495" s="2">
        <v>45924</v>
      </c>
      <c r="B1495" s="1" t="s">
        <v>11</v>
      </c>
      <c r="C1495" s="1" t="s">
        <v>10</v>
      </c>
      <c r="D1495" s="1" t="s">
        <v>85</v>
      </c>
      <c r="E1495" s="1" t="s">
        <v>8</v>
      </c>
      <c r="F1495" s="1" t="s">
        <v>9</v>
      </c>
      <c r="G1495" s="4">
        <v>6</v>
      </c>
      <c r="H1495" s="4">
        <v>8757</v>
      </c>
      <c r="I1495" s="6">
        <v>8390.6821076744</v>
      </c>
      <c r="J1495" s="6">
        <f>表1[[#This Row],[销售金额]]-表1[[#This Row],[退款金额]]</f>
        <v>366.31789232560004</v>
      </c>
      <c r="K1495" s="1">
        <v>532</v>
      </c>
      <c r="L1495" s="1">
        <v>207</v>
      </c>
    </row>
    <row r="1496" spans="1:12" x14ac:dyDescent="0.3">
      <c r="A1496" s="2">
        <v>45924</v>
      </c>
      <c r="B1496" s="1" t="s">
        <v>248</v>
      </c>
      <c r="C1496" s="1" t="s">
        <v>10</v>
      </c>
      <c r="D1496" s="1" t="s">
        <v>98</v>
      </c>
      <c r="E1496" s="1" t="s">
        <v>8</v>
      </c>
      <c r="F1496" s="1" t="s">
        <v>9</v>
      </c>
      <c r="G1496" s="4">
        <v>6</v>
      </c>
      <c r="H1496" s="4">
        <v>22139</v>
      </c>
      <c r="I1496" s="6">
        <v>21673.407195145941</v>
      </c>
      <c r="J1496" s="6">
        <f>表1[[#This Row],[销售金额]]-表1[[#This Row],[退款金额]]</f>
        <v>465.59280485405907</v>
      </c>
      <c r="K1496" s="1">
        <v>870</v>
      </c>
      <c r="L1496" s="1">
        <v>129</v>
      </c>
    </row>
    <row r="1497" spans="1:12" x14ac:dyDescent="0.3">
      <c r="A1497" s="2">
        <v>45924</v>
      </c>
      <c r="B1497" s="1" t="s">
        <v>11</v>
      </c>
      <c r="C1497" s="1" t="s">
        <v>10</v>
      </c>
      <c r="D1497" s="1" t="s">
        <v>85</v>
      </c>
      <c r="E1497" s="1" t="s">
        <v>8</v>
      </c>
      <c r="F1497" s="1" t="s">
        <v>9</v>
      </c>
      <c r="G1497" s="4">
        <v>6</v>
      </c>
      <c r="H1497" s="4">
        <v>9732</v>
      </c>
      <c r="I1497" s="6">
        <v>8390.6821076744</v>
      </c>
      <c r="J1497" s="6">
        <f>表1[[#This Row],[销售金额]]-表1[[#This Row],[退款金额]]</f>
        <v>1341.3178923256</v>
      </c>
      <c r="K1497" s="1">
        <v>532</v>
      </c>
      <c r="L1497" s="1">
        <v>207</v>
      </c>
    </row>
    <row r="1498" spans="1:12" x14ac:dyDescent="0.3">
      <c r="A1498" s="2">
        <v>45924</v>
      </c>
      <c r="B1498" s="1" t="s">
        <v>248</v>
      </c>
      <c r="C1498" s="1" t="s">
        <v>10</v>
      </c>
      <c r="D1498" s="1" t="s">
        <v>98</v>
      </c>
      <c r="E1498" s="1" t="s">
        <v>8</v>
      </c>
      <c r="F1498" s="1" t="s">
        <v>9</v>
      </c>
      <c r="G1498" s="4">
        <v>6</v>
      </c>
      <c r="H1498" s="4">
        <v>22165</v>
      </c>
      <c r="I1498" s="6">
        <v>21673.407195145941</v>
      </c>
      <c r="J1498" s="6">
        <f>表1[[#This Row],[销售金额]]-表1[[#This Row],[退款金额]]</f>
        <v>491.59280485405907</v>
      </c>
      <c r="K1498" s="1">
        <v>870</v>
      </c>
      <c r="L1498" s="1">
        <v>129</v>
      </c>
    </row>
    <row r="1499" spans="1:12" x14ac:dyDescent="0.3">
      <c r="A1499" s="2">
        <v>45924</v>
      </c>
      <c r="B1499" s="1" t="s">
        <v>11</v>
      </c>
      <c r="C1499" s="1" t="s">
        <v>10</v>
      </c>
      <c r="D1499" s="1" t="s">
        <v>85</v>
      </c>
      <c r="E1499" s="1" t="s">
        <v>8</v>
      </c>
      <c r="F1499" s="1" t="s">
        <v>9</v>
      </c>
      <c r="G1499" s="4">
        <v>6</v>
      </c>
      <c r="H1499" s="4">
        <v>11132</v>
      </c>
      <c r="I1499" s="6">
        <v>8390.6821076744</v>
      </c>
      <c r="J1499" s="6">
        <f>表1[[#This Row],[销售金额]]-表1[[#This Row],[退款金额]]</f>
        <v>2741.3178923256</v>
      </c>
      <c r="K1499" s="1">
        <v>532</v>
      </c>
      <c r="L1499" s="1">
        <v>207</v>
      </c>
    </row>
    <row r="1500" spans="1:12" x14ac:dyDescent="0.3">
      <c r="A1500" s="2">
        <v>45924</v>
      </c>
      <c r="B1500" s="1" t="s">
        <v>248</v>
      </c>
      <c r="C1500" s="1" t="s">
        <v>10</v>
      </c>
      <c r="D1500" s="1" t="s">
        <v>98</v>
      </c>
      <c r="E1500" s="1" t="s">
        <v>8</v>
      </c>
      <c r="F1500" s="1" t="s">
        <v>9</v>
      </c>
      <c r="G1500" s="4">
        <v>6</v>
      </c>
      <c r="H1500" s="4">
        <v>26038</v>
      </c>
      <c r="I1500" s="6">
        <v>21673.407195145941</v>
      </c>
      <c r="J1500" s="6">
        <f>表1[[#This Row],[销售金额]]-表1[[#This Row],[退款金额]]</f>
        <v>4364.5928048540591</v>
      </c>
      <c r="K1500" s="1">
        <v>870</v>
      </c>
      <c r="L1500" s="1">
        <v>129</v>
      </c>
    </row>
    <row r="1501" spans="1:12" x14ac:dyDescent="0.3">
      <c r="A1501" s="2">
        <v>45924</v>
      </c>
      <c r="B1501" s="1" t="s">
        <v>11</v>
      </c>
      <c r="C1501" s="1" t="s">
        <v>10</v>
      </c>
      <c r="D1501" s="1" t="s">
        <v>85</v>
      </c>
      <c r="E1501" s="1" t="s">
        <v>8</v>
      </c>
      <c r="F1501" s="1" t="s">
        <v>9</v>
      </c>
      <c r="G1501" s="4">
        <v>6</v>
      </c>
      <c r="H1501" s="4">
        <v>12542</v>
      </c>
      <c r="I1501" s="6">
        <v>8390.6821076744</v>
      </c>
      <c r="J1501" s="6">
        <f>表1[[#This Row],[销售金额]]-表1[[#This Row],[退款金额]]</f>
        <v>4151.3178923256</v>
      </c>
      <c r="K1501" s="1">
        <v>532</v>
      </c>
      <c r="L1501" s="1">
        <v>207</v>
      </c>
    </row>
    <row r="1502" spans="1:12" x14ac:dyDescent="0.3">
      <c r="A1502" s="2">
        <v>45924</v>
      </c>
      <c r="B1502" s="1" t="s">
        <v>248</v>
      </c>
      <c r="C1502" s="1" t="s">
        <v>10</v>
      </c>
      <c r="D1502" s="1" t="s">
        <v>98</v>
      </c>
      <c r="E1502" s="1" t="s">
        <v>8</v>
      </c>
      <c r="F1502" s="1" t="s">
        <v>9</v>
      </c>
      <c r="G1502" s="4">
        <v>6</v>
      </c>
      <c r="H1502" s="4">
        <v>23030</v>
      </c>
      <c r="I1502" s="6">
        <v>21673.407195145941</v>
      </c>
      <c r="J1502" s="6">
        <f>表1[[#This Row],[销售金额]]-表1[[#This Row],[退款金额]]</f>
        <v>1356.5928048540591</v>
      </c>
      <c r="K1502" s="1">
        <v>870</v>
      </c>
      <c r="L1502" s="1">
        <v>129</v>
      </c>
    </row>
    <row r="1503" spans="1:12" x14ac:dyDescent="0.3">
      <c r="A1503" s="2">
        <v>45924</v>
      </c>
      <c r="B1503" s="1" t="s">
        <v>11</v>
      </c>
      <c r="C1503" s="1" t="s">
        <v>19</v>
      </c>
      <c r="D1503" s="1" t="s">
        <v>106</v>
      </c>
      <c r="E1503" s="1" t="s">
        <v>17</v>
      </c>
      <c r="F1503" s="1" t="s">
        <v>18</v>
      </c>
      <c r="G1503" s="4">
        <v>11</v>
      </c>
      <c r="H1503" s="4">
        <v>3595</v>
      </c>
      <c r="I1503" s="6">
        <v>3292.1533027772498</v>
      </c>
      <c r="J1503" s="6">
        <f>表1[[#This Row],[销售金额]]-表1[[#This Row],[退款金额]]</f>
        <v>302.84669722275021</v>
      </c>
      <c r="K1503" s="1">
        <v>482</v>
      </c>
      <c r="L1503" s="1">
        <v>739</v>
      </c>
    </row>
    <row r="1504" spans="1:12" x14ac:dyDescent="0.3">
      <c r="A1504" s="2">
        <v>45924</v>
      </c>
      <c r="B1504" s="1" t="s">
        <v>11</v>
      </c>
      <c r="C1504" s="1" t="s">
        <v>19</v>
      </c>
      <c r="D1504" s="1" t="s">
        <v>106</v>
      </c>
      <c r="E1504" s="1" t="s">
        <v>17</v>
      </c>
      <c r="F1504" s="1" t="s">
        <v>18</v>
      </c>
      <c r="G1504" s="4">
        <v>11</v>
      </c>
      <c r="H1504" s="4">
        <v>3884</v>
      </c>
      <c r="I1504" s="6">
        <v>3292.1533027772498</v>
      </c>
      <c r="J1504" s="6">
        <f>表1[[#This Row],[销售金额]]-表1[[#This Row],[退款金额]]</f>
        <v>591.84669722275021</v>
      </c>
      <c r="K1504" s="1">
        <v>482</v>
      </c>
      <c r="L1504" s="1">
        <v>739</v>
      </c>
    </row>
    <row r="1505" spans="1:12" x14ac:dyDescent="0.3">
      <c r="A1505" s="2">
        <v>45924</v>
      </c>
      <c r="B1505" s="1" t="s">
        <v>11</v>
      </c>
      <c r="C1505" s="1" t="s">
        <v>19</v>
      </c>
      <c r="D1505" s="1" t="s">
        <v>106</v>
      </c>
      <c r="E1505" s="1" t="s">
        <v>17</v>
      </c>
      <c r="F1505" s="1" t="s">
        <v>18</v>
      </c>
      <c r="G1505" s="4">
        <v>11</v>
      </c>
      <c r="H1505" s="4">
        <v>4585</v>
      </c>
      <c r="I1505" s="6">
        <v>3292.1533027772498</v>
      </c>
      <c r="J1505" s="6">
        <f>表1[[#This Row],[销售金额]]-表1[[#This Row],[退款金额]]</f>
        <v>1292.8466972227502</v>
      </c>
      <c r="K1505" s="1">
        <v>482</v>
      </c>
      <c r="L1505" s="1">
        <v>739</v>
      </c>
    </row>
    <row r="1506" spans="1:12" x14ac:dyDescent="0.3">
      <c r="A1506" s="2">
        <v>45924</v>
      </c>
      <c r="B1506" s="1" t="s">
        <v>11</v>
      </c>
      <c r="C1506" s="1" t="s">
        <v>19</v>
      </c>
      <c r="D1506" s="1" t="s">
        <v>106</v>
      </c>
      <c r="E1506" s="1" t="s">
        <v>17</v>
      </c>
      <c r="F1506" s="1" t="s">
        <v>18</v>
      </c>
      <c r="G1506" s="4">
        <v>11</v>
      </c>
      <c r="H1506" s="4">
        <v>4157</v>
      </c>
      <c r="I1506" s="6">
        <v>3292.1533027772498</v>
      </c>
      <c r="J1506" s="6">
        <f>表1[[#This Row],[销售金额]]-表1[[#This Row],[退款金额]]</f>
        <v>864.84669722275021</v>
      </c>
      <c r="K1506" s="1">
        <v>482</v>
      </c>
      <c r="L1506" s="1">
        <v>739</v>
      </c>
    </row>
    <row r="1507" spans="1:12" x14ac:dyDescent="0.3">
      <c r="A1507" s="2">
        <v>45924</v>
      </c>
      <c r="B1507" s="1" t="s">
        <v>11</v>
      </c>
      <c r="C1507" s="1" t="s">
        <v>19</v>
      </c>
      <c r="D1507" s="1" t="s">
        <v>106</v>
      </c>
      <c r="E1507" s="1" t="s">
        <v>17</v>
      </c>
      <c r="F1507" s="1" t="s">
        <v>18</v>
      </c>
      <c r="G1507" s="4">
        <v>11</v>
      </c>
      <c r="H1507" s="4">
        <v>7404</v>
      </c>
      <c r="I1507" s="6">
        <v>3292.1533027772498</v>
      </c>
      <c r="J1507" s="6">
        <f>表1[[#This Row],[销售金额]]-表1[[#This Row],[退款金额]]</f>
        <v>4111.8466972227507</v>
      </c>
      <c r="K1507" s="1">
        <v>482</v>
      </c>
      <c r="L1507" s="1">
        <v>739</v>
      </c>
    </row>
    <row r="1508" spans="1:12" x14ac:dyDescent="0.3">
      <c r="A1508" s="2">
        <v>45924</v>
      </c>
      <c r="B1508" s="1" t="s">
        <v>11</v>
      </c>
      <c r="C1508" s="1" t="s">
        <v>19</v>
      </c>
      <c r="D1508" s="1" t="s">
        <v>106</v>
      </c>
      <c r="E1508" s="1" t="s">
        <v>17</v>
      </c>
      <c r="F1508" s="1" t="s">
        <v>18</v>
      </c>
      <c r="G1508" s="4">
        <v>11</v>
      </c>
      <c r="H1508" s="4">
        <v>4573</v>
      </c>
      <c r="I1508" s="6">
        <v>3292.1533027772498</v>
      </c>
      <c r="J1508" s="6">
        <f>表1[[#This Row],[销售金额]]-表1[[#This Row],[退款金额]]</f>
        <v>1280.8466972227502</v>
      </c>
      <c r="K1508" s="1">
        <v>482</v>
      </c>
      <c r="L1508" s="1">
        <v>739</v>
      </c>
    </row>
    <row r="1509" spans="1:12" x14ac:dyDescent="0.3">
      <c r="A1509" s="2">
        <v>45924</v>
      </c>
      <c r="B1509" s="1" t="s">
        <v>11</v>
      </c>
      <c r="C1509" s="1" t="s">
        <v>19</v>
      </c>
      <c r="D1509" s="1" t="s">
        <v>106</v>
      </c>
      <c r="E1509" s="1" t="s">
        <v>17</v>
      </c>
      <c r="F1509" s="1" t="s">
        <v>18</v>
      </c>
      <c r="G1509" s="4">
        <v>11</v>
      </c>
      <c r="H1509" s="4">
        <v>5113</v>
      </c>
      <c r="I1509" s="6">
        <v>3292.1533027772498</v>
      </c>
      <c r="J1509" s="6">
        <f>表1[[#This Row],[销售金额]]-表1[[#This Row],[退款金额]]</f>
        <v>1820.8466972227502</v>
      </c>
      <c r="K1509" s="1">
        <v>482</v>
      </c>
      <c r="L1509" s="1">
        <v>739</v>
      </c>
    </row>
    <row r="1510" spans="1:12" x14ac:dyDescent="0.3">
      <c r="A1510" s="2">
        <v>45924</v>
      </c>
      <c r="B1510" s="1" t="s">
        <v>11</v>
      </c>
      <c r="C1510" s="1" t="s">
        <v>19</v>
      </c>
      <c r="D1510" s="1" t="s">
        <v>106</v>
      </c>
      <c r="E1510" s="1" t="s">
        <v>17</v>
      </c>
      <c r="F1510" s="1" t="s">
        <v>18</v>
      </c>
      <c r="G1510" s="4">
        <v>11</v>
      </c>
      <c r="H1510" s="4">
        <v>3505</v>
      </c>
      <c r="I1510" s="6">
        <v>3292.1533027772498</v>
      </c>
      <c r="J1510" s="6">
        <f>表1[[#This Row],[销售金额]]-表1[[#This Row],[退款金额]]</f>
        <v>212.84669722275021</v>
      </c>
      <c r="K1510" s="1">
        <v>482</v>
      </c>
      <c r="L1510" s="1">
        <v>739</v>
      </c>
    </row>
    <row r="1511" spans="1:12" x14ac:dyDescent="0.3">
      <c r="A1511" s="2">
        <v>45924</v>
      </c>
      <c r="B1511" s="1" t="s">
        <v>11</v>
      </c>
      <c r="C1511" s="1" t="s">
        <v>19</v>
      </c>
      <c r="D1511" s="1" t="s">
        <v>106</v>
      </c>
      <c r="E1511" s="1" t="s">
        <v>17</v>
      </c>
      <c r="F1511" s="1" t="s">
        <v>18</v>
      </c>
      <c r="G1511" s="4">
        <v>11</v>
      </c>
      <c r="H1511" s="4">
        <v>4898</v>
      </c>
      <c r="I1511" s="6">
        <v>3292.1533027772498</v>
      </c>
      <c r="J1511" s="6">
        <f>表1[[#This Row],[销售金额]]-表1[[#This Row],[退款金额]]</f>
        <v>1605.8466972227502</v>
      </c>
      <c r="K1511" s="1">
        <v>482</v>
      </c>
      <c r="L1511" s="1">
        <v>739</v>
      </c>
    </row>
    <row r="1512" spans="1:12" x14ac:dyDescent="0.3">
      <c r="A1512" s="2">
        <v>45924</v>
      </c>
      <c r="B1512" s="1" t="s">
        <v>248</v>
      </c>
      <c r="C1512" s="1" t="s">
        <v>19</v>
      </c>
      <c r="D1512" s="1" t="s">
        <v>94</v>
      </c>
      <c r="E1512" s="1" t="s">
        <v>27</v>
      </c>
      <c r="F1512" s="1" t="s">
        <v>28</v>
      </c>
      <c r="G1512" s="4">
        <v>13</v>
      </c>
      <c r="H1512" s="4">
        <v>4870</v>
      </c>
      <c r="I1512" s="6">
        <v>1807.8994678554859</v>
      </c>
      <c r="J1512" s="6">
        <f>表1[[#This Row],[销售金额]]-表1[[#This Row],[退款金额]]</f>
        <v>3062.1005321445141</v>
      </c>
      <c r="K1512" s="1">
        <v>456</v>
      </c>
      <c r="L1512" s="1">
        <v>857</v>
      </c>
    </row>
    <row r="1513" spans="1:12" x14ac:dyDescent="0.3">
      <c r="A1513" s="2">
        <v>45924</v>
      </c>
      <c r="B1513" s="1" t="s">
        <v>248</v>
      </c>
      <c r="C1513" s="1" t="s">
        <v>19</v>
      </c>
      <c r="D1513" s="1" t="s">
        <v>94</v>
      </c>
      <c r="E1513" s="1" t="s">
        <v>27</v>
      </c>
      <c r="F1513" s="1" t="s">
        <v>28</v>
      </c>
      <c r="G1513" s="4">
        <v>13</v>
      </c>
      <c r="H1513" s="4">
        <v>3502</v>
      </c>
      <c r="I1513" s="6">
        <v>1807.8994678554859</v>
      </c>
      <c r="J1513" s="6">
        <f>表1[[#This Row],[销售金额]]-表1[[#This Row],[退款金额]]</f>
        <v>1694.1005321445141</v>
      </c>
      <c r="K1513" s="1">
        <v>456</v>
      </c>
      <c r="L1513" s="1">
        <v>857</v>
      </c>
    </row>
    <row r="1514" spans="1:12" x14ac:dyDescent="0.3">
      <c r="A1514" s="2">
        <v>45924</v>
      </c>
      <c r="B1514" s="1" t="s">
        <v>248</v>
      </c>
      <c r="C1514" s="1" t="s">
        <v>19</v>
      </c>
      <c r="D1514" s="1" t="s">
        <v>94</v>
      </c>
      <c r="E1514" s="1" t="s">
        <v>27</v>
      </c>
      <c r="F1514" s="1" t="s">
        <v>28</v>
      </c>
      <c r="G1514" s="4">
        <v>13</v>
      </c>
      <c r="H1514" s="4">
        <v>3640</v>
      </c>
      <c r="I1514" s="6">
        <v>1807.8994678554859</v>
      </c>
      <c r="J1514" s="6">
        <f>表1[[#This Row],[销售金额]]-表1[[#This Row],[退款金额]]</f>
        <v>1832.1005321445141</v>
      </c>
      <c r="K1514" s="1">
        <v>456</v>
      </c>
      <c r="L1514" s="1">
        <v>857</v>
      </c>
    </row>
    <row r="1515" spans="1:12" x14ac:dyDescent="0.3">
      <c r="A1515" s="2">
        <v>45924</v>
      </c>
      <c r="B1515" s="1" t="s">
        <v>248</v>
      </c>
      <c r="C1515" s="1" t="s">
        <v>19</v>
      </c>
      <c r="D1515" s="1" t="s">
        <v>94</v>
      </c>
      <c r="E1515" s="1" t="s">
        <v>27</v>
      </c>
      <c r="F1515" s="1" t="s">
        <v>28</v>
      </c>
      <c r="G1515" s="4">
        <v>13</v>
      </c>
      <c r="H1515" s="4">
        <v>6521</v>
      </c>
      <c r="I1515" s="6">
        <v>1807.8994678554859</v>
      </c>
      <c r="J1515" s="6">
        <f>表1[[#This Row],[销售金额]]-表1[[#This Row],[退款金额]]</f>
        <v>4713.1005321445136</v>
      </c>
      <c r="K1515" s="1">
        <v>456</v>
      </c>
      <c r="L1515" s="1">
        <v>857</v>
      </c>
    </row>
    <row r="1516" spans="1:12" x14ac:dyDescent="0.3">
      <c r="A1516" s="2">
        <v>45924</v>
      </c>
      <c r="B1516" s="1" t="s">
        <v>248</v>
      </c>
      <c r="C1516" s="1" t="s">
        <v>19</v>
      </c>
      <c r="D1516" s="1" t="s">
        <v>94</v>
      </c>
      <c r="E1516" s="1" t="s">
        <v>27</v>
      </c>
      <c r="F1516" s="1" t="s">
        <v>28</v>
      </c>
      <c r="G1516" s="4">
        <v>13</v>
      </c>
      <c r="H1516" s="4">
        <v>2612</v>
      </c>
      <c r="I1516" s="6">
        <v>1807.8994678554859</v>
      </c>
      <c r="J1516" s="6">
        <f>表1[[#This Row],[销售金额]]-表1[[#This Row],[退款金额]]</f>
        <v>804.10053214451409</v>
      </c>
      <c r="K1516" s="1">
        <v>456</v>
      </c>
      <c r="L1516" s="1">
        <v>857</v>
      </c>
    </row>
    <row r="1517" spans="1:12" x14ac:dyDescent="0.3">
      <c r="A1517" s="2">
        <v>45924</v>
      </c>
      <c r="B1517" s="1" t="s">
        <v>248</v>
      </c>
      <c r="C1517" s="1" t="s">
        <v>19</v>
      </c>
      <c r="D1517" s="1" t="s">
        <v>94</v>
      </c>
      <c r="E1517" s="1" t="s">
        <v>27</v>
      </c>
      <c r="F1517" s="1" t="s">
        <v>28</v>
      </c>
      <c r="G1517" s="4">
        <v>13</v>
      </c>
      <c r="H1517" s="4">
        <v>5629</v>
      </c>
      <c r="I1517" s="6">
        <v>1807.8994678554859</v>
      </c>
      <c r="J1517" s="6">
        <f>表1[[#This Row],[销售金额]]-表1[[#This Row],[退款金额]]</f>
        <v>3821.1005321445141</v>
      </c>
      <c r="K1517" s="1">
        <v>456</v>
      </c>
      <c r="L1517" s="1">
        <v>857</v>
      </c>
    </row>
    <row r="1518" spans="1:12" x14ac:dyDescent="0.3">
      <c r="A1518" s="2">
        <v>45924</v>
      </c>
      <c r="B1518" s="1" t="s">
        <v>248</v>
      </c>
      <c r="C1518" s="1" t="s">
        <v>19</v>
      </c>
      <c r="D1518" s="1" t="s">
        <v>94</v>
      </c>
      <c r="E1518" s="1" t="s">
        <v>27</v>
      </c>
      <c r="F1518" s="1" t="s">
        <v>28</v>
      </c>
      <c r="G1518" s="4">
        <v>13</v>
      </c>
      <c r="H1518" s="4">
        <v>5231</v>
      </c>
      <c r="I1518" s="6">
        <v>1807.8994678554859</v>
      </c>
      <c r="J1518" s="6">
        <f>表1[[#This Row],[销售金额]]-表1[[#This Row],[退款金额]]</f>
        <v>3423.1005321445141</v>
      </c>
      <c r="K1518" s="1">
        <v>456</v>
      </c>
      <c r="L1518" s="1">
        <v>857</v>
      </c>
    </row>
    <row r="1519" spans="1:12" x14ac:dyDescent="0.3">
      <c r="A1519" s="2">
        <v>45924</v>
      </c>
      <c r="B1519" s="1" t="s">
        <v>248</v>
      </c>
      <c r="C1519" s="1" t="s">
        <v>19</v>
      </c>
      <c r="D1519" s="1" t="s">
        <v>94</v>
      </c>
      <c r="E1519" s="1" t="s">
        <v>27</v>
      </c>
      <c r="F1519" s="1" t="s">
        <v>28</v>
      </c>
      <c r="G1519" s="4">
        <v>13</v>
      </c>
      <c r="H1519" s="4">
        <v>4037</v>
      </c>
      <c r="I1519" s="6">
        <v>1807.8994678554859</v>
      </c>
      <c r="J1519" s="6">
        <f>表1[[#This Row],[销售金额]]-表1[[#This Row],[退款金额]]</f>
        <v>2229.1005321445141</v>
      </c>
      <c r="K1519" s="1">
        <v>456</v>
      </c>
      <c r="L1519" s="1">
        <v>857</v>
      </c>
    </row>
    <row r="1520" spans="1:12" x14ac:dyDescent="0.3">
      <c r="A1520" s="2">
        <v>45924</v>
      </c>
      <c r="B1520" s="1" t="s">
        <v>248</v>
      </c>
      <c r="C1520" s="1" t="s">
        <v>19</v>
      </c>
      <c r="D1520" s="1" t="s">
        <v>94</v>
      </c>
      <c r="E1520" s="1" t="s">
        <v>27</v>
      </c>
      <c r="F1520" s="1" t="s">
        <v>28</v>
      </c>
      <c r="G1520" s="4">
        <v>13</v>
      </c>
      <c r="H1520" s="4">
        <v>1998</v>
      </c>
      <c r="I1520" s="6">
        <v>1807.8994678554859</v>
      </c>
      <c r="J1520" s="6">
        <f>表1[[#This Row],[销售金额]]-表1[[#This Row],[退款金额]]</f>
        <v>190.10053214451409</v>
      </c>
      <c r="K1520" s="1">
        <v>456</v>
      </c>
      <c r="L1520" s="1">
        <v>857</v>
      </c>
    </row>
    <row r="1521" spans="1:12" x14ac:dyDescent="0.3">
      <c r="A1521" s="2">
        <v>45924</v>
      </c>
      <c r="B1521" s="1" t="s">
        <v>248</v>
      </c>
      <c r="C1521" s="1" t="s">
        <v>19</v>
      </c>
      <c r="D1521" s="1" t="s">
        <v>94</v>
      </c>
      <c r="E1521" s="1" t="s">
        <v>27</v>
      </c>
      <c r="F1521" s="1" t="s">
        <v>28</v>
      </c>
      <c r="G1521" s="4">
        <v>13</v>
      </c>
      <c r="H1521" s="4">
        <v>5148</v>
      </c>
      <c r="I1521" s="6">
        <v>1807.8994678554859</v>
      </c>
      <c r="J1521" s="6">
        <f>表1[[#This Row],[销售金额]]-表1[[#This Row],[退款金额]]</f>
        <v>3340.1005321445141</v>
      </c>
      <c r="K1521" s="1">
        <v>456</v>
      </c>
      <c r="L1521" s="1">
        <v>857</v>
      </c>
    </row>
    <row r="1522" spans="1:12" x14ac:dyDescent="0.3">
      <c r="A1522" s="2">
        <v>45924</v>
      </c>
      <c r="B1522" s="1" t="s">
        <v>248</v>
      </c>
      <c r="C1522" s="1" t="s">
        <v>19</v>
      </c>
      <c r="D1522" s="1" t="s">
        <v>94</v>
      </c>
      <c r="E1522" s="1" t="s">
        <v>27</v>
      </c>
      <c r="F1522" s="1" t="s">
        <v>28</v>
      </c>
      <c r="G1522" s="4">
        <v>13</v>
      </c>
      <c r="H1522" s="4">
        <v>5955</v>
      </c>
      <c r="I1522" s="6">
        <v>1807.8994678554859</v>
      </c>
      <c r="J1522" s="6">
        <f>表1[[#This Row],[销售金额]]-表1[[#This Row],[退款金额]]</f>
        <v>4147.1005321445136</v>
      </c>
      <c r="K1522" s="1">
        <v>456</v>
      </c>
      <c r="L1522" s="1">
        <v>857</v>
      </c>
    </row>
    <row r="1523" spans="1:12" x14ac:dyDescent="0.3">
      <c r="A1523" s="2">
        <v>45924</v>
      </c>
      <c r="B1523" s="1" t="s">
        <v>248</v>
      </c>
      <c r="C1523" s="1" t="s">
        <v>19</v>
      </c>
      <c r="D1523" s="1" t="s">
        <v>94</v>
      </c>
      <c r="E1523" s="1" t="s">
        <v>27</v>
      </c>
      <c r="F1523" s="1" t="s">
        <v>28</v>
      </c>
      <c r="G1523" s="4">
        <v>13</v>
      </c>
      <c r="H1523" s="4">
        <v>3318</v>
      </c>
      <c r="I1523" s="6">
        <v>1807.8994678554859</v>
      </c>
      <c r="J1523" s="6">
        <f>表1[[#This Row],[销售金额]]-表1[[#This Row],[退款金额]]</f>
        <v>1510.1005321445141</v>
      </c>
      <c r="K1523" s="1">
        <v>456</v>
      </c>
      <c r="L1523" s="1">
        <v>857</v>
      </c>
    </row>
    <row r="1524" spans="1:12" x14ac:dyDescent="0.3">
      <c r="A1524" s="2">
        <v>45924</v>
      </c>
      <c r="B1524" s="1" t="s">
        <v>248</v>
      </c>
      <c r="C1524" s="1" t="s">
        <v>19</v>
      </c>
      <c r="D1524" s="1" t="s">
        <v>94</v>
      </c>
      <c r="E1524" s="1" t="s">
        <v>27</v>
      </c>
      <c r="F1524" s="1" t="s">
        <v>28</v>
      </c>
      <c r="G1524" s="4">
        <v>13</v>
      </c>
      <c r="H1524" s="4">
        <v>2469</v>
      </c>
      <c r="I1524" s="6">
        <v>1807.8994678554859</v>
      </c>
      <c r="J1524" s="6">
        <f>表1[[#This Row],[销售金额]]-表1[[#This Row],[退款金额]]</f>
        <v>661.10053214451409</v>
      </c>
      <c r="K1524" s="1">
        <v>456</v>
      </c>
      <c r="L1524" s="1">
        <v>857</v>
      </c>
    </row>
    <row r="1525" spans="1:12" x14ac:dyDescent="0.3">
      <c r="A1525" s="2">
        <v>45924</v>
      </c>
      <c r="B1525" s="1" t="s">
        <v>248</v>
      </c>
      <c r="C1525" s="1" t="s">
        <v>19</v>
      </c>
      <c r="D1525" s="1" t="s">
        <v>94</v>
      </c>
      <c r="E1525" s="1" t="s">
        <v>27</v>
      </c>
      <c r="F1525" s="1" t="s">
        <v>28</v>
      </c>
      <c r="G1525" s="4">
        <v>13</v>
      </c>
      <c r="H1525" s="4">
        <v>4139</v>
      </c>
      <c r="I1525" s="6">
        <v>1807.8994678554859</v>
      </c>
      <c r="J1525" s="6">
        <f>表1[[#This Row],[销售金额]]-表1[[#This Row],[退款金额]]</f>
        <v>2331.1005321445141</v>
      </c>
      <c r="K1525" s="1">
        <v>456</v>
      </c>
      <c r="L1525" s="1">
        <v>857</v>
      </c>
    </row>
    <row r="1526" spans="1:12" x14ac:dyDescent="0.3">
      <c r="A1526" s="2">
        <v>45924</v>
      </c>
      <c r="B1526" s="1" t="s">
        <v>248</v>
      </c>
      <c r="C1526" s="1" t="s">
        <v>19</v>
      </c>
      <c r="D1526" s="1" t="s">
        <v>94</v>
      </c>
      <c r="E1526" s="1" t="s">
        <v>27</v>
      </c>
      <c r="F1526" s="1" t="s">
        <v>28</v>
      </c>
      <c r="G1526" s="4">
        <v>13</v>
      </c>
      <c r="H1526" s="4">
        <v>6776</v>
      </c>
      <c r="I1526" s="6">
        <v>1807.8994678554859</v>
      </c>
      <c r="J1526" s="6">
        <f>表1[[#This Row],[销售金额]]-表1[[#This Row],[退款金额]]</f>
        <v>4968.1005321445136</v>
      </c>
      <c r="K1526" s="1">
        <v>456</v>
      </c>
      <c r="L1526" s="1">
        <v>857</v>
      </c>
    </row>
    <row r="1527" spans="1:12" x14ac:dyDescent="0.3">
      <c r="A1527" s="2">
        <v>45924</v>
      </c>
      <c r="B1527" s="1" t="s">
        <v>248</v>
      </c>
      <c r="C1527" s="1" t="s">
        <v>19</v>
      </c>
      <c r="D1527" s="1" t="s">
        <v>94</v>
      </c>
      <c r="E1527" s="1" t="s">
        <v>27</v>
      </c>
      <c r="F1527" s="1" t="s">
        <v>28</v>
      </c>
      <c r="G1527" s="4">
        <v>13</v>
      </c>
      <c r="H1527" s="4">
        <v>6336</v>
      </c>
      <c r="I1527" s="6">
        <v>1807.8994678554859</v>
      </c>
      <c r="J1527" s="6">
        <f>表1[[#This Row],[销售金额]]-表1[[#This Row],[退款金额]]</f>
        <v>4528.1005321445136</v>
      </c>
      <c r="K1527" s="1">
        <v>456</v>
      </c>
      <c r="L1527" s="1">
        <v>857</v>
      </c>
    </row>
    <row r="1528" spans="1:12" x14ac:dyDescent="0.3">
      <c r="A1528" s="2">
        <v>45924</v>
      </c>
      <c r="B1528" s="1" t="s">
        <v>248</v>
      </c>
      <c r="C1528" s="1" t="s">
        <v>19</v>
      </c>
      <c r="D1528" s="1" t="s">
        <v>94</v>
      </c>
      <c r="E1528" s="1" t="s">
        <v>27</v>
      </c>
      <c r="F1528" s="1" t="s">
        <v>28</v>
      </c>
      <c r="G1528" s="4">
        <v>13</v>
      </c>
      <c r="H1528" s="4">
        <v>2569</v>
      </c>
      <c r="I1528" s="6">
        <v>1807.8994678554859</v>
      </c>
      <c r="J1528" s="6">
        <f>表1[[#This Row],[销售金额]]-表1[[#This Row],[退款金额]]</f>
        <v>761.10053214451409</v>
      </c>
      <c r="K1528" s="1">
        <v>456</v>
      </c>
      <c r="L1528" s="1">
        <v>857</v>
      </c>
    </row>
    <row r="1529" spans="1:12" x14ac:dyDescent="0.3">
      <c r="A1529" s="2">
        <v>45924</v>
      </c>
      <c r="B1529" s="1" t="s">
        <v>248</v>
      </c>
      <c r="C1529" s="1" t="s">
        <v>19</v>
      </c>
      <c r="D1529" s="1" t="s">
        <v>94</v>
      </c>
      <c r="E1529" s="1" t="s">
        <v>27</v>
      </c>
      <c r="F1529" s="1" t="s">
        <v>28</v>
      </c>
      <c r="G1529" s="4">
        <v>13</v>
      </c>
      <c r="H1529" s="4">
        <v>1946</v>
      </c>
      <c r="I1529" s="6">
        <v>1807.8994678554859</v>
      </c>
      <c r="J1529" s="6">
        <f>表1[[#This Row],[销售金额]]-表1[[#This Row],[退款金额]]</f>
        <v>138.10053214451409</v>
      </c>
      <c r="K1529" s="1">
        <v>456</v>
      </c>
      <c r="L1529" s="1">
        <v>857</v>
      </c>
    </row>
    <row r="1530" spans="1:12" x14ac:dyDescent="0.3">
      <c r="A1530" s="2">
        <v>45924</v>
      </c>
      <c r="B1530" s="1" t="s">
        <v>247</v>
      </c>
      <c r="C1530" s="1" t="s">
        <v>10</v>
      </c>
      <c r="D1530" s="1" t="s">
        <v>104</v>
      </c>
      <c r="E1530" s="1" t="s">
        <v>8</v>
      </c>
      <c r="F1530" s="1" t="s">
        <v>9</v>
      </c>
      <c r="G1530" s="4">
        <v>17</v>
      </c>
      <c r="H1530" s="4">
        <v>5197</v>
      </c>
      <c r="I1530" s="6">
        <v>3837.3964915610627</v>
      </c>
      <c r="J1530" s="6">
        <f>表1[[#This Row],[销售金额]]-表1[[#This Row],[退款金额]]</f>
        <v>1359.6035084389373</v>
      </c>
      <c r="K1530" s="1">
        <v>657</v>
      </c>
      <c r="L1530" s="1">
        <v>591</v>
      </c>
    </row>
    <row r="1531" spans="1:12" x14ac:dyDescent="0.3">
      <c r="A1531" s="2">
        <v>45924</v>
      </c>
      <c r="B1531" s="1" t="s">
        <v>247</v>
      </c>
      <c r="C1531" s="1" t="s">
        <v>10</v>
      </c>
      <c r="D1531" s="1" t="s">
        <v>104</v>
      </c>
      <c r="E1531" s="1" t="s">
        <v>8</v>
      </c>
      <c r="F1531" s="1" t="s">
        <v>9</v>
      </c>
      <c r="G1531" s="4">
        <v>17</v>
      </c>
      <c r="H1531" s="4">
        <v>7634</v>
      </c>
      <c r="I1531" s="6">
        <v>3837.3964915610627</v>
      </c>
      <c r="J1531" s="6">
        <f>表1[[#This Row],[销售金额]]-表1[[#This Row],[退款金额]]</f>
        <v>3796.6035084389373</v>
      </c>
      <c r="K1531" s="1">
        <v>657</v>
      </c>
      <c r="L1531" s="1">
        <v>591</v>
      </c>
    </row>
    <row r="1532" spans="1:12" x14ac:dyDescent="0.3">
      <c r="A1532" s="2">
        <v>45924</v>
      </c>
      <c r="B1532" s="1" t="s">
        <v>247</v>
      </c>
      <c r="C1532" s="1" t="s">
        <v>10</v>
      </c>
      <c r="D1532" s="1" t="s">
        <v>104</v>
      </c>
      <c r="E1532" s="1" t="s">
        <v>8</v>
      </c>
      <c r="F1532" s="1" t="s">
        <v>9</v>
      </c>
      <c r="G1532" s="4">
        <v>17</v>
      </c>
      <c r="H1532" s="4">
        <v>6611</v>
      </c>
      <c r="I1532" s="6">
        <v>3837.3964915610627</v>
      </c>
      <c r="J1532" s="6">
        <f>表1[[#This Row],[销售金额]]-表1[[#This Row],[退款金额]]</f>
        <v>2773.6035084389373</v>
      </c>
      <c r="K1532" s="1">
        <v>657</v>
      </c>
      <c r="L1532" s="1">
        <v>591</v>
      </c>
    </row>
    <row r="1533" spans="1:12" x14ac:dyDescent="0.3">
      <c r="A1533" s="2">
        <v>45924</v>
      </c>
      <c r="B1533" s="1" t="s">
        <v>247</v>
      </c>
      <c r="C1533" s="1" t="s">
        <v>10</v>
      </c>
      <c r="D1533" s="1" t="s">
        <v>104</v>
      </c>
      <c r="E1533" s="1" t="s">
        <v>8</v>
      </c>
      <c r="F1533" s="1" t="s">
        <v>9</v>
      </c>
      <c r="G1533" s="4">
        <v>17</v>
      </c>
      <c r="H1533" s="4">
        <v>5713</v>
      </c>
      <c r="I1533" s="6">
        <v>3837.3964915610627</v>
      </c>
      <c r="J1533" s="6">
        <f>表1[[#This Row],[销售金额]]-表1[[#This Row],[退款金额]]</f>
        <v>1875.6035084389373</v>
      </c>
      <c r="K1533" s="1">
        <v>657</v>
      </c>
      <c r="L1533" s="1">
        <v>591</v>
      </c>
    </row>
    <row r="1534" spans="1:12" x14ac:dyDescent="0.3">
      <c r="A1534" s="2">
        <v>45924</v>
      </c>
      <c r="B1534" s="1" t="s">
        <v>247</v>
      </c>
      <c r="C1534" s="1" t="s">
        <v>10</v>
      </c>
      <c r="D1534" s="1" t="s">
        <v>104</v>
      </c>
      <c r="E1534" s="1" t="s">
        <v>8</v>
      </c>
      <c r="F1534" s="1" t="s">
        <v>9</v>
      </c>
      <c r="G1534" s="4">
        <v>17</v>
      </c>
      <c r="H1534" s="4">
        <v>5139</v>
      </c>
      <c r="I1534" s="6">
        <v>3837.3964915610627</v>
      </c>
      <c r="J1534" s="6">
        <f>表1[[#This Row],[销售金额]]-表1[[#This Row],[退款金额]]</f>
        <v>1301.6035084389373</v>
      </c>
      <c r="K1534" s="1">
        <v>657</v>
      </c>
      <c r="L1534" s="1">
        <v>591</v>
      </c>
    </row>
    <row r="1535" spans="1:12" x14ac:dyDescent="0.3">
      <c r="A1535" s="2">
        <v>45924</v>
      </c>
      <c r="B1535" s="1" t="s">
        <v>247</v>
      </c>
      <c r="C1535" s="1" t="s">
        <v>10</v>
      </c>
      <c r="D1535" s="1" t="s">
        <v>104</v>
      </c>
      <c r="E1535" s="1" t="s">
        <v>8</v>
      </c>
      <c r="F1535" s="1" t="s">
        <v>9</v>
      </c>
      <c r="G1535" s="4">
        <v>17</v>
      </c>
      <c r="H1535" s="4">
        <v>5579</v>
      </c>
      <c r="I1535" s="6">
        <v>3837.3964915610627</v>
      </c>
      <c r="J1535" s="6">
        <f>表1[[#This Row],[销售金额]]-表1[[#This Row],[退款金额]]</f>
        <v>1741.6035084389373</v>
      </c>
      <c r="K1535" s="1">
        <v>657</v>
      </c>
      <c r="L1535" s="1">
        <v>591</v>
      </c>
    </row>
    <row r="1536" spans="1:12" x14ac:dyDescent="0.3">
      <c r="A1536" s="2">
        <v>45924</v>
      </c>
      <c r="B1536" s="1" t="s">
        <v>247</v>
      </c>
      <c r="C1536" s="1" t="s">
        <v>10</v>
      </c>
      <c r="D1536" s="1" t="s">
        <v>104</v>
      </c>
      <c r="E1536" s="1" t="s">
        <v>8</v>
      </c>
      <c r="F1536" s="1" t="s">
        <v>9</v>
      </c>
      <c r="G1536" s="4">
        <v>17</v>
      </c>
      <c r="H1536" s="4">
        <v>6002</v>
      </c>
      <c r="I1536" s="6">
        <v>3837.3964915610627</v>
      </c>
      <c r="J1536" s="6">
        <f>表1[[#This Row],[销售金额]]-表1[[#This Row],[退款金额]]</f>
        <v>2164.6035084389373</v>
      </c>
      <c r="K1536" s="1">
        <v>657</v>
      </c>
      <c r="L1536" s="1">
        <v>591</v>
      </c>
    </row>
    <row r="1537" spans="1:12" x14ac:dyDescent="0.3">
      <c r="A1537" s="2">
        <v>45924</v>
      </c>
      <c r="B1537" s="1" t="s">
        <v>247</v>
      </c>
      <c r="C1537" s="1" t="s">
        <v>10</v>
      </c>
      <c r="D1537" s="1" t="s">
        <v>104</v>
      </c>
      <c r="E1537" s="1" t="s">
        <v>8</v>
      </c>
      <c r="F1537" s="1" t="s">
        <v>9</v>
      </c>
      <c r="G1537" s="4">
        <v>17</v>
      </c>
      <c r="H1537" s="4">
        <v>5668</v>
      </c>
      <c r="I1537" s="6">
        <v>3837.3964915610627</v>
      </c>
      <c r="J1537" s="6">
        <f>表1[[#This Row],[销售金额]]-表1[[#This Row],[退款金额]]</f>
        <v>1830.6035084389373</v>
      </c>
      <c r="K1537" s="1">
        <v>657</v>
      </c>
      <c r="L1537" s="1">
        <v>591</v>
      </c>
    </row>
    <row r="1538" spans="1:12" x14ac:dyDescent="0.3">
      <c r="A1538" s="2">
        <v>45924</v>
      </c>
      <c r="B1538" s="1" t="s">
        <v>247</v>
      </c>
      <c r="C1538" s="1" t="s">
        <v>10</v>
      </c>
      <c r="D1538" s="1" t="s">
        <v>104</v>
      </c>
      <c r="E1538" s="1" t="s">
        <v>8</v>
      </c>
      <c r="F1538" s="1" t="s">
        <v>9</v>
      </c>
      <c r="G1538" s="4">
        <v>17</v>
      </c>
      <c r="H1538" s="4">
        <v>5578</v>
      </c>
      <c r="I1538" s="6">
        <v>3837.3964915610627</v>
      </c>
      <c r="J1538" s="6">
        <f>表1[[#This Row],[销售金额]]-表1[[#This Row],[退款金额]]</f>
        <v>1740.6035084389373</v>
      </c>
      <c r="K1538" s="1">
        <v>657</v>
      </c>
      <c r="L1538" s="1">
        <v>591</v>
      </c>
    </row>
    <row r="1539" spans="1:12" x14ac:dyDescent="0.3">
      <c r="A1539" s="2">
        <v>45924</v>
      </c>
      <c r="B1539" s="1" t="s">
        <v>247</v>
      </c>
      <c r="C1539" s="1" t="s">
        <v>10</v>
      </c>
      <c r="D1539" s="1" t="s">
        <v>104</v>
      </c>
      <c r="E1539" s="1" t="s">
        <v>8</v>
      </c>
      <c r="F1539" s="1" t="s">
        <v>9</v>
      </c>
      <c r="G1539" s="4">
        <v>17</v>
      </c>
      <c r="H1539" s="4">
        <v>4491</v>
      </c>
      <c r="I1539" s="6">
        <v>3837.3964915610627</v>
      </c>
      <c r="J1539" s="6">
        <f>表1[[#This Row],[销售金额]]-表1[[#This Row],[退款金额]]</f>
        <v>653.6035084389373</v>
      </c>
      <c r="K1539" s="1">
        <v>657</v>
      </c>
      <c r="L1539" s="1">
        <v>591</v>
      </c>
    </row>
    <row r="1540" spans="1:12" x14ac:dyDescent="0.3">
      <c r="A1540" s="2">
        <v>45924</v>
      </c>
      <c r="B1540" s="1" t="s">
        <v>247</v>
      </c>
      <c r="C1540" s="1" t="s">
        <v>10</v>
      </c>
      <c r="D1540" s="1" t="s">
        <v>104</v>
      </c>
      <c r="E1540" s="1" t="s">
        <v>8</v>
      </c>
      <c r="F1540" s="1" t="s">
        <v>9</v>
      </c>
      <c r="G1540" s="4">
        <v>17</v>
      </c>
      <c r="H1540" s="4">
        <v>6980</v>
      </c>
      <c r="I1540" s="6">
        <v>3837.3964915610627</v>
      </c>
      <c r="J1540" s="6">
        <f>表1[[#This Row],[销售金额]]-表1[[#This Row],[退款金额]]</f>
        <v>3142.6035084389373</v>
      </c>
      <c r="K1540" s="1">
        <v>657</v>
      </c>
      <c r="L1540" s="1">
        <v>591</v>
      </c>
    </row>
    <row r="1541" spans="1:12" x14ac:dyDescent="0.3">
      <c r="A1541" s="2">
        <v>45924</v>
      </c>
      <c r="B1541" s="1" t="s">
        <v>247</v>
      </c>
      <c r="C1541" s="1" t="s">
        <v>10</v>
      </c>
      <c r="D1541" s="1" t="s">
        <v>104</v>
      </c>
      <c r="E1541" s="1" t="s">
        <v>8</v>
      </c>
      <c r="F1541" s="1" t="s">
        <v>9</v>
      </c>
      <c r="G1541" s="4">
        <v>17</v>
      </c>
      <c r="H1541" s="4">
        <v>4802</v>
      </c>
      <c r="I1541" s="6">
        <v>3837.3964915610627</v>
      </c>
      <c r="J1541" s="6">
        <f>表1[[#This Row],[销售金额]]-表1[[#This Row],[退款金额]]</f>
        <v>964.6035084389373</v>
      </c>
      <c r="K1541" s="1">
        <v>657</v>
      </c>
      <c r="L1541" s="1">
        <v>591</v>
      </c>
    </row>
    <row r="1542" spans="1:12" x14ac:dyDescent="0.3">
      <c r="A1542" s="2">
        <v>45924</v>
      </c>
      <c r="B1542" s="1" t="s">
        <v>247</v>
      </c>
      <c r="C1542" s="1" t="s">
        <v>10</v>
      </c>
      <c r="D1542" s="1" t="s">
        <v>104</v>
      </c>
      <c r="E1542" s="1" t="s">
        <v>8</v>
      </c>
      <c r="F1542" s="1" t="s">
        <v>9</v>
      </c>
      <c r="G1542" s="4">
        <v>17</v>
      </c>
      <c r="H1542" s="4">
        <v>6338</v>
      </c>
      <c r="I1542" s="6">
        <v>3837.3964915610627</v>
      </c>
      <c r="J1542" s="6">
        <f>表1[[#This Row],[销售金额]]-表1[[#This Row],[退款金额]]</f>
        <v>2500.6035084389373</v>
      </c>
      <c r="K1542" s="1">
        <v>657</v>
      </c>
      <c r="L1542" s="1">
        <v>591</v>
      </c>
    </row>
    <row r="1543" spans="1:12" x14ac:dyDescent="0.3">
      <c r="A1543" s="2">
        <v>45924</v>
      </c>
      <c r="B1543" s="1" t="s">
        <v>247</v>
      </c>
      <c r="C1543" s="1" t="s">
        <v>10</v>
      </c>
      <c r="D1543" s="1" t="s">
        <v>104</v>
      </c>
      <c r="E1543" s="1" t="s">
        <v>8</v>
      </c>
      <c r="F1543" s="1" t="s">
        <v>9</v>
      </c>
      <c r="G1543" s="4">
        <v>17</v>
      </c>
      <c r="H1543" s="4">
        <v>8814</v>
      </c>
      <c r="I1543" s="6">
        <v>3837.3964915610627</v>
      </c>
      <c r="J1543" s="6">
        <f>表1[[#This Row],[销售金额]]-表1[[#This Row],[退款金额]]</f>
        <v>4976.6035084389368</v>
      </c>
      <c r="K1543" s="1">
        <v>657</v>
      </c>
      <c r="L1543" s="1">
        <v>591</v>
      </c>
    </row>
    <row r="1544" spans="1:12" x14ac:dyDescent="0.3">
      <c r="A1544" s="2">
        <v>45924</v>
      </c>
      <c r="B1544" s="1" t="s">
        <v>247</v>
      </c>
      <c r="C1544" s="1" t="s">
        <v>10</v>
      </c>
      <c r="D1544" s="1" t="s">
        <v>104</v>
      </c>
      <c r="E1544" s="1" t="s">
        <v>8</v>
      </c>
      <c r="F1544" s="1" t="s">
        <v>9</v>
      </c>
      <c r="G1544" s="4">
        <v>17</v>
      </c>
      <c r="H1544" s="4">
        <v>5892</v>
      </c>
      <c r="I1544" s="6">
        <v>3837.3964915610627</v>
      </c>
      <c r="J1544" s="6">
        <f>表1[[#This Row],[销售金额]]-表1[[#This Row],[退款金额]]</f>
        <v>2054.6035084389373</v>
      </c>
      <c r="K1544" s="1">
        <v>657</v>
      </c>
      <c r="L1544" s="1">
        <v>591</v>
      </c>
    </row>
    <row r="1545" spans="1:12" x14ac:dyDescent="0.3">
      <c r="A1545" s="2">
        <v>45924</v>
      </c>
      <c r="B1545" s="1" t="s">
        <v>247</v>
      </c>
      <c r="C1545" s="1" t="s">
        <v>10</v>
      </c>
      <c r="D1545" s="1" t="s">
        <v>104</v>
      </c>
      <c r="E1545" s="1" t="s">
        <v>8</v>
      </c>
      <c r="F1545" s="1" t="s">
        <v>9</v>
      </c>
      <c r="G1545" s="4">
        <v>17</v>
      </c>
      <c r="H1545" s="4">
        <v>4519</v>
      </c>
      <c r="I1545" s="6">
        <v>3837.3964915610627</v>
      </c>
      <c r="J1545" s="6">
        <f>表1[[#This Row],[销售金额]]-表1[[#This Row],[退款金额]]</f>
        <v>681.6035084389373</v>
      </c>
      <c r="K1545" s="1">
        <v>657</v>
      </c>
      <c r="L1545" s="1">
        <v>591</v>
      </c>
    </row>
    <row r="1546" spans="1:12" x14ac:dyDescent="0.3">
      <c r="A1546" s="2">
        <v>45924</v>
      </c>
      <c r="B1546" s="1" t="s">
        <v>247</v>
      </c>
      <c r="C1546" s="1" t="s">
        <v>10</v>
      </c>
      <c r="D1546" s="1" t="s">
        <v>104</v>
      </c>
      <c r="E1546" s="1" t="s">
        <v>8</v>
      </c>
      <c r="F1546" s="1" t="s">
        <v>9</v>
      </c>
      <c r="G1546" s="4">
        <v>17</v>
      </c>
      <c r="H1546" s="4">
        <v>6499</v>
      </c>
      <c r="I1546" s="6">
        <v>3837.3964915610627</v>
      </c>
      <c r="J1546" s="6">
        <f>表1[[#This Row],[销售金额]]-表1[[#This Row],[退款金额]]</f>
        <v>2661.6035084389373</v>
      </c>
      <c r="K1546" s="1">
        <v>657</v>
      </c>
      <c r="L1546" s="1">
        <v>591</v>
      </c>
    </row>
    <row r="1547" spans="1:12" x14ac:dyDescent="0.3">
      <c r="A1547" s="2">
        <v>45924</v>
      </c>
      <c r="B1547" s="1" t="s">
        <v>247</v>
      </c>
      <c r="C1547" s="1" t="s">
        <v>10</v>
      </c>
      <c r="D1547" s="1" t="s">
        <v>104</v>
      </c>
      <c r="E1547" s="1" t="s">
        <v>8</v>
      </c>
      <c r="F1547" s="1" t="s">
        <v>9</v>
      </c>
      <c r="G1547" s="4">
        <v>17</v>
      </c>
      <c r="H1547" s="4">
        <v>8171</v>
      </c>
      <c r="I1547" s="6">
        <v>3837.3964915610627</v>
      </c>
      <c r="J1547" s="6">
        <f>表1[[#This Row],[销售金额]]-表1[[#This Row],[退款金额]]</f>
        <v>4333.6035084389368</v>
      </c>
      <c r="K1547" s="1">
        <v>657</v>
      </c>
      <c r="L1547" s="1">
        <v>591</v>
      </c>
    </row>
    <row r="1548" spans="1:12" x14ac:dyDescent="0.3">
      <c r="A1548" s="2">
        <v>45924</v>
      </c>
      <c r="B1548" s="1" t="s">
        <v>247</v>
      </c>
      <c r="C1548" s="1" t="s">
        <v>32</v>
      </c>
      <c r="D1548" s="1" t="s">
        <v>173</v>
      </c>
      <c r="E1548" s="1" t="s">
        <v>38</v>
      </c>
      <c r="F1548" s="1" t="s">
        <v>39</v>
      </c>
      <c r="G1548" s="4">
        <v>18</v>
      </c>
      <c r="H1548" s="4">
        <v>6184</v>
      </c>
      <c r="I1548" s="6">
        <v>4450.7909569006224</v>
      </c>
      <c r="J1548" s="6">
        <f>表1[[#This Row],[销售金额]]-表1[[#This Row],[退款金额]]</f>
        <v>1733.2090430993776</v>
      </c>
      <c r="K1548" s="1">
        <v>750</v>
      </c>
      <c r="L1548" s="1">
        <v>315</v>
      </c>
    </row>
    <row r="1549" spans="1:12" x14ac:dyDescent="0.3">
      <c r="A1549" s="2">
        <v>45924</v>
      </c>
      <c r="B1549" s="1" t="s">
        <v>247</v>
      </c>
      <c r="C1549" s="1" t="s">
        <v>32</v>
      </c>
      <c r="D1549" s="1" t="s">
        <v>173</v>
      </c>
      <c r="E1549" s="1" t="s">
        <v>38</v>
      </c>
      <c r="F1549" s="1" t="s">
        <v>39</v>
      </c>
      <c r="G1549" s="4">
        <v>18</v>
      </c>
      <c r="H1549" s="4">
        <v>8597</v>
      </c>
      <c r="I1549" s="6">
        <v>4450.7909569006224</v>
      </c>
      <c r="J1549" s="6">
        <f>表1[[#This Row],[销售金额]]-表1[[#This Row],[退款金额]]</f>
        <v>4146.2090430993776</v>
      </c>
      <c r="K1549" s="1">
        <v>750</v>
      </c>
      <c r="L1549" s="1">
        <v>315</v>
      </c>
    </row>
    <row r="1550" spans="1:12" x14ac:dyDescent="0.3">
      <c r="A1550" s="2">
        <v>45924</v>
      </c>
      <c r="B1550" s="1" t="s">
        <v>247</v>
      </c>
      <c r="C1550" s="1" t="s">
        <v>32</v>
      </c>
      <c r="D1550" s="1" t="s">
        <v>173</v>
      </c>
      <c r="E1550" s="1" t="s">
        <v>38</v>
      </c>
      <c r="F1550" s="1" t="s">
        <v>39</v>
      </c>
      <c r="G1550" s="4">
        <v>18</v>
      </c>
      <c r="H1550" s="4">
        <v>7860</v>
      </c>
      <c r="I1550" s="6">
        <v>4450.7909569006224</v>
      </c>
      <c r="J1550" s="6">
        <f>表1[[#This Row],[销售金额]]-表1[[#This Row],[退款金额]]</f>
        <v>3409.2090430993776</v>
      </c>
      <c r="K1550" s="1">
        <v>750</v>
      </c>
      <c r="L1550" s="1">
        <v>315</v>
      </c>
    </row>
    <row r="1551" spans="1:12" x14ac:dyDescent="0.3">
      <c r="A1551" s="2">
        <v>45924</v>
      </c>
      <c r="B1551" s="1" t="s">
        <v>247</v>
      </c>
      <c r="C1551" s="1" t="s">
        <v>32</v>
      </c>
      <c r="D1551" s="1" t="s">
        <v>173</v>
      </c>
      <c r="E1551" s="1" t="s">
        <v>38</v>
      </c>
      <c r="F1551" s="1" t="s">
        <v>39</v>
      </c>
      <c r="G1551" s="4">
        <v>18</v>
      </c>
      <c r="H1551" s="4">
        <v>8750</v>
      </c>
      <c r="I1551" s="6">
        <v>4450.7909569006224</v>
      </c>
      <c r="J1551" s="6">
        <f>表1[[#This Row],[销售金额]]-表1[[#This Row],[退款金额]]</f>
        <v>4299.2090430993776</v>
      </c>
      <c r="K1551" s="1">
        <v>750</v>
      </c>
      <c r="L1551" s="1">
        <v>315</v>
      </c>
    </row>
    <row r="1552" spans="1:12" x14ac:dyDescent="0.3">
      <c r="A1552" s="2">
        <v>45924</v>
      </c>
      <c r="B1552" s="1" t="s">
        <v>247</v>
      </c>
      <c r="C1552" s="1" t="s">
        <v>32</v>
      </c>
      <c r="D1552" s="1" t="s">
        <v>173</v>
      </c>
      <c r="E1552" s="1" t="s">
        <v>38</v>
      </c>
      <c r="F1552" s="1" t="s">
        <v>39</v>
      </c>
      <c r="G1552" s="4">
        <v>18</v>
      </c>
      <c r="H1552" s="4">
        <v>5472</v>
      </c>
      <c r="I1552" s="6">
        <v>4450.7909569006224</v>
      </c>
      <c r="J1552" s="6">
        <f>表1[[#This Row],[销售金额]]-表1[[#This Row],[退款金额]]</f>
        <v>1021.2090430993776</v>
      </c>
      <c r="K1552" s="1">
        <v>750</v>
      </c>
      <c r="L1552" s="1">
        <v>315</v>
      </c>
    </row>
    <row r="1553" spans="1:12" x14ac:dyDescent="0.3">
      <c r="A1553" s="2">
        <v>45924</v>
      </c>
      <c r="B1553" s="1" t="s">
        <v>247</v>
      </c>
      <c r="C1553" s="1" t="s">
        <v>32</v>
      </c>
      <c r="D1553" s="1" t="s">
        <v>173</v>
      </c>
      <c r="E1553" s="1" t="s">
        <v>38</v>
      </c>
      <c r="F1553" s="1" t="s">
        <v>39</v>
      </c>
      <c r="G1553" s="4">
        <v>18</v>
      </c>
      <c r="H1553" s="4">
        <v>8936</v>
      </c>
      <c r="I1553" s="6">
        <v>4450.7909569006224</v>
      </c>
      <c r="J1553" s="6">
        <f>表1[[#This Row],[销售金额]]-表1[[#This Row],[退款金额]]</f>
        <v>4485.2090430993776</v>
      </c>
      <c r="K1553" s="1">
        <v>750</v>
      </c>
      <c r="L1553" s="1">
        <v>315</v>
      </c>
    </row>
    <row r="1554" spans="1:12" x14ac:dyDescent="0.3">
      <c r="A1554" s="2">
        <v>45924</v>
      </c>
      <c r="B1554" s="1" t="s">
        <v>247</v>
      </c>
      <c r="C1554" s="1" t="s">
        <v>32</v>
      </c>
      <c r="D1554" s="1" t="s">
        <v>173</v>
      </c>
      <c r="E1554" s="1" t="s">
        <v>38</v>
      </c>
      <c r="F1554" s="1" t="s">
        <v>39</v>
      </c>
      <c r="G1554" s="4">
        <v>18</v>
      </c>
      <c r="H1554" s="4">
        <v>7721</v>
      </c>
      <c r="I1554" s="6">
        <v>4450.7909569006224</v>
      </c>
      <c r="J1554" s="6">
        <f>表1[[#This Row],[销售金额]]-表1[[#This Row],[退款金额]]</f>
        <v>3270.2090430993776</v>
      </c>
      <c r="K1554" s="1">
        <v>750</v>
      </c>
      <c r="L1554" s="1">
        <v>315</v>
      </c>
    </row>
    <row r="1555" spans="1:12" x14ac:dyDescent="0.3">
      <c r="A1555" s="2">
        <v>45924</v>
      </c>
      <c r="B1555" s="1" t="s">
        <v>247</v>
      </c>
      <c r="C1555" s="1" t="s">
        <v>32</v>
      </c>
      <c r="D1555" s="1" t="s">
        <v>173</v>
      </c>
      <c r="E1555" s="1" t="s">
        <v>38</v>
      </c>
      <c r="F1555" s="1" t="s">
        <v>39</v>
      </c>
      <c r="G1555" s="4">
        <v>18</v>
      </c>
      <c r="H1555" s="4">
        <v>6107</v>
      </c>
      <c r="I1555" s="6">
        <v>4450.7909569006224</v>
      </c>
      <c r="J1555" s="6">
        <f>表1[[#This Row],[销售金额]]-表1[[#This Row],[退款金额]]</f>
        <v>1656.2090430993776</v>
      </c>
      <c r="K1555" s="1">
        <v>750</v>
      </c>
      <c r="L1555" s="1">
        <v>315</v>
      </c>
    </row>
    <row r="1556" spans="1:12" x14ac:dyDescent="0.3">
      <c r="A1556" s="2">
        <v>45924</v>
      </c>
      <c r="B1556" s="1" t="s">
        <v>247</v>
      </c>
      <c r="C1556" s="1" t="s">
        <v>32</v>
      </c>
      <c r="D1556" s="1" t="s">
        <v>173</v>
      </c>
      <c r="E1556" s="1" t="s">
        <v>38</v>
      </c>
      <c r="F1556" s="1" t="s">
        <v>39</v>
      </c>
      <c r="G1556" s="4">
        <v>18</v>
      </c>
      <c r="H1556" s="4">
        <v>8446</v>
      </c>
      <c r="I1556" s="6">
        <v>4450.7909569006224</v>
      </c>
      <c r="J1556" s="6">
        <f>表1[[#This Row],[销售金额]]-表1[[#This Row],[退款金额]]</f>
        <v>3995.2090430993776</v>
      </c>
      <c r="K1556" s="1">
        <v>750</v>
      </c>
      <c r="L1556" s="1">
        <v>315</v>
      </c>
    </row>
    <row r="1557" spans="1:12" x14ac:dyDescent="0.3">
      <c r="A1557" s="2">
        <v>45925</v>
      </c>
      <c r="B1557" s="1" t="s">
        <v>250</v>
      </c>
      <c r="C1557" s="1" t="s">
        <v>19</v>
      </c>
      <c r="D1557" s="1" t="s">
        <v>68</v>
      </c>
      <c r="E1557" s="1" t="s">
        <v>51</v>
      </c>
      <c r="F1557" s="1" t="s">
        <v>52</v>
      </c>
      <c r="G1557" s="4">
        <v>1</v>
      </c>
      <c r="H1557" s="4">
        <v>4563</v>
      </c>
      <c r="I1557" s="6">
        <v>700.62416353316462</v>
      </c>
      <c r="J1557" s="6">
        <f>表1[[#This Row],[销售金额]]-表1[[#This Row],[退款金额]]</f>
        <v>3862.3758364668356</v>
      </c>
      <c r="K1557" s="1">
        <v>159</v>
      </c>
      <c r="L1557" s="1">
        <v>568</v>
      </c>
    </row>
    <row r="1558" spans="1:12" x14ac:dyDescent="0.3">
      <c r="A1558" s="2">
        <v>45925</v>
      </c>
      <c r="B1558" s="1" t="s">
        <v>247</v>
      </c>
      <c r="C1558" s="1" t="s">
        <v>10</v>
      </c>
      <c r="D1558" s="1" t="s">
        <v>111</v>
      </c>
      <c r="E1558" s="1" t="s">
        <v>8</v>
      </c>
      <c r="F1558" s="1" t="s">
        <v>9</v>
      </c>
      <c r="G1558" s="4">
        <v>1</v>
      </c>
      <c r="H1558" s="4">
        <v>200</v>
      </c>
      <c r="I1558" s="6">
        <v>128.56422653143457</v>
      </c>
      <c r="J1558" s="6">
        <f>表1[[#This Row],[销售金额]]-表1[[#This Row],[退款金额]]</f>
        <v>71.435773468565429</v>
      </c>
      <c r="K1558" s="1">
        <v>195</v>
      </c>
      <c r="L1558" s="1">
        <v>432</v>
      </c>
    </row>
    <row r="1559" spans="1:12" x14ac:dyDescent="0.3">
      <c r="A1559" s="2">
        <v>45925</v>
      </c>
      <c r="B1559" s="1" t="s">
        <v>248</v>
      </c>
      <c r="C1559" s="1" t="s">
        <v>10</v>
      </c>
      <c r="D1559" s="1" t="s">
        <v>116</v>
      </c>
      <c r="E1559" s="1" t="s">
        <v>13</v>
      </c>
      <c r="F1559" s="1" t="s">
        <v>14</v>
      </c>
      <c r="G1559" s="4">
        <v>1</v>
      </c>
      <c r="H1559" s="4">
        <v>5947</v>
      </c>
      <c r="I1559" s="6">
        <v>4238.8592468368633</v>
      </c>
      <c r="J1559" s="6">
        <f>表1[[#This Row],[销售金额]]-表1[[#This Row],[退款金额]]</f>
        <v>1708.1407531631367</v>
      </c>
      <c r="K1559" s="1">
        <v>786</v>
      </c>
      <c r="L1559" s="1">
        <v>752</v>
      </c>
    </row>
    <row r="1560" spans="1:12" x14ac:dyDescent="0.3">
      <c r="A1560" s="2">
        <v>45925</v>
      </c>
      <c r="B1560" s="1" t="s">
        <v>15</v>
      </c>
      <c r="C1560" s="1" t="s">
        <v>19</v>
      </c>
      <c r="D1560" s="1" t="s">
        <v>233</v>
      </c>
      <c r="E1560" s="1" t="s">
        <v>51</v>
      </c>
      <c r="F1560" s="1" t="s">
        <v>52</v>
      </c>
      <c r="G1560" s="4">
        <v>1</v>
      </c>
      <c r="H1560" s="4">
        <v>5267</v>
      </c>
      <c r="I1560" s="6">
        <v>609.96679716649226</v>
      </c>
      <c r="J1560" s="6">
        <f>表1[[#This Row],[销售金额]]-表1[[#This Row],[退款金额]]</f>
        <v>4657.0332028335079</v>
      </c>
      <c r="K1560" s="1">
        <v>556</v>
      </c>
      <c r="L1560" s="1">
        <v>592</v>
      </c>
    </row>
    <row r="1561" spans="1:12" x14ac:dyDescent="0.3">
      <c r="A1561" s="2">
        <v>45925</v>
      </c>
      <c r="B1561" s="1" t="s">
        <v>250</v>
      </c>
      <c r="C1561" s="1" t="s">
        <v>19</v>
      </c>
      <c r="D1561" s="1" t="s">
        <v>68</v>
      </c>
      <c r="E1561" s="1" t="s">
        <v>51</v>
      </c>
      <c r="F1561" s="1" t="s">
        <v>52</v>
      </c>
      <c r="G1561" s="4">
        <v>1</v>
      </c>
      <c r="H1561" s="4">
        <v>2200</v>
      </c>
      <c r="I1561" s="6">
        <v>700.62416353316462</v>
      </c>
      <c r="J1561" s="6">
        <f>表1[[#This Row],[销售金额]]-表1[[#This Row],[退款金额]]</f>
        <v>1499.3758364668354</v>
      </c>
      <c r="K1561" s="1">
        <v>159</v>
      </c>
      <c r="L1561" s="1">
        <v>568</v>
      </c>
    </row>
    <row r="1562" spans="1:12" x14ac:dyDescent="0.3">
      <c r="A1562" s="2">
        <v>45925</v>
      </c>
      <c r="B1562" s="1" t="s">
        <v>247</v>
      </c>
      <c r="C1562" s="1" t="s">
        <v>10</v>
      </c>
      <c r="D1562" s="1" t="s">
        <v>111</v>
      </c>
      <c r="E1562" s="1" t="s">
        <v>8</v>
      </c>
      <c r="F1562" s="1" t="s">
        <v>9</v>
      </c>
      <c r="G1562" s="4">
        <v>1</v>
      </c>
      <c r="H1562" s="4">
        <v>812</v>
      </c>
      <c r="I1562" s="6">
        <v>128.56422653143457</v>
      </c>
      <c r="J1562" s="6">
        <f>表1[[#This Row],[销售金额]]-表1[[#This Row],[退款金额]]</f>
        <v>683.43577346856546</v>
      </c>
      <c r="K1562" s="1">
        <v>195</v>
      </c>
      <c r="L1562" s="1">
        <v>432</v>
      </c>
    </row>
    <row r="1563" spans="1:12" x14ac:dyDescent="0.3">
      <c r="A1563" s="2">
        <v>45925</v>
      </c>
      <c r="B1563" s="1" t="s">
        <v>248</v>
      </c>
      <c r="C1563" s="1" t="s">
        <v>10</v>
      </c>
      <c r="D1563" s="1" t="s">
        <v>116</v>
      </c>
      <c r="E1563" s="1" t="s">
        <v>13</v>
      </c>
      <c r="F1563" s="1" t="s">
        <v>14</v>
      </c>
      <c r="G1563" s="4">
        <v>1</v>
      </c>
      <c r="H1563" s="4">
        <v>4481</v>
      </c>
      <c r="I1563" s="6">
        <v>4238.8592468368633</v>
      </c>
      <c r="J1563" s="6">
        <f>表1[[#This Row],[销售金额]]-表1[[#This Row],[退款金额]]</f>
        <v>242.14075316313665</v>
      </c>
      <c r="K1563" s="1">
        <v>786</v>
      </c>
      <c r="L1563" s="1">
        <v>752</v>
      </c>
    </row>
    <row r="1564" spans="1:12" x14ac:dyDescent="0.3">
      <c r="A1564" s="2">
        <v>45925</v>
      </c>
      <c r="B1564" s="1" t="s">
        <v>15</v>
      </c>
      <c r="C1564" s="1" t="s">
        <v>19</v>
      </c>
      <c r="D1564" s="1" t="s">
        <v>233</v>
      </c>
      <c r="E1564" s="1" t="s">
        <v>51</v>
      </c>
      <c r="F1564" s="1" t="s">
        <v>52</v>
      </c>
      <c r="G1564" s="4">
        <v>1</v>
      </c>
      <c r="H1564" s="4">
        <v>5255</v>
      </c>
      <c r="I1564" s="6">
        <v>609.96679716649226</v>
      </c>
      <c r="J1564" s="6">
        <f>表1[[#This Row],[销售金额]]-表1[[#This Row],[退款金额]]</f>
        <v>4645.0332028335079</v>
      </c>
      <c r="K1564" s="1">
        <v>556</v>
      </c>
      <c r="L1564" s="1">
        <v>592</v>
      </c>
    </row>
    <row r="1565" spans="1:12" x14ac:dyDescent="0.3">
      <c r="A1565" s="2">
        <v>45925</v>
      </c>
      <c r="B1565" s="1" t="s">
        <v>250</v>
      </c>
      <c r="C1565" s="1" t="s">
        <v>19</v>
      </c>
      <c r="D1565" s="1" t="s">
        <v>68</v>
      </c>
      <c r="E1565" s="1" t="s">
        <v>51</v>
      </c>
      <c r="F1565" s="1" t="s">
        <v>52</v>
      </c>
      <c r="G1565" s="4">
        <v>1</v>
      </c>
      <c r="H1565" s="4">
        <v>1689</v>
      </c>
      <c r="I1565" s="6">
        <v>700.62416353316462</v>
      </c>
      <c r="J1565" s="6">
        <f>表1[[#This Row],[销售金额]]-表1[[#This Row],[退款金额]]</f>
        <v>988.37583646683538</v>
      </c>
      <c r="K1565" s="1">
        <v>159</v>
      </c>
      <c r="L1565" s="1">
        <v>568</v>
      </c>
    </row>
    <row r="1566" spans="1:12" x14ac:dyDescent="0.3">
      <c r="A1566" s="2">
        <v>45925</v>
      </c>
      <c r="B1566" s="1" t="s">
        <v>247</v>
      </c>
      <c r="C1566" s="1" t="s">
        <v>10</v>
      </c>
      <c r="D1566" s="1" t="s">
        <v>111</v>
      </c>
      <c r="E1566" s="1" t="s">
        <v>8</v>
      </c>
      <c r="F1566" s="1" t="s">
        <v>9</v>
      </c>
      <c r="G1566" s="4">
        <v>1</v>
      </c>
      <c r="H1566" s="4">
        <v>4922</v>
      </c>
      <c r="I1566" s="6">
        <v>128.56422653143457</v>
      </c>
      <c r="J1566" s="6">
        <f>表1[[#This Row],[销售金额]]-表1[[#This Row],[退款金额]]</f>
        <v>4793.4357734685655</v>
      </c>
      <c r="K1566" s="1">
        <v>195</v>
      </c>
      <c r="L1566" s="1">
        <v>432</v>
      </c>
    </row>
    <row r="1567" spans="1:12" x14ac:dyDescent="0.3">
      <c r="A1567" s="2">
        <v>45925</v>
      </c>
      <c r="B1567" s="1" t="s">
        <v>248</v>
      </c>
      <c r="C1567" s="1" t="s">
        <v>10</v>
      </c>
      <c r="D1567" s="1" t="s">
        <v>116</v>
      </c>
      <c r="E1567" s="1" t="s">
        <v>13</v>
      </c>
      <c r="F1567" s="1" t="s">
        <v>14</v>
      </c>
      <c r="G1567" s="4">
        <v>1</v>
      </c>
      <c r="H1567" s="4">
        <v>9182</v>
      </c>
      <c r="I1567" s="6">
        <v>4238.8592468368633</v>
      </c>
      <c r="J1567" s="6">
        <f>表1[[#This Row],[销售金额]]-表1[[#This Row],[退款金额]]</f>
        <v>4943.1407531631367</v>
      </c>
      <c r="K1567" s="1">
        <v>786</v>
      </c>
      <c r="L1567" s="1">
        <v>752</v>
      </c>
    </row>
    <row r="1568" spans="1:12" x14ac:dyDescent="0.3">
      <c r="A1568" s="2">
        <v>45925</v>
      </c>
      <c r="B1568" s="1" t="s">
        <v>15</v>
      </c>
      <c r="C1568" s="1" t="s">
        <v>19</v>
      </c>
      <c r="D1568" s="1" t="s">
        <v>233</v>
      </c>
      <c r="E1568" s="1" t="s">
        <v>51</v>
      </c>
      <c r="F1568" s="1" t="s">
        <v>52</v>
      </c>
      <c r="G1568" s="4">
        <v>1</v>
      </c>
      <c r="H1568" s="4">
        <v>4575</v>
      </c>
      <c r="I1568" s="6">
        <v>609.96679716649226</v>
      </c>
      <c r="J1568" s="6">
        <f>表1[[#This Row],[销售金额]]-表1[[#This Row],[退款金额]]</f>
        <v>3965.0332028335079</v>
      </c>
      <c r="K1568" s="1">
        <v>556</v>
      </c>
      <c r="L1568" s="1">
        <v>592</v>
      </c>
    </row>
    <row r="1569" spans="1:12" x14ac:dyDescent="0.3">
      <c r="A1569" s="2">
        <v>45925</v>
      </c>
      <c r="B1569" s="1" t="s">
        <v>250</v>
      </c>
      <c r="C1569" s="1" t="s">
        <v>19</v>
      </c>
      <c r="D1569" s="1" t="s">
        <v>68</v>
      </c>
      <c r="E1569" s="1" t="s">
        <v>51</v>
      </c>
      <c r="F1569" s="1" t="s">
        <v>52</v>
      </c>
      <c r="G1569" s="4">
        <v>1</v>
      </c>
      <c r="H1569" s="4">
        <v>1721</v>
      </c>
      <c r="I1569" s="6">
        <v>700.62416353316462</v>
      </c>
      <c r="J1569" s="6">
        <f>表1[[#This Row],[销售金额]]-表1[[#This Row],[退款金额]]</f>
        <v>1020.3758364668354</v>
      </c>
      <c r="K1569" s="1">
        <v>159</v>
      </c>
      <c r="L1569" s="1">
        <v>568</v>
      </c>
    </row>
    <row r="1570" spans="1:12" x14ac:dyDescent="0.3">
      <c r="A1570" s="2">
        <v>45925</v>
      </c>
      <c r="B1570" s="1" t="s">
        <v>247</v>
      </c>
      <c r="C1570" s="1" t="s">
        <v>10</v>
      </c>
      <c r="D1570" s="1" t="s">
        <v>111</v>
      </c>
      <c r="E1570" s="1" t="s">
        <v>8</v>
      </c>
      <c r="F1570" s="1" t="s">
        <v>9</v>
      </c>
      <c r="G1570" s="4">
        <v>1</v>
      </c>
      <c r="H1570" s="4">
        <v>4187</v>
      </c>
      <c r="I1570" s="6">
        <v>128.56422653143457</v>
      </c>
      <c r="J1570" s="6">
        <f>表1[[#This Row],[销售金额]]-表1[[#This Row],[退款金额]]</f>
        <v>4058.4357734685655</v>
      </c>
      <c r="K1570" s="1">
        <v>195</v>
      </c>
      <c r="L1570" s="1">
        <v>432</v>
      </c>
    </row>
    <row r="1571" spans="1:12" x14ac:dyDescent="0.3">
      <c r="A1571" s="2">
        <v>45925</v>
      </c>
      <c r="B1571" s="1" t="s">
        <v>248</v>
      </c>
      <c r="C1571" s="1" t="s">
        <v>10</v>
      </c>
      <c r="D1571" s="1" t="s">
        <v>116</v>
      </c>
      <c r="E1571" s="1" t="s">
        <v>13</v>
      </c>
      <c r="F1571" s="1" t="s">
        <v>14</v>
      </c>
      <c r="G1571" s="4">
        <v>1</v>
      </c>
      <c r="H1571" s="4">
        <v>7340</v>
      </c>
      <c r="I1571" s="6">
        <v>4238.8592468368633</v>
      </c>
      <c r="J1571" s="6">
        <f>表1[[#This Row],[销售金额]]-表1[[#This Row],[退款金额]]</f>
        <v>3101.1407531631367</v>
      </c>
      <c r="K1571" s="1">
        <v>786</v>
      </c>
      <c r="L1571" s="1">
        <v>752</v>
      </c>
    </row>
    <row r="1572" spans="1:12" x14ac:dyDescent="0.3">
      <c r="A1572" s="2">
        <v>45925</v>
      </c>
      <c r="B1572" s="1" t="s">
        <v>15</v>
      </c>
      <c r="C1572" s="1" t="s">
        <v>19</v>
      </c>
      <c r="D1572" s="1" t="s">
        <v>233</v>
      </c>
      <c r="E1572" s="1" t="s">
        <v>51</v>
      </c>
      <c r="F1572" s="1" t="s">
        <v>52</v>
      </c>
      <c r="G1572" s="4">
        <v>1</v>
      </c>
      <c r="H1572" s="4">
        <v>4285</v>
      </c>
      <c r="I1572" s="6">
        <v>609.96679716649226</v>
      </c>
      <c r="J1572" s="6">
        <f>表1[[#This Row],[销售金额]]-表1[[#This Row],[退款金额]]</f>
        <v>3675.0332028335079</v>
      </c>
      <c r="K1572" s="1">
        <v>556</v>
      </c>
      <c r="L1572" s="1">
        <v>592</v>
      </c>
    </row>
    <row r="1573" spans="1:12" x14ac:dyDescent="0.3">
      <c r="A1573" s="2">
        <v>45925</v>
      </c>
      <c r="B1573" s="1" t="s">
        <v>250</v>
      </c>
      <c r="C1573" s="1" t="s">
        <v>19</v>
      </c>
      <c r="D1573" s="1" t="s">
        <v>68</v>
      </c>
      <c r="E1573" s="1" t="s">
        <v>51</v>
      </c>
      <c r="F1573" s="1" t="s">
        <v>52</v>
      </c>
      <c r="G1573" s="4">
        <v>1</v>
      </c>
      <c r="H1573" s="4">
        <v>3679</v>
      </c>
      <c r="I1573" s="6">
        <v>700.62416353316462</v>
      </c>
      <c r="J1573" s="6">
        <f>表1[[#This Row],[销售金额]]-表1[[#This Row],[退款金额]]</f>
        <v>2978.3758364668356</v>
      </c>
      <c r="K1573" s="1">
        <v>159</v>
      </c>
      <c r="L1573" s="1">
        <v>568</v>
      </c>
    </row>
    <row r="1574" spans="1:12" x14ac:dyDescent="0.3">
      <c r="A1574" s="2">
        <v>45925</v>
      </c>
      <c r="B1574" s="1" t="s">
        <v>247</v>
      </c>
      <c r="C1574" s="1" t="s">
        <v>10</v>
      </c>
      <c r="D1574" s="1" t="s">
        <v>111</v>
      </c>
      <c r="E1574" s="1" t="s">
        <v>8</v>
      </c>
      <c r="F1574" s="1" t="s">
        <v>9</v>
      </c>
      <c r="G1574" s="4">
        <v>1</v>
      </c>
      <c r="H1574" s="4">
        <v>1983</v>
      </c>
      <c r="I1574" s="6">
        <v>128.56422653143457</v>
      </c>
      <c r="J1574" s="6">
        <f>表1[[#This Row],[销售金额]]-表1[[#This Row],[退款金额]]</f>
        <v>1854.4357734685655</v>
      </c>
      <c r="K1574" s="1">
        <v>195</v>
      </c>
      <c r="L1574" s="1">
        <v>432</v>
      </c>
    </row>
    <row r="1575" spans="1:12" x14ac:dyDescent="0.3">
      <c r="A1575" s="2">
        <v>45925</v>
      </c>
      <c r="B1575" s="1" t="s">
        <v>248</v>
      </c>
      <c r="C1575" s="1" t="s">
        <v>10</v>
      </c>
      <c r="D1575" s="1" t="s">
        <v>116</v>
      </c>
      <c r="E1575" s="1" t="s">
        <v>13</v>
      </c>
      <c r="F1575" s="1" t="s">
        <v>14</v>
      </c>
      <c r="G1575" s="4">
        <v>1</v>
      </c>
      <c r="H1575" s="4">
        <v>6850</v>
      </c>
      <c r="I1575" s="6">
        <v>4238.8592468368633</v>
      </c>
      <c r="J1575" s="6">
        <f>表1[[#This Row],[销售金额]]-表1[[#This Row],[退款金额]]</f>
        <v>2611.1407531631367</v>
      </c>
      <c r="K1575" s="1">
        <v>786</v>
      </c>
      <c r="L1575" s="1">
        <v>752</v>
      </c>
    </row>
    <row r="1576" spans="1:12" x14ac:dyDescent="0.3">
      <c r="A1576" s="2">
        <v>45925</v>
      </c>
      <c r="B1576" s="1" t="s">
        <v>15</v>
      </c>
      <c r="C1576" s="1" t="s">
        <v>19</v>
      </c>
      <c r="D1576" s="1" t="s">
        <v>233</v>
      </c>
      <c r="E1576" s="1" t="s">
        <v>51</v>
      </c>
      <c r="F1576" s="1" t="s">
        <v>52</v>
      </c>
      <c r="G1576" s="4">
        <v>1</v>
      </c>
      <c r="H1576" s="4">
        <v>2881</v>
      </c>
      <c r="I1576" s="6">
        <v>609.96679716649226</v>
      </c>
      <c r="J1576" s="6">
        <f>表1[[#This Row],[销售金额]]-表1[[#This Row],[退款金额]]</f>
        <v>2271.0332028335079</v>
      </c>
      <c r="K1576" s="1">
        <v>556</v>
      </c>
      <c r="L1576" s="1">
        <v>592</v>
      </c>
    </row>
    <row r="1577" spans="1:12" x14ac:dyDescent="0.3">
      <c r="A1577" s="2">
        <v>45925</v>
      </c>
      <c r="B1577" s="1" t="s">
        <v>250</v>
      </c>
      <c r="C1577" s="1" t="s">
        <v>19</v>
      </c>
      <c r="D1577" s="1" t="s">
        <v>68</v>
      </c>
      <c r="E1577" s="1" t="s">
        <v>51</v>
      </c>
      <c r="F1577" s="1" t="s">
        <v>52</v>
      </c>
      <c r="G1577" s="4">
        <v>1</v>
      </c>
      <c r="H1577" s="4">
        <v>1475</v>
      </c>
      <c r="I1577" s="6">
        <v>700.62416353316462</v>
      </c>
      <c r="J1577" s="6">
        <f>表1[[#This Row],[销售金额]]-表1[[#This Row],[退款金额]]</f>
        <v>774.37583646683538</v>
      </c>
      <c r="K1577" s="1">
        <v>159</v>
      </c>
      <c r="L1577" s="1">
        <v>568</v>
      </c>
    </row>
    <row r="1578" spans="1:12" x14ac:dyDescent="0.3">
      <c r="A1578" s="2">
        <v>45925</v>
      </c>
      <c r="B1578" s="1" t="s">
        <v>247</v>
      </c>
      <c r="C1578" s="1" t="s">
        <v>10</v>
      </c>
      <c r="D1578" s="1" t="s">
        <v>111</v>
      </c>
      <c r="E1578" s="1" t="s">
        <v>8</v>
      </c>
      <c r="F1578" s="1" t="s">
        <v>9</v>
      </c>
      <c r="G1578" s="4">
        <v>1</v>
      </c>
      <c r="H1578" s="4">
        <v>2215</v>
      </c>
      <c r="I1578" s="6">
        <v>128.56422653143457</v>
      </c>
      <c r="J1578" s="6">
        <f>表1[[#This Row],[销售金额]]-表1[[#This Row],[退款金额]]</f>
        <v>2086.4357734685655</v>
      </c>
      <c r="K1578" s="1">
        <v>195</v>
      </c>
      <c r="L1578" s="1">
        <v>432</v>
      </c>
    </row>
    <row r="1579" spans="1:12" x14ac:dyDescent="0.3">
      <c r="A1579" s="2">
        <v>45925</v>
      </c>
      <c r="B1579" s="1" t="s">
        <v>248</v>
      </c>
      <c r="C1579" s="1" t="s">
        <v>10</v>
      </c>
      <c r="D1579" s="1" t="s">
        <v>116</v>
      </c>
      <c r="E1579" s="1" t="s">
        <v>13</v>
      </c>
      <c r="F1579" s="1" t="s">
        <v>14</v>
      </c>
      <c r="G1579" s="4">
        <v>1</v>
      </c>
      <c r="H1579" s="4">
        <v>4646</v>
      </c>
      <c r="I1579" s="6">
        <v>4238.8592468368633</v>
      </c>
      <c r="J1579" s="6">
        <f>表1[[#This Row],[销售金额]]-表1[[#This Row],[退款金额]]</f>
        <v>407.14075316313665</v>
      </c>
      <c r="K1579" s="1">
        <v>786</v>
      </c>
      <c r="L1579" s="1">
        <v>752</v>
      </c>
    </row>
    <row r="1580" spans="1:12" x14ac:dyDescent="0.3">
      <c r="A1580" s="2">
        <v>45925</v>
      </c>
      <c r="B1580" s="1" t="s">
        <v>15</v>
      </c>
      <c r="C1580" s="1" t="s">
        <v>19</v>
      </c>
      <c r="D1580" s="1" t="s">
        <v>233</v>
      </c>
      <c r="E1580" s="1" t="s">
        <v>51</v>
      </c>
      <c r="F1580" s="1" t="s">
        <v>52</v>
      </c>
      <c r="G1580" s="4">
        <v>1</v>
      </c>
      <c r="H1580" s="4">
        <v>3436</v>
      </c>
      <c r="I1580" s="6">
        <v>609.96679716649226</v>
      </c>
      <c r="J1580" s="6">
        <f>表1[[#This Row],[销售金额]]-表1[[#This Row],[退款金额]]</f>
        <v>2826.0332028335079</v>
      </c>
      <c r="K1580" s="1">
        <v>556</v>
      </c>
      <c r="L1580" s="1">
        <v>592</v>
      </c>
    </row>
    <row r="1581" spans="1:12" x14ac:dyDescent="0.3">
      <c r="A1581" s="2">
        <v>45925</v>
      </c>
      <c r="B1581" s="1" t="s">
        <v>250</v>
      </c>
      <c r="C1581" s="1" t="s">
        <v>19</v>
      </c>
      <c r="D1581" s="1" t="s">
        <v>68</v>
      </c>
      <c r="E1581" s="1" t="s">
        <v>51</v>
      </c>
      <c r="F1581" s="1" t="s">
        <v>52</v>
      </c>
      <c r="G1581" s="4">
        <v>1</v>
      </c>
      <c r="H1581" s="4">
        <v>3978</v>
      </c>
      <c r="I1581" s="6">
        <v>700.62416353316462</v>
      </c>
      <c r="J1581" s="6">
        <f>表1[[#This Row],[销售金额]]-表1[[#This Row],[退款金额]]</f>
        <v>3277.3758364668356</v>
      </c>
      <c r="K1581" s="1">
        <v>159</v>
      </c>
      <c r="L1581" s="1">
        <v>568</v>
      </c>
    </row>
    <row r="1582" spans="1:12" x14ac:dyDescent="0.3">
      <c r="A1582" s="2">
        <v>45925</v>
      </c>
      <c r="B1582" s="1" t="s">
        <v>247</v>
      </c>
      <c r="C1582" s="1" t="s">
        <v>10</v>
      </c>
      <c r="D1582" s="1" t="s">
        <v>111</v>
      </c>
      <c r="E1582" s="1" t="s">
        <v>8</v>
      </c>
      <c r="F1582" s="1" t="s">
        <v>9</v>
      </c>
      <c r="G1582" s="4">
        <v>1</v>
      </c>
      <c r="H1582" s="4">
        <v>1644</v>
      </c>
      <c r="I1582" s="6">
        <v>128.56422653143457</v>
      </c>
      <c r="J1582" s="6">
        <f>表1[[#This Row],[销售金额]]-表1[[#This Row],[退款金额]]</f>
        <v>1515.4357734685655</v>
      </c>
      <c r="K1582" s="1">
        <v>195</v>
      </c>
      <c r="L1582" s="1">
        <v>432</v>
      </c>
    </row>
    <row r="1583" spans="1:12" x14ac:dyDescent="0.3">
      <c r="A1583" s="2">
        <v>45925</v>
      </c>
      <c r="B1583" s="1" t="s">
        <v>248</v>
      </c>
      <c r="C1583" s="1" t="s">
        <v>10</v>
      </c>
      <c r="D1583" s="1" t="s">
        <v>116</v>
      </c>
      <c r="E1583" s="1" t="s">
        <v>13</v>
      </c>
      <c r="F1583" s="1" t="s">
        <v>14</v>
      </c>
      <c r="G1583" s="4">
        <v>1</v>
      </c>
      <c r="H1583" s="4">
        <v>7884</v>
      </c>
      <c r="I1583" s="6">
        <v>4238.8592468368633</v>
      </c>
      <c r="J1583" s="6">
        <f>表1[[#This Row],[销售金额]]-表1[[#This Row],[退款金额]]</f>
        <v>3645.1407531631367</v>
      </c>
      <c r="K1583" s="1">
        <v>786</v>
      </c>
      <c r="L1583" s="1">
        <v>752</v>
      </c>
    </row>
    <row r="1584" spans="1:12" x14ac:dyDescent="0.3">
      <c r="A1584" s="2">
        <v>45925</v>
      </c>
      <c r="B1584" s="1" t="s">
        <v>15</v>
      </c>
      <c r="C1584" s="1" t="s">
        <v>19</v>
      </c>
      <c r="D1584" s="1" t="s">
        <v>233</v>
      </c>
      <c r="E1584" s="1" t="s">
        <v>51</v>
      </c>
      <c r="F1584" s="1" t="s">
        <v>52</v>
      </c>
      <c r="G1584" s="4">
        <v>1</v>
      </c>
      <c r="H1584" s="4">
        <v>5050</v>
      </c>
      <c r="I1584" s="6">
        <v>609.96679716649226</v>
      </c>
      <c r="J1584" s="6">
        <f>表1[[#This Row],[销售金额]]-表1[[#This Row],[退款金额]]</f>
        <v>4440.0332028335079</v>
      </c>
      <c r="K1584" s="1">
        <v>556</v>
      </c>
      <c r="L1584" s="1">
        <v>592</v>
      </c>
    </row>
    <row r="1585" spans="1:12" x14ac:dyDescent="0.3">
      <c r="A1585" s="2">
        <v>45925</v>
      </c>
      <c r="B1585" s="1" t="s">
        <v>250</v>
      </c>
      <c r="C1585" s="1" t="s">
        <v>19</v>
      </c>
      <c r="D1585" s="1" t="s">
        <v>68</v>
      </c>
      <c r="E1585" s="1" t="s">
        <v>51</v>
      </c>
      <c r="F1585" s="1" t="s">
        <v>52</v>
      </c>
      <c r="G1585" s="4">
        <v>1</v>
      </c>
      <c r="H1585" s="4">
        <v>4585</v>
      </c>
      <c r="I1585" s="6">
        <v>700.62416353316462</v>
      </c>
      <c r="J1585" s="6">
        <f>表1[[#This Row],[销售金额]]-表1[[#This Row],[退款金额]]</f>
        <v>3884.3758364668356</v>
      </c>
      <c r="K1585" s="1">
        <v>159</v>
      </c>
      <c r="L1585" s="1">
        <v>568</v>
      </c>
    </row>
    <row r="1586" spans="1:12" x14ac:dyDescent="0.3">
      <c r="A1586" s="2">
        <v>45925</v>
      </c>
      <c r="B1586" s="1" t="s">
        <v>247</v>
      </c>
      <c r="C1586" s="1" t="s">
        <v>10</v>
      </c>
      <c r="D1586" s="1" t="s">
        <v>111</v>
      </c>
      <c r="E1586" s="1" t="s">
        <v>8</v>
      </c>
      <c r="F1586" s="1" t="s">
        <v>9</v>
      </c>
      <c r="G1586" s="4">
        <v>1</v>
      </c>
      <c r="H1586" s="4">
        <v>3620</v>
      </c>
      <c r="I1586" s="6">
        <v>128.56422653143457</v>
      </c>
      <c r="J1586" s="6">
        <f>表1[[#This Row],[销售金额]]-表1[[#This Row],[退款金额]]</f>
        <v>3491.4357734685655</v>
      </c>
      <c r="K1586" s="1">
        <v>195</v>
      </c>
      <c r="L1586" s="1">
        <v>432</v>
      </c>
    </row>
    <row r="1587" spans="1:12" x14ac:dyDescent="0.3">
      <c r="A1587" s="2">
        <v>45925</v>
      </c>
      <c r="B1587" s="1" t="s">
        <v>248</v>
      </c>
      <c r="C1587" s="1" t="s">
        <v>10</v>
      </c>
      <c r="D1587" s="1" t="s">
        <v>116</v>
      </c>
      <c r="E1587" s="1" t="s">
        <v>13</v>
      </c>
      <c r="F1587" s="1" t="s">
        <v>14</v>
      </c>
      <c r="G1587" s="4">
        <v>1</v>
      </c>
      <c r="H1587" s="4">
        <v>6033</v>
      </c>
      <c r="I1587" s="6">
        <v>4238.8592468368633</v>
      </c>
      <c r="J1587" s="6">
        <f>表1[[#This Row],[销售金额]]-表1[[#This Row],[退款金额]]</f>
        <v>1794.1407531631367</v>
      </c>
      <c r="K1587" s="1">
        <v>786</v>
      </c>
      <c r="L1587" s="1">
        <v>752</v>
      </c>
    </row>
    <row r="1588" spans="1:12" x14ac:dyDescent="0.3">
      <c r="A1588" s="2">
        <v>45925</v>
      </c>
      <c r="B1588" s="1" t="s">
        <v>15</v>
      </c>
      <c r="C1588" s="1" t="s">
        <v>19</v>
      </c>
      <c r="D1588" s="1" t="s">
        <v>233</v>
      </c>
      <c r="E1588" s="1" t="s">
        <v>51</v>
      </c>
      <c r="F1588" s="1" t="s">
        <v>52</v>
      </c>
      <c r="G1588" s="4">
        <v>1</v>
      </c>
      <c r="H1588" s="4">
        <v>5258</v>
      </c>
      <c r="I1588" s="6">
        <v>609.96679716649226</v>
      </c>
      <c r="J1588" s="6">
        <f>表1[[#This Row],[销售金额]]-表1[[#This Row],[退款金额]]</f>
        <v>4648.0332028335079</v>
      </c>
      <c r="K1588" s="1">
        <v>556</v>
      </c>
      <c r="L1588" s="1">
        <v>592</v>
      </c>
    </row>
    <row r="1589" spans="1:12" x14ac:dyDescent="0.3">
      <c r="A1589" s="2">
        <v>45925</v>
      </c>
      <c r="B1589" s="1" t="s">
        <v>250</v>
      </c>
      <c r="C1589" s="1" t="s">
        <v>19</v>
      </c>
      <c r="D1589" s="1" t="s">
        <v>68</v>
      </c>
      <c r="E1589" s="1" t="s">
        <v>51</v>
      </c>
      <c r="F1589" s="1" t="s">
        <v>52</v>
      </c>
      <c r="G1589" s="4">
        <v>1</v>
      </c>
      <c r="H1589" s="4">
        <v>2208</v>
      </c>
      <c r="I1589" s="6">
        <v>700.62416353316462</v>
      </c>
      <c r="J1589" s="6">
        <f>表1[[#This Row],[销售金额]]-表1[[#This Row],[退款金额]]</f>
        <v>1507.3758364668354</v>
      </c>
      <c r="K1589" s="1">
        <v>159</v>
      </c>
      <c r="L1589" s="1">
        <v>568</v>
      </c>
    </row>
    <row r="1590" spans="1:12" x14ac:dyDescent="0.3">
      <c r="A1590" s="2">
        <v>45925</v>
      </c>
      <c r="B1590" s="1" t="s">
        <v>247</v>
      </c>
      <c r="C1590" s="1" t="s">
        <v>10</v>
      </c>
      <c r="D1590" s="1" t="s">
        <v>111</v>
      </c>
      <c r="E1590" s="1" t="s">
        <v>8</v>
      </c>
      <c r="F1590" s="1" t="s">
        <v>9</v>
      </c>
      <c r="G1590" s="4">
        <v>1</v>
      </c>
      <c r="H1590" s="4">
        <v>190</v>
      </c>
      <c r="I1590" s="6">
        <v>128.56422653143457</v>
      </c>
      <c r="J1590" s="6">
        <f>表1[[#This Row],[销售金额]]-表1[[#This Row],[退款金额]]</f>
        <v>61.435773468565429</v>
      </c>
      <c r="K1590" s="1">
        <v>195</v>
      </c>
      <c r="L1590" s="1">
        <v>432</v>
      </c>
    </row>
    <row r="1591" spans="1:12" x14ac:dyDescent="0.3">
      <c r="A1591" s="2">
        <v>45925</v>
      </c>
      <c r="B1591" s="1" t="s">
        <v>248</v>
      </c>
      <c r="C1591" s="1" t="s">
        <v>10</v>
      </c>
      <c r="D1591" s="1" t="s">
        <v>116</v>
      </c>
      <c r="E1591" s="1" t="s">
        <v>13</v>
      </c>
      <c r="F1591" s="1" t="s">
        <v>14</v>
      </c>
      <c r="G1591" s="4">
        <v>1</v>
      </c>
      <c r="H1591" s="4">
        <v>7243</v>
      </c>
      <c r="I1591" s="6">
        <v>4238.8592468368633</v>
      </c>
      <c r="J1591" s="6">
        <f>表1[[#This Row],[销售金额]]-表1[[#This Row],[退款金额]]</f>
        <v>3004.1407531631367</v>
      </c>
      <c r="K1591" s="1">
        <v>786</v>
      </c>
      <c r="L1591" s="1">
        <v>752</v>
      </c>
    </row>
    <row r="1592" spans="1:12" x14ac:dyDescent="0.3">
      <c r="A1592" s="2">
        <v>45925</v>
      </c>
      <c r="B1592" s="1" t="s">
        <v>247</v>
      </c>
      <c r="C1592" s="1" t="s">
        <v>32</v>
      </c>
      <c r="D1592" s="1" t="s">
        <v>146</v>
      </c>
      <c r="E1592" s="1" t="s">
        <v>38</v>
      </c>
      <c r="F1592" s="1" t="s">
        <v>39</v>
      </c>
      <c r="G1592" s="4">
        <v>5</v>
      </c>
      <c r="H1592" s="4">
        <v>2463</v>
      </c>
      <c r="I1592" s="6">
        <v>2227.9101676758328</v>
      </c>
      <c r="J1592" s="6">
        <f>表1[[#This Row],[销售金额]]-表1[[#This Row],[退款金额]]</f>
        <v>235.08983232416722</v>
      </c>
      <c r="K1592" s="1">
        <v>807</v>
      </c>
      <c r="L1592" s="1">
        <v>517</v>
      </c>
    </row>
    <row r="1593" spans="1:12" x14ac:dyDescent="0.3">
      <c r="A1593" s="2">
        <v>45925</v>
      </c>
      <c r="B1593" s="1" t="s">
        <v>247</v>
      </c>
      <c r="C1593" s="1" t="s">
        <v>32</v>
      </c>
      <c r="D1593" s="1" t="s">
        <v>146</v>
      </c>
      <c r="E1593" s="1" t="s">
        <v>38</v>
      </c>
      <c r="F1593" s="1" t="s">
        <v>39</v>
      </c>
      <c r="G1593" s="4">
        <v>5</v>
      </c>
      <c r="H1593" s="4">
        <v>2888</v>
      </c>
      <c r="I1593" s="6">
        <v>2227.9101676758328</v>
      </c>
      <c r="J1593" s="6">
        <f>表1[[#This Row],[销售金额]]-表1[[#This Row],[退款金额]]</f>
        <v>660.08983232416722</v>
      </c>
      <c r="K1593" s="1">
        <v>807</v>
      </c>
      <c r="L1593" s="1">
        <v>517</v>
      </c>
    </row>
    <row r="1594" spans="1:12" x14ac:dyDescent="0.3">
      <c r="A1594" s="2">
        <v>45925</v>
      </c>
      <c r="B1594" s="1" t="s">
        <v>247</v>
      </c>
      <c r="C1594" s="1" t="s">
        <v>32</v>
      </c>
      <c r="D1594" s="1" t="s">
        <v>146</v>
      </c>
      <c r="E1594" s="1" t="s">
        <v>38</v>
      </c>
      <c r="F1594" s="1" t="s">
        <v>39</v>
      </c>
      <c r="G1594" s="4">
        <v>5</v>
      </c>
      <c r="H1594" s="4">
        <v>5403</v>
      </c>
      <c r="I1594" s="6">
        <v>2227.9101676758328</v>
      </c>
      <c r="J1594" s="6">
        <f>表1[[#This Row],[销售金额]]-表1[[#This Row],[退款金额]]</f>
        <v>3175.0898323241672</v>
      </c>
      <c r="K1594" s="1">
        <v>807</v>
      </c>
      <c r="L1594" s="1">
        <v>517</v>
      </c>
    </row>
    <row r="1595" spans="1:12" x14ac:dyDescent="0.3">
      <c r="A1595" s="2">
        <v>45925</v>
      </c>
      <c r="B1595" s="1" t="s">
        <v>247</v>
      </c>
      <c r="C1595" s="1" t="s">
        <v>32</v>
      </c>
      <c r="D1595" s="1" t="s">
        <v>146</v>
      </c>
      <c r="E1595" s="1" t="s">
        <v>38</v>
      </c>
      <c r="F1595" s="1" t="s">
        <v>39</v>
      </c>
      <c r="G1595" s="4">
        <v>5</v>
      </c>
      <c r="H1595" s="4">
        <v>3407</v>
      </c>
      <c r="I1595" s="6">
        <v>2227.9101676758328</v>
      </c>
      <c r="J1595" s="6">
        <f>表1[[#This Row],[销售金额]]-表1[[#This Row],[退款金额]]</f>
        <v>1179.0898323241672</v>
      </c>
      <c r="K1595" s="1">
        <v>807</v>
      </c>
      <c r="L1595" s="1">
        <v>517</v>
      </c>
    </row>
    <row r="1596" spans="1:12" x14ac:dyDescent="0.3">
      <c r="A1596" s="2">
        <v>45925</v>
      </c>
      <c r="B1596" s="1" t="s">
        <v>247</v>
      </c>
      <c r="C1596" s="1" t="s">
        <v>32</v>
      </c>
      <c r="D1596" s="1" t="s">
        <v>146</v>
      </c>
      <c r="E1596" s="1" t="s">
        <v>38</v>
      </c>
      <c r="F1596" s="1" t="s">
        <v>39</v>
      </c>
      <c r="G1596" s="4">
        <v>5</v>
      </c>
      <c r="H1596" s="4">
        <v>2531</v>
      </c>
      <c r="I1596" s="6">
        <v>2227.9101676758328</v>
      </c>
      <c r="J1596" s="6">
        <f>表1[[#This Row],[销售金额]]-表1[[#This Row],[退款金额]]</f>
        <v>303.08983232416722</v>
      </c>
      <c r="K1596" s="1">
        <v>807</v>
      </c>
      <c r="L1596" s="1">
        <v>517</v>
      </c>
    </row>
    <row r="1597" spans="1:12" x14ac:dyDescent="0.3">
      <c r="A1597" s="2">
        <v>45925</v>
      </c>
      <c r="B1597" s="1" t="s">
        <v>247</v>
      </c>
      <c r="C1597" s="1" t="s">
        <v>32</v>
      </c>
      <c r="D1597" s="1" t="s">
        <v>146</v>
      </c>
      <c r="E1597" s="1" t="s">
        <v>38</v>
      </c>
      <c r="F1597" s="1" t="s">
        <v>39</v>
      </c>
      <c r="G1597" s="4">
        <v>5</v>
      </c>
      <c r="H1597" s="4">
        <v>4680</v>
      </c>
      <c r="I1597" s="6">
        <v>2227.9101676758328</v>
      </c>
      <c r="J1597" s="6">
        <f>表1[[#This Row],[销售金额]]-表1[[#This Row],[退款金额]]</f>
        <v>2452.0898323241672</v>
      </c>
      <c r="K1597" s="1">
        <v>807</v>
      </c>
      <c r="L1597" s="1">
        <v>517</v>
      </c>
    </row>
    <row r="1598" spans="1:12" x14ac:dyDescent="0.3">
      <c r="A1598" s="2">
        <v>45925</v>
      </c>
      <c r="B1598" s="1" t="s">
        <v>247</v>
      </c>
      <c r="C1598" s="1" t="s">
        <v>32</v>
      </c>
      <c r="D1598" s="1" t="s">
        <v>146</v>
      </c>
      <c r="E1598" s="1" t="s">
        <v>38</v>
      </c>
      <c r="F1598" s="1" t="s">
        <v>39</v>
      </c>
      <c r="G1598" s="4">
        <v>5</v>
      </c>
      <c r="H1598" s="4">
        <v>6890</v>
      </c>
      <c r="I1598" s="6">
        <v>2227.9101676758328</v>
      </c>
      <c r="J1598" s="6">
        <f>表1[[#This Row],[销售金额]]-表1[[#This Row],[退款金额]]</f>
        <v>4662.0898323241672</v>
      </c>
      <c r="K1598" s="1">
        <v>807</v>
      </c>
      <c r="L1598" s="1">
        <v>517</v>
      </c>
    </row>
    <row r="1599" spans="1:12" x14ac:dyDescent="0.3">
      <c r="A1599" s="2">
        <v>45925</v>
      </c>
      <c r="B1599" s="1" t="s">
        <v>247</v>
      </c>
      <c r="C1599" s="1" t="s">
        <v>32</v>
      </c>
      <c r="D1599" s="1" t="s">
        <v>146</v>
      </c>
      <c r="E1599" s="1" t="s">
        <v>38</v>
      </c>
      <c r="F1599" s="1" t="s">
        <v>39</v>
      </c>
      <c r="G1599" s="4">
        <v>5</v>
      </c>
      <c r="H1599" s="4">
        <v>7057</v>
      </c>
      <c r="I1599" s="6">
        <v>2227.9101676758328</v>
      </c>
      <c r="J1599" s="6">
        <f>表1[[#This Row],[销售金额]]-表1[[#This Row],[退款金额]]</f>
        <v>4829.0898323241672</v>
      </c>
      <c r="K1599" s="1">
        <v>807</v>
      </c>
      <c r="L1599" s="1">
        <v>517</v>
      </c>
    </row>
    <row r="1600" spans="1:12" x14ac:dyDescent="0.3">
      <c r="A1600" s="2">
        <v>45925</v>
      </c>
      <c r="B1600" s="1" t="s">
        <v>247</v>
      </c>
      <c r="C1600" s="1" t="s">
        <v>32</v>
      </c>
      <c r="D1600" s="1" t="s">
        <v>146</v>
      </c>
      <c r="E1600" s="1" t="s">
        <v>38</v>
      </c>
      <c r="F1600" s="1" t="s">
        <v>39</v>
      </c>
      <c r="G1600" s="4">
        <v>5</v>
      </c>
      <c r="H1600" s="4">
        <v>4775</v>
      </c>
      <c r="I1600" s="6">
        <v>2227.9101676758328</v>
      </c>
      <c r="J1600" s="6">
        <f>表1[[#This Row],[销售金额]]-表1[[#This Row],[退款金额]]</f>
        <v>2547.0898323241672</v>
      </c>
      <c r="K1600" s="1">
        <v>807</v>
      </c>
      <c r="L1600" s="1">
        <v>517</v>
      </c>
    </row>
    <row r="1601" spans="1:12" x14ac:dyDescent="0.3">
      <c r="A1601" s="2">
        <v>45925</v>
      </c>
      <c r="B1601" s="1" t="s">
        <v>25</v>
      </c>
      <c r="C1601" s="1" t="s">
        <v>32</v>
      </c>
      <c r="D1601" s="1" t="s">
        <v>179</v>
      </c>
      <c r="E1601" s="1" t="s">
        <v>30</v>
      </c>
      <c r="F1601" s="1" t="s">
        <v>31</v>
      </c>
      <c r="G1601" s="4">
        <v>9</v>
      </c>
      <c r="H1601" s="4">
        <v>3837</v>
      </c>
      <c r="I1601" s="6">
        <v>1980.2359980046958</v>
      </c>
      <c r="J1601" s="6">
        <f>表1[[#This Row],[销售金额]]-表1[[#This Row],[退款金额]]</f>
        <v>1856.7640019953042</v>
      </c>
      <c r="K1601" s="1">
        <v>422</v>
      </c>
      <c r="L1601" s="1">
        <v>303</v>
      </c>
    </row>
    <row r="1602" spans="1:12" x14ac:dyDescent="0.3">
      <c r="A1602" s="2">
        <v>45925</v>
      </c>
      <c r="B1602" s="1" t="s">
        <v>250</v>
      </c>
      <c r="C1602" s="1" t="s">
        <v>10</v>
      </c>
      <c r="D1602" s="1" t="s">
        <v>62</v>
      </c>
      <c r="E1602" s="1" t="s">
        <v>42</v>
      </c>
      <c r="F1602" s="1" t="s">
        <v>43</v>
      </c>
      <c r="G1602" s="4">
        <v>9</v>
      </c>
      <c r="H1602" s="4">
        <v>30647</v>
      </c>
      <c r="I1602" s="6">
        <v>27354.940360868255</v>
      </c>
      <c r="J1602" s="6">
        <f>表1[[#This Row],[销售金额]]-表1[[#This Row],[退款金额]]</f>
        <v>3292.0596391317449</v>
      </c>
      <c r="K1602" s="1">
        <v>897</v>
      </c>
      <c r="L1602" s="1">
        <v>730</v>
      </c>
    </row>
    <row r="1603" spans="1:12" x14ac:dyDescent="0.3">
      <c r="A1603" s="2">
        <v>45925</v>
      </c>
      <c r="B1603" s="1" t="s">
        <v>25</v>
      </c>
      <c r="C1603" s="1" t="s">
        <v>32</v>
      </c>
      <c r="D1603" s="1" t="s">
        <v>179</v>
      </c>
      <c r="E1603" s="1" t="s">
        <v>30</v>
      </c>
      <c r="F1603" s="1" t="s">
        <v>31</v>
      </c>
      <c r="G1603" s="4">
        <v>9</v>
      </c>
      <c r="H1603" s="4">
        <v>3355</v>
      </c>
      <c r="I1603" s="6">
        <v>1980.2359980046958</v>
      </c>
      <c r="J1603" s="6">
        <f>表1[[#This Row],[销售金额]]-表1[[#This Row],[退款金额]]</f>
        <v>1374.7640019953042</v>
      </c>
      <c r="K1603" s="1">
        <v>422</v>
      </c>
      <c r="L1603" s="1">
        <v>303</v>
      </c>
    </row>
    <row r="1604" spans="1:12" x14ac:dyDescent="0.3">
      <c r="A1604" s="2">
        <v>45925</v>
      </c>
      <c r="B1604" s="1" t="s">
        <v>250</v>
      </c>
      <c r="C1604" s="1" t="s">
        <v>10</v>
      </c>
      <c r="D1604" s="1" t="s">
        <v>62</v>
      </c>
      <c r="E1604" s="1" t="s">
        <v>42</v>
      </c>
      <c r="F1604" s="1" t="s">
        <v>43</v>
      </c>
      <c r="G1604" s="4">
        <v>9</v>
      </c>
      <c r="H1604" s="4">
        <v>28631</v>
      </c>
      <c r="I1604" s="6">
        <v>27354.940360868255</v>
      </c>
      <c r="J1604" s="6">
        <f>表1[[#This Row],[销售金额]]-表1[[#This Row],[退款金额]]</f>
        <v>1276.0596391317449</v>
      </c>
      <c r="K1604" s="1">
        <v>897</v>
      </c>
      <c r="L1604" s="1">
        <v>730</v>
      </c>
    </row>
    <row r="1605" spans="1:12" x14ac:dyDescent="0.3">
      <c r="A1605" s="2">
        <v>45925</v>
      </c>
      <c r="B1605" s="1" t="s">
        <v>25</v>
      </c>
      <c r="C1605" s="1" t="s">
        <v>32</v>
      </c>
      <c r="D1605" s="1" t="s">
        <v>179</v>
      </c>
      <c r="E1605" s="1" t="s">
        <v>30</v>
      </c>
      <c r="F1605" s="1" t="s">
        <v>31</v>
      </c>
      <c r="G1605" s="4">
        <v>9</v>
      </c>
      <c r="H1605" s="4">
        <v>2242</v>
      </c>
      <c r="I1605" s="6">
        <v>1980.2359980046958</v>
      </c>
      <c r="J1605" s="6">
        <f>表1[[#This Row],[销售金额]]-表1[[#This Row],[退款金额]]</f>
        <v>261.76400199530417</v>
      </c>
      <c r="K1605" s="1">
        <v>422</v>
      </c>
      <c r="L1605" s="1">
        <v>303</v>
      </c>
    </row>
    <row r="1606" spans="1:12" x14ac:dyDescent="0.3">
      <c r="A1606" s="2">
        <v>45925</v>
      </c>
      <c r="B1606" s="1" t="s">
        <v>250</v>
      </c>
      <c r="C1606" s="1" t="s">
        <v>10</v>
      </c>
      <c r="D1606" s="1" t="s">
        <v>62</v>
      </c>
      <c r="E1606" s="1" t="s">
        <v>42</v>
      </c>
      <c r="F1606" s="1" t="s">
        <v>43</v>
      </c>
      <c r="G1606" s="4">
        <v>9</v>
      </c>
      <c r="H1606" s="4">
        <v>28799</v>
      </c>
      <c r="I1606" s="6">
        <v>27354.940360868255</v>
      </c>
      <c r="J1606" s="6">
        <f>表1[[#This Row],[销售金额]]-表1[[#This Row],[退款金额]]</f>
        <v>1444.0596391317449</v>
      </c>
      <c r="K1606" s="1">
        <v>897</v>
      </c>
      <c r="L1606" s="1">
        <v>730</v>
      </c>
    </row>
    <row r="1607" spans="1:12" x14ac:dyDescent="0.3">
      <c r="A1607" s="2">
        <v>45925</v>
      </c>
      <c r="B1607" s="1" t="s">
        <v>25</v>
      </c>
      <c r="C1607" s="1" t="s">
        <v>32</v>
      </c>
      <c r="D1607" s="1" t="s">
        <v>179</v>
      </c>
      <c r="E1607" s="1" t="s">
        <v>30</v>
      </c>
      <c r="F1607" s="1" t="s">
        <v>31</v>
      </c>
      <c r="G1607" s="4">
        <v>9</v>
      </c>
      <c r="H1607" s="4">
        <v>4093</v>
      </c>
      <c r="I1607" s="6">
        <v>1980.2359980046958</v>
      </c>
      <c r="J1607" s="6">
        <f>表1[[#This Row],[销售金额]]-表1[[#This Row],[退款金额]]</f>
        <v>2112.7640019953042</v>
      </c>
      <c r="K1607" s="1">
        <v>422</v>
      </c>
      <c r="L1607" s="1">
        <v>303</v>
      </c>
    </row>
    <row r="1608" spans="1:12" x14ac:dyDescent="0.3">
      <c r="A1608" s="2">
        <v>45925</v>
      </c>
      <c r="B1608" s="1" t="s">
        <v>250</v>
      </c>
      <c r="C1608" s="1" t="s">
        <v>10</v>
      </c>
      <c r="D1608" s="1" t="s">
        <v>62</v>
      </c>
      <c r="E1608" s="1" t="s">
        <v>42</v>
      </c>
      <c r="F1608" s="1" t="s">
        <v>43</v>
      </c>
      <c r="G1608" s="4">
        <v>9</v>
      </c>
      <c r="H1608" s="4">
        <v>30143</v>
      </c>
      <c r="I1608" s="6">
        <v>27354.940360868255</v>
      </c>
      <c r="J1608" s="6">
        <f>表1[[#This Row],[销售金额]]-表1[[#This Row],[退款金额]]</f>
        <v>2788.0596391317449</v>
      </c>
      <c r="K1608" s="1">
        <v>897</v>
      </c>
      <c r="L1608" s="1">
        <v>730</v>
      </c>
    </row>
    <row r="1609" spans="1:12" x14ac:dyDescent="0.3">
      <c r="A1609" s="2">
        <v>45925</v>
      </c>
      <c r="B1609" s="1" t="s">
        <v>25</v>
      </c>
      <c r="C1609" s="1" t="s">
        <v>32</v>
      </c>
      <c r="D1609" s="1" t="s">
        <v>179</v>
      </c>
      <c r="E1609" s="1" t="s">
        <v>30</v>
      </c>
      <c r="F1609" s="1" t="s">
        <v>31</v>
      </c>
      <c r="G1609" s="4">
        <v>9</v>
      </c>
      <c r="H1609" s="4">
        <v>2080</v>
      </c>
      <c r="I1609" s="6">
        <v>1980.2359980046958</v>
      </c>
      <c r="J1609" s="6">
        <f>表1[[#This Row],[销售金额]]-表1[[#This Row],[退款金额]]</f>
        <v>99.76400199530417</v>
      </c>
      <c r="K1609" s="1">
        <v>422</v>
      </c>
      <c r="L1609" s="1">
        <v>303</v>
      </c>
    </row>
    <row r="1610" spans="1:12" x14ac:dyDescent="0.3">
      <c r="A1610" s="2">
        <v>45925</v>
      </c>
      <c r="B1610" s="1" t="s">
        <v>250</v>
      </c>
      <c r="C1610" s="1" t="s">
        <v>10</v>
      </c>
      <c r="D1610" s="1" t="s">
        <v>62</v>
      </c>
      <c r="E1610" s="1" t="s">
        <v>42</v>
      </c>
      <c r="F1610" s="1" t="s">
        <v>43</v>
      </c>
      <c r="G1610" s="4">
        <v>9</v>
      </c>
      <c r="H1610" s="4">
        <v>30709</v>
      </c>
      <c r="I1610" s="6">
        <v>27354.940360868255</v>
      </c>
      <c r="J1610" s="6">
        <f>表1[[#This Row],[销售金额]]-表1[[#This Row],[退款金额]]</f>
        <v>3354.0596391317449</v>
      </c>
      <c r="K1610" s="1">
        <v>897</v>
      </c>
      <c r="L1610" s="1">
        <v>730</v>
      </c>
    </row>
    <row r="1611" spans="1:12" x14ac:dyDescent="0.3">
      <c r="A1611" s="2">
        <v>45925</v>
      </c>
      <c r="B1611" s="1" t="s">
        <v>25</v>
      </c>
      <c r="C1611" s="1" t="s">
        <v>32</v>
      </c>
      <c r="D1611" s="1" t="s">
        <v>179</v>
      </c>
      <c r="E1611" s="1" t="s">
        <v>30</v>
      </c>
      <c r="F1611" s="1" t="s">
        <v>31</v>
      </c>
      <c r="G1611" s="4">
        <v>9</v>
      </c>
      <c r="H1611" s="4">
        <v>4660</v>
      </c>
      <c r="I1611" s="6">
        <v>1980.2359980046958</v>
      </c>
      <c r="J1611" s="6">
        <f>表1[[#This Row],[销售金额]]-表1[[#This Row],[退款金额]]</f>
        <v>2679.7640019953042</v>
      </c>
      <c r="K1611" s="1">
        <v>422</v>
      </c>
      <c r="L1611" s="1">
        <v>303</v>
      </c>
    </row>
    <row r="1612" spans="1:12" x14ac:dyDescent="0.3">
      <c r="A1612" s="2">
        <v>45925</v>
      </c>
      <c r="B1612" s="1" t="s">
        <v>250</v>
      </c>
      <c r="C1612" s="1" t="s">
        <v>10</v>
      </c>
      <c r="D1612" s="1" t="s">
        <v>62</v>
      </c>
      <c r="E1612" s="1" t="s">
        <v>42</v>
      </c>
      <c r="F1612" s="1" t="s">
        <v>43</v>
      </c>
      <c r="G1612" s="4">
        <v>9</v>
      </c>
      <c r="H1612" s="4">
        <v>29594</v>
      </c>
      <c r="I1612" s="6">
        <v>27354.940360868255</v>
      </c>
      <c r="J1612" s="6">
        <f>表1[[#This Row],[销售金额]]-表1[[#This Row],[退款金额]]</f>
        <v>2239.0596391317449</v>
      </c>
      <c r="K1612" s="1">
        <v>897</v>
      </c>
      <c r="L1612" s="1">
        <v>730</v>
      </c>
    </row>
    <row r="1613" spans="1:12" x14ac:dyDescent="0.3">
      <c r="A1613" s="2">
        <v>45925</v>
      </c>
      <c r="B1613" s="1" t="s">
        <v>25</v>
      </c>
      <c r="C1613" s="1" t="s">
        <v>32</v>
      </c>
      <c r="D1613" s="1" t="s">
        <v>179</v>
      </c>
      <c r="E1613" s="1" t="s">
        <v>30</v>
      </c>
      <c r="F1613" s="1" t="s">
        <v>31</v>
      </c>
      <c r="G1613" s="4">
        <v>9</v>
      </c>
      <c r="H1613" s="4">
        <v>5782</v>
      </c>
      <c r="I1613" s="6">
        <v>1980.2359980046958</v>
      </c>
      <c r="J1613" s="6">
        <f>表1[[#This Row],[销售金额]]-表1[[#This Row],[退款金额]]</f>
        <v>3801.7640019953042</v>
      </c>
      <c r="K1613" s="1">
        <v>422</v>
      </c>
      <c r="L1613" s="1">
        <v>303</v>
      </c>
    </row>
    <row r="1614" spans="1:12" x14ac:dyDescent="0.3">
      <c r="A1614" s="2">
        <v>45925</v>
      </c>
      <c r="B1614" s="1" t="s">
        <v>250</v>
      </c>
      <c r="C1614" s="1" t="s">
        <v>10</v>
      </c>
      <c r="D1614" s="1" t="s">
        <v>62</v>
      </c>
      <c r="E1614" s="1" t="s">
        <v>42</v>
      </c>
      <c r="F1614" s="1" t="s">
        <v>43</v>
      </c>
      <c r="G1614" s="4">
        <v>9</v>
      </c>
      <c r="H1614" s="4">
        <v>28900</v>
      </c>
      <c r="I1614" s="6">
        <v>27354.940360868255</v>
      </c>
      <c r="J1614" s="6">
        <f>表1[[#This Row],[销售金额]]-表1[[#This Row],[退款金额]]</f>
        <v>1545.0596391317449</v>
      </c>
      <c r="K1614" s="1">
        <v>897</v>
      </c>
      <c r="L1614" s="1">
        <v>730</v>
      </c>
    </row>
    <row r="1615" spans="1:12" x14ac:dyDescent="0.3">
      <c r="A1615" s="2">
        <v>45925</v>
      </c>
      <c r="B1615" s="1" t="s">
        <v>25</v>
      </c>
      <c r="C1615" s="1" t="s">
        <v>32</v>
      </c>
      <c r="D1615" s="1" t="s">
        <v>179</v>
      </c>
      <c r="E1615" s="1" t="s">
        <v>30</v>
      </c>
      <c r="F1615" s="1" t="s">
        <v>31</v>
      </c>
      <c r="G1615" s="4">
        <v>9</v>
      </c>
      <c r="H1615" s="4">
        <v>3321</v>
      </c>
      <c r="I1615" s="6">
        <v>1980.2359980046958</v>
      </c>
      <c r="J1615" s="6">
        <f>表1[[#This Row],[销售金额]]-表1[[#This Row],[退款金额]]</f>
        <v>1340.7640019953042</v>
      </c>
      <c r="K1615" s="1">
        <v>422</v>
      </c>
      <c r="L1615" s="1">
        <v>303</v>
      </c>
    </row>
    <row r="1616" spans="1:12" x14ac:dyDescent="0.3">
      <c r="A1616" s="2">
        <v>45925</v>
      </c>
      <c r="B1616" s="1" t="s">
        <v>250</v>
      </c>
      <c r="C1616" s="1" t="s">
        <v>10</v>
      </c>
      <c r="D1616" s="1" t="s">
        <v>62</v>
      </c>
      <c r="E1616" s="1" t="s">
        <v>42</v>
      </c>
      <c r="F1616" s="1" t="s">
        <v>43</v>
      </c>
      <c r="G1616" s="4">
        <v>9</v>
      </c>
      <c r="H1616" s="4">
        <v>29094</v>
      </c>
      <c r="I1616" s="6">
        <v>27354.940360868255</v>
      </c>
      <c r="J1616" s="6">
        <f>表1[[#This Row],[销售金额]]-表1[[#This Row],[退款金额]]</f>
        <v>1739.0596391317449</v>
      </c>
      <c r="K1616" s="1">
        <v>897</v>
      </c>
      <c r="L1616" s="1">
        <v>730</v>
      </c>
    </row>
    <row r="1617" spans="1:12" x14ac:dyDescent="0.3">
      <c r="A1617" s="2">
        <v>45925</v>
      </c>
      <c r="B1617" s="1" t="s">
        <v>25</v>
      </c>
      <c r="C1617" s="1" t="s">
        <v>32</v>
      </c>
      <c r="D1617" s="1" t="s">
        <v>179</v>
      </c>
      <c r="E1617" s="1" t="s">
        <v>30</v>
      </c>
      <c r="F1617" s="1" t="s">
        <v>31</v>
      </c>
      <c r="G1617" s="4">
        <v>9</v>
      </c>
      <c r="H1617" s="4">
        <v>4264</v>
      </c>
      <c r="I1617" s="6">
        <v>1980.2359980046958</v>
      </c>
      <c r="J1617" s="6">
        <f>表1[[#This Row],[销售金额]]-表1[[#This Row],[退款金额]]</f>
        <v>2283.7640019953042</v>
      </c>
      <c r="K1617" s="1">
        <v>422</v>
      </c>
      <c r="L1617" s="1">
        <v>303</v>
      </c>
    </row>
    <row r="1618" spans="1:12" x14ac:dyDescent="0.3">
      <c r="A1618" s="2">
        <v>45925</v>
      </c>
      <c r="B1618" s="1" t="s">
        <v>25</v>
      </c>
      <c r="C1618" s="1" t="s">
        <v>10</v>
      </c>
      <c r="D1618" s="1" t="s">
        <v>193</v>
      </c>
      <c r="E1618" s="1" t="s">
        <v>42</v>
      </c>
      <c r="F1618" s="1" t="s">
        <v>43</v>
      </c>
      <c r="G1618" s="4">
        <v>10</v>
      </c>
      <c r="H1618" s="4">
        <v>33250</v>
      </c>
      <c r="I1618" s="6">
        <v>31260.771512689844</v>
      </c>
      <c r="J1618" s="6">
        <f>表1[[#This Row],[销售金额]]-表1[[#This Row],[退款金额]]</f>
        <v>1989.2284873101562</v>
      </c>
      <c r="K1618" s="1">
        <v>724</v>
      </c>
      <c r="L1618" s="1">
        <v>96</v>
      </c>
    </row>
    <row r="1619" spans="1:12" x14ac:dyDescent="0.3">
      <c r="A1619" s="2">
        <v>45925</v>
      </c>
      <c r="B1619" s="1" t="s">
        <v>11</v>
      </c>
      <c r="C1619" s="1" t="s">
        <v>32</v>
      </c>
      <c r="D1619" s="1" t="s">
        <v>196</v>
      </c>
      <c r="E1619" s="1" t="s">
        <v>60</v>
      </c>
      <c r="F1619" s="1" t="s">
        <v>61</v>
      </c>
      <c r="G1619" s="4">
        <v>10</v>
      </c>
      <c r="H1619" s="4">
        <v>21940</v>
      </c>
      <c r="I1619" s="6">
        <v>18579.80317018582</v>
      </c>
      <c r="J1619" s="6">
        <f>表1[[#This Row],[销售金额]]-表1[[#This Row],[退款金额]]</f>
        <v>3360.1968298141801</v>
      </c>
      <c r="K1619" s="1">
        <v>71</v>
      </c>
      <c r="L1619" s="1">
        <v>881</v>
      </c>
    </row>
    <row r="1620" spans="1:12" x14ac:dyDescent="0.3">
      <c r="A1620" s="2">
        <v>45925</v>
      </c>
      <c r="B1620" s="1" t="s">
        <v>25</v>
      </c>
      <c r="C1620" s="1" t="s">
        <v>10</v>
      </c>
      <c r="D1620" s="1" t="s">
        <v>193</v>
      </c>
      <c r="E1620" s="1" t="s">
        <v>42</v>
      </c>
      <c r="F1620" s="1" t="s">
        <v>43</v>
      </c>
      <c r="G1620" s="4">
        <v>10</v>
      </c>
      <c r="H1620" s="4">
        <v>35473</v>
      </c>
      <c r="I1620" s="6">
        <v>31260.771512689844</v>
      </c>
      <c r="J1620" s="6">
        <f>表1[[#This Row],[销售金额]]-表1[[#This Row],[退款金额]]</f>
        <v>4212.2284873101562</v>
      </c>
      <c r="K1620" s="1">
        <v>724</v>
      </c>
      <c r="L1620" s="1">
        <v>96</v>
      </c>
    </row>
    <row r="1621" spans="1:12" x14ac:dyDescent="0.3">
      <c r="A1621" s="2">
        <v>45925</v>
      </c>
      <c r="B1621" s="1" t="s">
        <v>11</v>
      </c>
      <c r="C1621" s="1" t="s">
        <v>32</v>
      </c>
      <c r="D1621" s="1" t="s">
        <v>196</v>
      </c>
      <c r="E1621" s="1" t="s">
        <v>60</v>
      </c>
      <c r="F1621" s="1" t="s">
        <v>61</v>
      </c>
      <c r="G1621" s="4">
        <v>10</v>
      </c>
      <c r="H1621" s="4">
        <v>22611</v>
      </c>
      <c r="I1621" s="6">
        <v>18579.80317018582</v>
      </c>
      <c r="J1621" s="6">
        <f>表1[[#This Row],[销售金额]]-表1[[#This Row],[退款金额]]</f>
        <v>4031.1968298141801</v>
      </c>
      <c r="K1621" s="1">
        <v>71</v>
      </c>
      <c r="L1621" s="1">
        <v>881</v>
      </c>
    </row>
    <row r="1622" spans="1:12" x14ac:dyDescent="0.3">
      <c r="A1622" s="2">
        <v>45925</v>
      </c>
      <c r="B1622" s="1" t="s">
        <v>25</v>
      </c>
      <c r="C1622" s="1" t="s">
        <v>10</v>
      </c>
      <c r="D1622" s="1" t="s">
        <v>193</v>
      </c>
      <c r="E1622" s="1" t="s">
        <v>42</v>
      </c>
      <c r="F1622" s="1" t="s">
        <v>43</v>
      </c>
      <c r="G1622" s="4">
        <v>10</v>
      </c>
      <c r="H1622" s="4">
        <v>32054</v>
      </c>
      <c r="I1622" s="6">
        <v>31260.771512689844</v>
      </c>
      <c r="J1622" s="6">
        <f>表1[[#This Row],[销售金额]]-表1[[#This Row],[退款金额]]</f>
        <v>793.2284873101562</v>
      </c>
      <c r="K1622" s="1">
        <v>724</v>
      </c>
      <c r="L1622" s="1">
        <v>96</v>
      </c>
    </row>
    <row r="1623" spans="1:12" x14ac:dyDescent="0.3">
      <c r="A1623" s="2">
        <v>45925</v>
      </c>
      <c r="B1623" s="1" t="s">
        <v>11</v>
      </c>
      <c r="C1623" s="1" t="s">
        <v>32</v>
      </c>
      <c r="D1623" s="1" t="s">
        <v>196</v>
      </c>
      <c r="E1623" s="1" t="s">
        <v>60</v>
      </c>
      <c r="F1623" s="1" t="s">
        <v>61</v>
      </c>
      <c r="G1623" s="4">
        <v>10</v>
      </c>
      <c r="H1623" s="4">
        <v>22149</v>
      </c>
      <c r="I1623" s="6">
        <v>18579.80317018582</v>
      </c>
      <c r="J1623" s="6">
        <f>表1[[#This Row],[销售金额]]-表1[[#This Row],[退款金额]]</f>
        <v>3569.1968298141801</v>
      </c>
      <c r="K1623" s="1">
        <v>71</v>
      </c>
      <c r="L1623" s="1">
        <v>881</v>
      </c>
    </row>
    <row r="1624" spans="1:12" x14ac:dyDescent="0.3">
      <c r="A1624" s="2">
        <v>45925</v>
      </c>
      <c r="B1624" s="1" t="s">
        <v>25</v>
      </c>
      <c r="C1624" s="1" t="s">
        <v>10</v>
      </c>
      <c r="D1624" s="1" t="s">
        <v>193</v>
      </c>
      <c r="E1624" s="1" t="s">
        <v>42</v>
      </c>
      <c r="F1624" s="1" t="s">
        <v>43</v>
      </c>
      <c r="G1624" s="4">
        <v>10</v>
      </c>
      <c r="H1624" s="4">
        <v>32029</v>
      </c>
      <c r="I1624" s="6">
        <v>31260.771512689844</v>
      </c>
      <c r="J1624" s="6">
        <f>表1[[#This Row],[销售金额]]-表1[[#This Row],[退款金额]]</f>
        <v>768.2284873101562</v>
      </c>
      <c r="K1624" s="1">
        <v>724</v>
      </c>
      <c r="L1624" s="1">
        <v>96</v>
      </c>
    </row>
    <row r="1625" spans="1:12" x14ac:dyDescent="0.3">
      <c r="A1625" s="2">
        <v>45925</v>
      </c>
      <c r="B1625" s="1" t="s">
        <v>11</v>
      </c>
      <c r="C1625" s="1" t="s">
        <v>32</v>
      </c>
      <c r="D1625" s="1" t="s">
        <v>196</v>
      </c>
      <c r="E1625" s="1" t="s">
        <v>60</v>
      </c>
      <c r="F1625" s="1" t="s">
        <v>61</v>
      </c>
      <c r="G1625" s="4">
        <v>10</v>
      </c>
      <c r="H1625" s="4">
        <v>19493</v>
      </c>
      <c r="I1625" s="6">
        <v>18579.80317018582</v>
      </c>
      <c r="J1625" s="6">
        <f>表1[[#This Row],[销售金额]]-表1[[#This Row],[退款金额]]</f>
        <v>913.19682981418009</v>
      </c>
      <c r="K1625" s="1">
        <v>71</v>
      </c>
      <c r="L1625" s="1">
        <v>881</v>
      </c>
    </row>
    <row r="1626" spans="1:12" x14ac:dyDescent="0.3">
      <c r="A1626" s="2">
        <v>45925</v>
      </c>
      <c r="B1626" s="1" t="s">
        <v>25</v>
      </c>
      <c r="C1626" s="1" t="s">
        <v>10</v>
      </c>
      <c r="D1626" s="1" t="s">
        <v>193</v>
      </c>
      <c r="E1626" s="1" t="s">
        <v>42</v>
      </c>
      <c r="F1626" s="1" t="s">
        <v>43</v>
      </c>
      <c r="G1626" s="4">
        <v>10</v>
      </c>
      <c r="H1626" s="4">
        <v>31521</v>
      </c>
      <c r="I1626" s="6">
        <v>31260.771512689844</v>
      </c>
      <c r="J1626" s="6">
        <f>表1[[#This Row],[销售金额]]-表1[[#This Row],[退款金额]]</f>
        <v>260.2284873101562</v>
      </c>
      <c r="K1626" s="1">
        <v>724</v>
      </c>
      <c r="L1626" s="1">
        <v>96</v>
      </c>
    </row>
    <row r="1627" spans="1:12" x14ac:dyDescent="0.3">
      <c r="A1627" s="2">
        <v>45925</v>
      </c>
      <c r="B1627" s="1" t="s">
        <v>11</v>
      </c>
      <c r="C1627" s="1" t="s">
        <v>32</v>
      </c>
      <c r="D1627" s="1" t="s">
        <v>196</v>
      </c>
      <c r="E1627" s="1" t="s">
        <v>60</v>
      </c>
      <c r="F1627" s="1" t="s">
        <v>61</v>
      </c>
      <c r="G1627" s="4">
        <v>10</v>
      </c>
      <c r="H1627" s="4">
        <v>23542</v>
      </c>
      <c r="I1627" s="6">
        <v>18579.80317018582</v>
      </c>
      <c r="J1627" s="6">
        <f>表1[[#This Row],[销售金额]]-表1[[#This Row],[退款金额]]</f>
        <v>4962.1968298141801</v>
      </c>
      <c r="K1627" s="1">
        <v>71</v>
      </c>
      <c r="L1627" s="1">
        <v>881</v>
      </c>
    </row>
    <row r="1628" spans="1:12" x14ac:dyDescent="0.3">
      <c r="A1628" s="2">
        <v>45925</v>
      </c>
      <c r="B1628" s="1" t="s">
        <v>25</v>
      </c>
      <c r="C1628" s="1" t="s">
        <v>10</v>
      </c>
      <c r="D1628" s="1" t="s">
        <v>193</v>
      </c>
      <c r="E1628" s="1" t="s">
        <v>42</v>
      </c>
      <c r="F1628" s="1" t="s">
        <v>43</v>
      </c>
      <c r="G1628" s="4">
        <v>10</v>
      </c>
      <c r="H1628" s="4">
        <v>36148</v>
      </c>
      <c r="I1628" s="6">
        <v>31260.771512689844</v>
      </c>
      <c r="J1628" s="6">
        <f>表1[[#This Row],[销售金额]]-表1[[#This Row],[退款金额]]</f>
        <v>4887.2284873101562</v>
      </c>
      <c r="K1628" s="1">
        <v>724</v>
      </c>
      <c r="L1628" s="1">
        <v>96</v>
      </c>
    </row>
    <row r="1629" spans="1:12" x14ac:dyDescent="0.3">
      <c r="A1629" s="2">
        <v>45925</v>
      </c>
      <c r="B1629" s="1" t="s">
        <v>11</v>
      </c>
      <c r="C1629" s="1" t="s">
        <v>32</v>
      </c>
      <c r="D1629" s="1" t="s">
        <v>196</v>
      </c>
      <c r="E1629" s="1" t="s">
        <v>60</v>
      </c>
      <c r="F1629" s="1" t="s">
        <v>61</v>
      </c>
      <c r="G1629" s="4">
        <v>10</v>
      </c>
      <c r="H1629" s="4">
        <v>21799</v>
      </c>
      <c r="I1629" s="6">
        <v>18579.80317018582</v>
      </c>
      <c r="J1629" s="6">
        <f>表1[[#This Row],[销售金额]]-表1[[#This Row],[退款金额]]</f>
        <v>3219.1968298141801</v>
      </c>
      <c r="K1629" s="1">
        <v>71</v>
      </c>
      <c r="L1629" s="1">
        <v>881</v>
      </c>
    </row>
    <row r="1630" spans="1:12" x14ac:dyDescent="0.3">
      <c r="A1630" s="2">
        <v>45925</v>
      </c>
      <c r="B1630" s="1" t="s">
        <v>25</v>
      </c>
      <c r="C1630" s="1" t="s">
        <v>10</v>
      </c>
      <c r="D1630" s="1" t="s">
        <v>193</v>
      </c>
      <c r="E1630" s="1" t="s">
        <v>42</v>
      </c>
      <c r="F1630" s="1" t="s">
        <v>43</v>
      </c>
      <c r="G1630" s="4">
        <v>10</v>
      </c>
      <c r="H1630" s="4">
        <v>34833</v>
      </c>
      <c r="I1630" s="6">
        <v>31260.771512689844</v>
      </c>
      <c r="J1630" s="6">
        <f>表1[[#This Row],[销售金额]]-表1[[#This Row],[退款金额]]</f>
        <v>3572.2284873101562</v>
      </c>
      <c r="K1630" s="1">
        <v>724</v>
      </c>
      <c r="L1630" s="1">
        <v>96</v>
      </c>
    </row>
    <row r="1631" spans="1:12" x14ac:dyDescent="0.3">
      <c r="A1631" s="2">
        <v>45925</v>
      </c>
      <c r="B1631" s="1" t="s">
        <v>11</v>
      </c>
      <c r="C1631" s="1" t="s">
        <v>32</v>
      </c>
      <c r="D1631" s="1" t="s">
        <v>196</v>
      </c>
      <c r="E1631" s="1" t="s">
        <v>60</v>
      </c>
      <c r="F1631" s="1" t="s">
        <v>61</v>
      </c>
      <c r="G1631" s="4">
        <v>10</v>
      </c>
      <c r="H1631" s="4">
        <v>22247</v>
      </c>
      <c r="I1631" s="6">
        <v>18579.80317018582</v>
      </c>
      <c r="J1631" s="6">
        <f>表1[[#This Row],[销售金额]]-表1[[#This Row],[退款金额]]</f>
        <v>3667.1968298141801</v>
      </c>
      <c r="K1631" s="1">
        <v>71</v>
      </c>
      <c r="L1631" s="1">
        <v>881</v>
      </c>
    </row>
    <row r="1632" spans="1:12" x14ac:dyDescent="0.3">
      <c r="A1632" s="2">
        <v>45925</v>
      </c>
      <c r="B1632" s="1" t="s">
        <v>25</v>
      </c>
      <c r="C1632" s="1" t="s">
        <v>10</v>
      </c>
      <c r="D1632" s="1" t="s">
        <v>193</v>
      </c>
      <c r="E1632" s="1" t="s">
        <v>42</v>
      </c>
      <c r="F1632" s="1" t="s">
        <v>43</v>
      </c>
      <c r="G1632" s="4">
        <v>10</v>
      </c>
      <c r="H1632" s="4">
        <v>32909</v>
      </c>
      <c r="I1632" s="6">
        <v>31260.771512689844</v>
      </c>
      <c r="J1632" s="6">
        <f>表1[[#This Row],[销售金额]]-表1[[#This Row],[退款金额]]</f>
        <v>1648.2284873101562</v>
      </c>
      <c r="K1632" s="1">
        <v>724</v>
      </c>
      <c r="L1632" s="1">
        <v>96</v>
      </c>
    </row>
    <row r="1633" spans="1:12" x14ac:dyDescent="0.3">
      <c r="A1633" s="2">
        <v>45925</v>
      </c>
      <c r="B1633" s="1" t="s">
        <v>11</v>
      </c>
      <c r="C1633" s="1" t="s">
        <v>32</v>
      </c>
      <c r="D1633" s="1" t="s">
        <v>196</v>
      </c>
      <c r="E1633" s="1" t="s">
        <v>60</v>
      </c>
      <c r="F1633" s="1" t="s">
        <v>61</v>
      </c>
      <c r="G1633" s="4">
        <v>10</v>
      </c>
      <c r="H1633" s="4">
        <v>21720</v>
      </c>
      <c r="I1633" s="6">
        <v>18579.80317018582</v>
      </c>
      <c r="J1633" s="6">
        <f>表1[[#This Row],[销售金额]]-表1[[#This Row],[退款金额]]</f>
        <v>3140.1968298141801</v>
      </c>
      <c r="K1633" s="1">
        <v>71</v>
      </c>
      <c r="L1633" s="1">
        <v>881</v>
      </c>
    </row>
    <row r="1634" spans="1:12" x14ac:dyDescent="0.3">
      <c r="A1634" s="2">
        <v>45925</v>
      </c>
      <c r="B1634" s="1" t="s">
        <v>25</v>
      </c>
      <c r="C1634" s="1" t="s">
        <v>10</v>
      </c>
      <c r="D1634" s="1" t="s">
        <v>193</v>
      </c>
      <c r="E1634" s="1" t="s">
        <v>42</v>
      </c>
      <c r="F1634" s="1" t="s">
        <v>43</v>
      </c>
      <c r="G1634" s="4">
        <v>10</v>
      </c>
      <c r="H1634" s="4">
        <v>36200</v>
      </c>
      <c r="I1634" s="6">
        <v>31260.771512689844</v>
      </c>
      <c r="J1634" s="6">
        <f>表1[[#This Row],[销售金额]]-表1[[#This Row],[退款金额]]</f>
        <v>4939.2284873101562</v>
      </c>
      <c r="K1634" s="1">
        <v>724</v>
      </c>
      <c r="L1634" s="1">
        <v>96</v>
      </c>
    </row>
    <row r="1635" spans="1:12" x14ac:dyDescent="0.3">
      <c r="A1635" s="2">
        <v>45925</v>
      </c>
      <c r="B1635" s="1" t="s">
        <v>11</v>
      </c>
      <c r="C1635" s="1" t="s">
        <v>32</v>
      </c>
      <c r="D1635" s="1" t="s">
        <v>196</v>
      </c>
      <c r="E1635" s="1" t="s">
        <v>60</v>
      </c>
      <c r="F1635" s="1" t="s">
        <v>61</v>
      </c>
      <c r="G1635" s="4">
        <v>10</v>
      </c>
      <c r="H1635" s="4">
        <v>22330</v>
      </c>
      <c r="I1635" s="6">
        <v>18579.80317018582</v>
      </c>
      <c r="J1635" s="6">
        <f>表1[[#This Row],[销售金额]]-表1[[#This Row],[退款金额]]</f>
        <v>3750.1968298141801</v>
      </c>
      <c r="K1635" s="1">
        <v>71</v>
      </c>
      <c r="L1635" s="1">
        <v>881</v>
      </c>
    </row>
    <row r="1636" spans="1:12" x14ac:dyDescent="0.3">
      <c r="A1636" s="2">
        <v>45925</v>
      </c>
      <c r="B1636" s="1" t="s">
        <v>248</v>
      </c>
      <c r="C1636" s="1" t="s">
        <v>32</v>
      </c>
      <c r="D1636" s="1" t="s">
        <v>46</v>
      </c>
      <c r="E1636" s="1" t="s">
        <v>38</v>
      </c>
      <c r="F1636" s="1" t="s">
        <v>39</v>
      </c>
      <c r="G1636" s="4">
        <v>11</v>
      </c>
      <c r="H1636" s="4">
        <v>995</v>
      </c>
      <c r="I1636" s="6">
        <v>311.57377381434179</v>
      </c>
      <c r="J1636" s="6">
        <f>表1[[#This Row],[销售金额]]-表1[[#This Row],[退款金额]]</f>
        <v>683.42622618565815</v>
      </c>
      <c r="K1636" s="1">
        <v>266</v>
      </c>
      <c r="L1636" s="1">
        <v>355</v>
      </c>
    </row>
    <row r="1637" spans="1:12" x14ac:dyDescent="0.3">
      <c r="A1637" s="2">
        <v>45925</v>
      </c>
      <c r="B1637" s="1" t="s">
        <v>248</v>
      </c>
      <c r="C1637" s="1" t="s">
        <v>32</v>
      </c>
      <c r="D1637" s="1" t="s">
        <v>46</v>
      </c>
      <c r="E1637" s="1" t="s">
        <v>38</v>
      </c>
      <c r="F1637" s="1" t="s">
        <v>39</v>
      </c>
      <c r="G1637" s="4">
        <v>11</v>
      </c>
      <c r="H1637" s="4">
        <v>5107</v>
      </c>
      <c r="I1637" s="6">
        <v>311.57377381434179</v>
      </c>
      <c r="J1637" s="6">
        <f>表1[[#This Row],[销售金额]]-表1[[#This Row],[退款金额]]</f>
        <v>4795.4262261856584</v>
      </c>
      <c r="K1637" s="1">
        <v>266</v>
      </c>
      <c r="L1637" s="1">
        <v>355</v>
      </c>
    </row>
    <row r="1638" spans="1:12" x14ac:dyDescent="0.3">
      <c r="A1638" s="2">
        <v>45925</v>
      </c>
      <c r="B1638" s="1" t="s">
        <v>248</v>
      </c>
      <c r="C1638" s="1" t="s">
        <v>32</v>
      </c>
      <c r="D1638" s="1" t="s">
        <v>46</v>
      </c>
      <c r="E1638" s="1" t="s">
        <v>38</v>
      </c>
      <c r="F1638" s="1" t="s">
        <v>39</v>
      </c>
      <c r="G1638" s="4">
        <v>11</v>
      </c>
      <c r="H1638" s="4">
        <v>3196</v>
      </c>
      <c r="I1638" s="6">
        <v>311.57377381434179</v>
      </c>
      <c r="J1638" s="6">
        <f>表1[[#This Row],[销售金额]]-表1[[#This Row],[退款金额]]</f>
        <v>2884.4262261856584</v>
      </c>
      <c r="K1638" s="1">
        <v>266</v>
      </c>
      <c r="L1638" s="1">
        <v>355</v>
      </c>
    </row>
    <row r="1639" spans="1:12" x14ac:dyDescent="0.3">
      <c r="A1639" s="2">
        <v>45925</v>
      </c>
      <c r="B1639" s="1" t="s">
        <v>248</v>
      </c>
      <c r="C1639" s="1" t="s">
        <v>32</v>
      </c>
      <c r="D1639" s="1" t="s">
        <v>46</v>
      </c>
      <c r="E1639" s="1" t="s">
        <v>38</v>
      </c>
      <c r="F1639" s="1" t="s">
        <v>39</v>
      </c>
      <c r="G1639" s="4">
        <v>11</v>
      </c>
      <c r="H1639" s="4">
        <v>3672</v>
      </c>
      <c r="I1639" s="6">
        <v>311.57377381434179</v>
      </c>
      <c r="J1639" s="6">
        <f>表1[[#This Row],[销售金额]]-表1[[#This Row],[退款金额]]</f>
        <v>3360.4262261856584</v>
      </c>
      <c r="K1639" s="1">
        <v>266</v>
      </c>
      <c r="L1639" s="1">
        <v>355</v>
      </c>
    </row>
    <row r="1640" spans="1:12" x14ac:dyDescent="0.3">
      <c r="A1640" s="2">
        <v>45925</v>
      </c>
      <c r="B1640" s="1" t="s">
        <v>248</v>
      </c>
      <c r="C1640" s="1" t="s">
        <v>32</v>
      </c>
      <c r="D1640" s="1" t="s">
        <v>46</v>
      </c>
      <c r="E1640" s="1" t="s">
        <v>38</v>
      </c>
      <c r="F1640" s="1" t="s">
        <v>39</v>
      </c>
      <c r="G1640" s="4">
        <v>11</v>
      </c>
      <c r="H1640" s="4">
        <v>5200</v>
      </c>
      <c r="I1640" s="6">
        <v>311.57377381434179</v>
      </c>
      <c r="J1640" s="6">
        <f>表1[[#This Row],[销售金额]]-表1[[#This Row],[退款金额]]</f>
        <v>4888.4262261856584</v>
      </c>
      <c r="K1640" s="1">
        <v>266</v>
      </c>
      <c r="L1640" s="1">
        <v>355</v>
      </c>
    </row>
    <row r="1641" spans="1:12" x14ac:dyDescent="0.3">
      <c r="A1641" s="2">
        <v>45925</v>
      </c>
      <c r="B1641" s="1" t="s">
        <v>248</v>
      </c>
      <c r="C1641" s="1" t="s">
        <v>32</v>
      </c>
      <c r="D1641" s="1" t="s">
        <v>46</v>
      </c>
      <c r="E1641" s="1" t="s">
        <v>38</v>
      </c>
      <c r="F1641" s="1" t="s">
        <v>39</v>
      </c>
      <c r="G1641" s="4">
        <v>11</v>
      </c>
      <c r="H1641" s="4">
        <v>4782</v>
      </c>
      <c r="I1641" s="6">
        <v>311.57377381434179</v>
      </c>
      <c r="J1641" s="6">
        <f>表1[[#This Row],[销售金额]]-表1[[#This Row],[退款金额]]</f>
        <v>4470.4262261856584</v>
      </c>
      <c r="K1641" s="1">
        <v>266</v>
      </c>
      <c r="L1641" s="1">
        <v>355</v>
      </c>
    </row>
    <row r="1642" spans="1:12" x14ac:dyDescent="0.3">
      <c r="A1642" s="2">
        <v>45925</v>
      </c>
      <c r="B1642" s="1" t="s">
        <v>248</v>
      </c>
      <c r="C1642" s="1" t="s">
        <v>32</v>
      </c>
      <c r="D1642" s="1" t="s">
        <v>46</v>
      </c>
      <c r="E1642" s="1" t="s">
        <v>38</v>
      </c>
      <c r="F1642" s="1" t="s">
        <v>39</v>
      </c>
      <c r="G1642" s="4">
        <v>11</v>
      </c>
      <c r="H1642" s="4">
        <v>3699</v>
      </c>
      <c r="I1642" s="6">
        <v>311.57377381434179</v>
      </c>
      <c r="J1642" s="6">
        <f>表1[[#This Row],[销售金额]]-表1[[#This Row],[退款金额]]</f>
        <v>3387.4262261856584</v>
      </c>
      <c r="K1642" s="1">
        <v>266</v>
      </c>
      <c r="L1642" s="1">
        <v>355</v>
      </c>
    </row>
    <row r="1643" spans="1:12" x14ac:dyDescent="0.3">
      <c r="A1643" s="2">
        <v>45925</v>
      </c>
      <c r="B1643" s="1" t="s">
        <v>248</v>
      </c>
      <c r="C1643" s="1" t="s">
        <v>32</v>
      </c>
      <c r="D1643" s="1" t="s">
        <v>46</v>
      </c>
      <c r="E1643" s="1" t="s">
        <v>38</v>
      </c>
      <c r="F1643" s="1" t="s">
        <v>39</v>
      </c>
      <c r="G1643" s="4">
        <v>11</v>
      </c>
      <c r="H1643" s="4">
        <v>5241</v>
      </c>
      <c r="I1643" s="6">
        <v>311.57377381434179</v>
      </c>
      <c r="J1643" s="6">
        <f>表1[[#This Row],[销售金额]]-表1[[#This Row],[退款金额]]</f>
        <v>4929.4262261856584</v>
      </c>
      <c r="K1643" s="1">
        <v>266</v>
      </c>
      <c r="L1643" s="1">
        <v>355</v>
      </c>
    </row>
    <row r="1644" spans="1:12" x14ac:dyDescent="0.3">
      <c r="A1644" s="2">
        <v>45925</v>
      </c>
      <c r="B1644" s="1" t="s">
        <v>15</v>
      </c>
      <c r="C1644" s="1" t="s">
        <v>10</v>
      </c>
      <c r="D1644" s="1" t="s">
        <v>209</v>
      </c>
      <c r="E1644" s="1" t="s">
        <v>34</v>
      </c>
      <c r="F1644" s="1" t="s">
        <v>35</v>
      </c>
      <c r="G1644" s="4">
        <v>17</v>
      </c>
      <c r="H1644" s="4">
        <v>84210</v>
      </c>
      <c r="I1644" s="6">
        <v>81931.872627888311</v>
      </c>
      <c r="J1644" s="6">
        <f>表1[[#This Row],[销售金额]]-表1[[#This Row],[退款金额]]</f>
        <v>2278.1273721116886</v>
      </c>
      <c r="K1644" s="1">
        <v>97</v>
      </c>
      <c r="L1644" s="1">
        <v>724</v>
      </c>
    </row>
    <row r="1645" spans="1:12" x14ac:dyDescent="0.3">
      <c r="A1645" s="2">
        <v>45925</v>
      </c>
      <c r="B1645" s="1" t="s">
        <v>15</v>
      </c>
      <c r="C1645" s="1" t="s">
        <v>10</v>
      </c>
      <c r="D1645" s="1" t="s">
        <v>209</v>
      </c>
      <c r="E1645" s="1" t="s">
        <v>34</v>
      </c>
      <c r="F1645" s="1" t="s">
        <v>35</v>
      </c>
      <c r="G1645" s="4">
        <v>17</v>
      </c>
      <c r="H1645" s="4">
        <v>82472</v>
      </c>
      <c r="I1645" s="6">
        <v>81931.872627888311</v>
      </c>
      <c r="J1645" s="6">
        <f>表1[[#This Row],[销售金额]]-表1[[#This Row],[退款金额]]</f>
        <v>540.1273721116886</v>
      </c>
      <c r="K1645" s="1">
        <v>97</v>
      </c>
      <c r="L1645" s="1">
        <v>724</v>
      </c>
    </row>
    <row r="1646" spans="1:12" x14ac:dyDescent="0.3">
      <c r="A1646" s="2">
        <v>45925</v>
      </c>
      <c r="B1646" s="1" t="s">
        <v>15</v>
      </c>
      <c r="C1646" s="1" t="s">
        <v>10</v>
      </c>
      <c r="D1646" s="1" t="s">
        <v>209</v>
      </c>
      <c r="E1646" s="1" t="s">
        <v>34</v>
      </c>
      <c r="F1646" s="1" t="s">
        <v>35</v>
      </c>
      <c r="G1646" s="4">
        <v>17</v>
      </c>
      <c r="H1646" s="4">
        <v>86895</v>
      </c>
      <c r="I1646" s="6">
        <v>81931.872627888311</v>
      </c>
      <c r="J1646" s="6">
        <f>表1[[#This Row],[销售金额]]-表1[[#This Row],[退款金额]]</f>
        <v>4963.1273721116886</v>
      </c>
      <c r="K1646" s="1">
        <v>97</v>
      </c>
      <c r="L1646" s="1">
        <v>724</v>
      </c>
    </row>
    <row r="1647" spans="1:12" x14ac:dyDescent="0.3">
      <c r="A1647" s="2">
        <v>45925</v>
      </c>
      <c r="B1647" s="1" t="s">
        <v>15</v>
      </c>
      <c r="C1647" s="1" t="s">
        <v>10</v>
      </c>
      <c r="D1647" s="1" t="s">
        <v>209</v>
      </c>
      <c r="E1647" s="1" t="s">
        <v>34</v>
      </c>
      <c r="F1647" s="1" t="s">
        <v>35</v>
      </c>
      <c r="G1647" s="4">
        <v>17</v>
      </c>
      <c r="H1647" s="4">
        <v>84702</v>
      </c>
      <c r="I1647" s="6">
        <v>81931.872627888311</v>
      </c>
      <c r="J1647" s="6">
        <f>表1[[#This Row],[销售金额]]-表1[[#This Row],[退款金额]]</f>
        <v>2770.1273721116886</v>
      </c>
      <c r="K1647" s="1">
        <v>97</v>
      </c>
      <c r="L1647" s="1">
        <v>724</v>
      </c>
    </row>
    <row r="1648" spans="1:12" x14ac:dyDescent="0.3">
      <c r="A1648" s="2">
        <v>45925</v>
      </c>
      <c r="B1648" s="1" t="s">
        <v>15</v>
      </c>
      <c r="C1648" s="1" t="s">
        <v>10</v>
      </c>
      <c r="D1648" s="1" t="s">
        <v>209</v>
      </c>
      <c r="E1648" s="1" t="s">
        <v>34</v>
      </c>
      <c r="F1648" s="1" t="s">
        <v>35</v>
      </c>
      <c r="G1648" s="4">
        <v>17</v>
      </c>
      <c r="H1648" s="4">
        <v>84554</v>
      </c>
      <c r="I1648" s="6">
        <v>81931.872627888311</v>
      </c>
      <c r="J1648" s="6">
        <f>表1[[#This Row],[销售金额]]-表1[[#This Row],[退款金额]]</f>
        <v>2622.1273721116886</v>
      </c>
      <c r="K1648" s="1">
        <v>97</v>
      </c>
      <c r="L1648" s="1">
        <v>724</v>
      </c>
    </row>
    <row r="1649" spans="1:12" x14ac:dyDescent="0.3">
      <c r="A1649" s="2">
        <v>45925</v>
      </c>
      <c r="B1649" s="1" t="s">
        <v>15</v>
      </c>
      <c r="C1649" s="1" t="s">
        <v>10</v>
      </c>
      <c r="D1649" s="1" t="s">
        <v>209</v>
      </c>
      <c r="E1649" s="1" t="s">
        <v>34</v>
      </c>
      <c r="F1649" s="1" t="s">
        <v>35</v>
      </c>
      <c r="G1649" s="4">
        <v>17</v>
      </c>
      <c r="H1649" s="4">
        <v>82600</v>
      </c>
      <c r="I1649" s="6">
        <v>81931.872627888311</v>
      </c>
      <c r="J1649" s="6">
        <f>表1[[#This Row],[销售金额]]-表1[[#This Row],[退款金额]]</f>
        <v>668.1273721116886</v>
      </c>
      <c r="K1649" s="1">
        <v>97</v>
      </c>
      <c r="L1649" s="1">
        <v>724</v>
      </c>
    </row>
    <row r="1650" spans="1:12" x14ac:dyDescent="0.3">
      <c r="A1650" s="2">
        <v>45925</v>
      </c>
      <c r="B1650" s="1" t="s">
        <v>15</v>
      </c>
      <c r="C1650" s="1" t="s">
        <v>10</v>
      </c>
      <c r="D1650" s="1" t="s">
        <v>209</v>
      </c>
      <c r="E1650" s="1" t="s">
        <v>34</v>
      </c>
      <c r="F1650" s="1" t="s">
        <v>35</v>
      </c>
      <c r="G1650" s="4">
        <v>17</v>
      </c>
      <c r="H1650" s="4">
        <v>85486</v>
      </c>
      <c r="I1650" s="6">
        <v>81931.872627888311</v>
      </c>
      <c r="J1650" s="6">
        <f>表1[[#This Row],[销售金额]]-表1[[#This Row],[退款金额]]</f>
        <v>3554.1273721116886</v>
      </c>
      <c r="K1650" s="1">
        <v>97</v>
      </c>
      <c r="L1650" s="1">
        <v>724</v>
      </c>
    </row>
    <row r="1651" spans="1:12" x14ac:dyDescent="0.3">
      <c r="A1651" s="2">
        <v>45925</v>
      </c>
      <c r="B1651" s="1" t="s">
        <v>15</v>
      </c>
      <c r="C1651" s="1" t="s">
        <v>10</v>
      </c>
      <c r="D1651" s="1" t="s">
        <v>209</v>
      </c>
      <c r="E1651" s="1" t="s">
        <v>34</v>
      </c>
      <c r="F1651" s="1" t="s">
        <v>35</v>
      </c>
      <c r="G1651" s="4">
        <v>17</v>
      </c>
      <c r="H1651" s="4">
        <v>83486</v>
      </c>
      <c r="I1651" s="6">
        <v>81931.872627888311</v>
      </c>
      <c r="J1651" s="6">
        <f>表1[[#This Row],[销售金额]]-表1[[#This Row],[退款金额]]</f>
        <v>1554.1273721116886</v>
      </c>
      <c r="K1651" s="1">
        <v>97</v>
      </c>
      <c r="L1651" s="1">
        <v>724</v>
      </c>
    </row>
    <row r="1652" spans="1:12" x14ac:dyDescent="0.3">
      <c r="A1652" s="2">
        <v>45925</v>
      </c>
      <c r="B1652" s="1" t="s">
        <v>15</v>
      </c>
      <c r="C1652" s="1" t="s">
        <v>10</v>
      </c>
      <c r="D1652" s="1" t="s">
        <v>209</v>
      </c>
      <c r="E1652" s="1" t="s">
        <v>34</v>
      </c>
      <c r="F1652" s="1" t="s">
        <v>35</v>
      </c>
      <c r="G1652" s="4">
        <v>17</v>
      </c>
      <c r="H1652" s="4">
        <v>82126</v>
      </c>
      <c r="I1652" s="6">
        <v>81931.872627888311</v>
      </c>
      <c r="J1652" s="6">
        <f>表1[[#This Row],[销售金额]]-表1[[#This Row],[退款金额]]</f>
        <v>194.1273721116886</v>
      </c>
      <c r="K1652" s="1">
        <v>97</v>
      </c>
      <c r="L1652" s="1">
        <v>724</v>
      </c>
    </row>
    <row r="1653" spans="1:12" x14ac:dyDescent="0.3">
      <c r="A1653" s="2">
        <v>45925</v>
      </c>
      <c r="B1653" s="1" t="s">
        <v>250</v>
      </c>
      <c r="C1653" s="1" t="s">
        <v>32</v>
      </c>
      <c r="D1653" s="1" t="s">
        <v>172</v>
      </c>
      <c r="E1653" s="1" t="s">
        <v>38</v>
      </c>
      <c r="F1653" s="1" t="s">
        <v>39</v>
      </c>
      <c r="G1653" s="4">
        <v>20</v>
      </c>
      <c r="H1653" s="4">
        <v>3619</v>
      </c>
      <c r="I1653" s="6">
        <v>2526.7254714975475</v>
      </c>
      <c r="J1653" s="6">
        <f>表1[[#This Row],[销售金额]]-表1[[#This Row],[退款金额]]</f>
        <v>1092.2745285024525</v>
      </c>
      <c r="K1653" s="1">
        <v>795</v>
      </c>
      <c r="L1653" s="1">
        <v>664</v>
      </c>
    </row>
    <row r="1654" spans="1:12" x14ac:dyDescent="0.3">
      <c r="A1654" s="2">
        <v>45925</v>
      </c>
      <c r="B1654" s="1" t="s">
        <v>250</v>
      </c>
      <c r="C1654" s="1" t="s">
        <v>32</v>
      </c>
      <c r="D1654" s="1" t="s">
        <v>172</v>
      </c>
      <c r="E1654" s="1" t="s">
        <v>38</v>
      </c>
      <c r="F1654" s="1" t="s">
        <v>39</v>
      </c>
      <c r="G1654" s="4">
        <v>20</v>
      </c>
      <c r="H1654" s="4">
        <v>7441</v>
      </c>
      <c r="I1654" s="6">
        <v>2526.7254714975475</v>
      </c>
      <c r="J1654" s="6">
        <f>表1[[#This Row],[销售金额]]-表1[[#This Row],[退款金额]]</f>
        <v>4914.2745285024521</v>
      </c>
      <c r="K1654" s="1">
        <v>795</v>
      </c>
      <c r="L1654" s="1">
        <v>664</v>
      </c>
    </row>
    <row r="1655" spans="1:12" x14ac:dyDescent="0.3">
      <c r="A1655" s="2">
        <v>45925</v>
      </c>
      <c r="B1655" s="1" t="s">
        <v>250</v>
      </c>
      <c r="C1655" s="1" t="s">
        <v>32</v>
      </c>
      <c r="D1655" s="1" t="s">
        <v>172</v>
      </c>
      <c r="E1655" s="1" t="s">
        <v>38</v>
      </c>
      <c r="F1655" s="1" t="s">
        <v>39</v>
      </c>
      <c r="G1655" s="4">
        <v>20</v>
      </c>
      <c r="H1655" s="4">
        <v>7131</v>
      </c>
      <c r="I1655" s="6">
        <v>2526.7254714975475</v>
      </c>
      <c r="J1655" s="6">
        <f>表1[[#This Row],[销售金额]]-表1[[#This Row],[退款金额]]</f>
        <v>4604.2745285024521</v>
      </c>
      <c r="K1655" s="1">
        <v>795</v>
      </c>
      <c r="L1655" s="1">
        <v>664</v>
      </c>
    </row>
    <row r="1656" spans="1:12" x14ac:dyDescent="0.3">
      <c r="A1656" s="2">
        <v>45925</v>
      </c>
      <c r="B1656" s="1" t="s">
        <v>250</v>
      </c>
      <c r="C1656" s="1" t="s">
        <v>32</v>
      </c>
      <c r="D1656" s="1" t="s">
        <v>172</v>
      </c>
      <c r="E1656" s="1" t="s">
        <v>38</v>
      </c>
      <c r="F1656" s="1" t="s">
        <v>39</v>
      </c>
      <c r="G1656" s="4">
        <v>20</v>
      </c>
      <c r="H1656" s="4">
        <v>7377</v>
      </c>
      <c r="I1656" s="6">
        <v>2526.7254714975475</v>
      </c>
      <c r="J1656" s="6">
        <f>表1[[#This Row],[销售金额]]-表1[[#This Row],[退款金额]]</f>
        <v>4850.2745285024521</v>
      </c>
      <c r="K1656" s="1">
        <v>795</v>
      </c>
      <c r="L1656" s="1">
        <v>664</v>
      </c>
    </row>
    <row r="1657" spans="1:12" x14ac:dyDescent="0.3">
      <c r="A1657" s="2">
        <v>45925</v>
      </c>
      <c r="B1657" s="1" t="s">
        <v>250</v>
      </c>
      <c r="C1657" s="1" t="s">
        <v>32</v>
      </c>
      <c r="D1657" s="1" t="s">
        <v>172</v>
      </c>
      <c r="E1657" s="1" t="s">
        <v>38</v>
      </c>
      <c r="F1657" s="1" t="s">
        <v>39</v>
      </c>
      <c r="G1657" s="4">
        <v>20</v>
      </c>
      <c r="H1657" s="4">
        <v>4207</v>
      </c>
      <c r="I1657" s="6">
        <v>2526.7254714975475</v>
      </c>
      <c r="J1657" s="6">
        <f>表1[[#This Row],[销售金额]]-表1[[#This Row],[退款金额]]</f>
        <v>1680.2745285024525</v>
      </c>
      <c r="K1657" s="1">
        <v>795</v>
      </c>
      <c r="L1657" s="1">
        <v>664</v>
      </c>
    </row>
    <row r="1658" spans="1:12" x14ac:dyDescent="0.3">
      <c r="A1658" s="2">
        <v>45925</v>
      </c>
      <c r="B1658" s="1" t="s">
        <v>250</v>
      </c>
      <c r="C1658" s="1" t="s">
        <v>32</v>
      </c>
      <c r="D1658" s="1" t="s">
        <v>172</v>
      </c>
      <c r="E1658" s="1" t="s">
        <v>38</v>
      </c>
      <c r="F1658" s="1" t="s">
        <v>39</v>
      </c>
      <c r="G1658" s="4">
        <v>20</v>
      </c>
      <c r="H1658" s="4">
        <v>2897</v>
      </c>
      <c r="I1658" s="6">
        <v>2526.7254714975475</v>
      </c>
      <c r="J1658" s="6">
        <f>表1[[#This Row],[销售金额]]-表1[[#This Row],[退款金额]]</f>
        <v>370.27452850245254</v>
      </c>
      <c r="K1658" s="1">
        <v>795</v>
      </c>
      <c r="L1658" s="1">
        <v>664</v>
      </c>
    </row>
    <row r="1659" spans="1:12" x14ac:dyDescent="0.3">
      <c r="A1659" s="2">
        <v>45925</v>
      </c>
      <c r="B1659" s="1" t="s">
        <v>250</v>
      </c>
      <c r="C1659" s="1" t="s">
        <v>32</v>
      </c>
      <c r="D1659" s="1" t="s">
        <v>172</v>
      </c>
      <c r="E1659" s="1" t="s">
        <v>38</v>
      </c>
      <c r="F1659" s="1" t="s">
        <v>39</v>
      </c>
      <c r="G1659" s="4">
        <v>20</v>
      </c>
      <c r="H1659" s="4">
        <v>5598</v>
      </c>
      <c r="I1659" s="6">
        <v>2526.7254714975475</v>
      </c>
      <c r="J1659" s="6">
        <f>表1[[#This Row],[销售金额]]-表1[[#This Row],[退款金额]]</f>
        <v>3071.2745285024525</v>
      </c>
      <c r="K1659" s="1">
        <v>795</v>
      </c>
      <c r="L1659" s="1">
        <v>664</v>
      </c>
    </row>
    <row r="1660" spans="1:12" x14ac:dyDescent="0.3">
      <c r="A1660" s="2">
        <v>45925</v>
      </c>
      <c r="B1660" s="1" t="s">
        <v>250</v>
      </c>
      <c r="C1660" s="1" t="s">
        <v>32</v>
      </c>
      <c r="D1660" s="1" t="s">
        <v>172</v>
      </c>
      <c r="E1660" s="1" t="s">
        <v>38</v>
      </c>
      <c r="F1660" s="1" t="s">
        <v>39</v>
      </c>
      <c r="G1660" s="4">
        <v>20</v>
      </c>
      <c r="H1660" s="4">
        <v>6306</v>
      </c>
      <c r="I1660" s="6">
        <v>2526.7254714975475</v>
      </c>
      <c r="J1660" s="6">
        <f>表1[[#This Row],[销售金额]]-表1[[#This Row],[退款金额]]</f>
        <v>3779.2745285024525</v>
      </c>
      <c r="K1660" s="1">
        <v>795</v>
      </c>
      <c r="L1660" s="1">
        <v>664</v>
      </c>
    </row>
    <row r="1661" spans="1:12" x14ac:dyDescent="0.3">
      <c r="A1661" s="2">
        <v>45925</v>
      </c>
      <c r="B1661" s="1" t="s">
        <v>250</v>
      </c>
      <c r="C1661" s="1" t="s">
        <v>32</v>
      </c>
      <c r="D1661" s="1" t="s">
        <v>172</v>
      </c>
      <c r="E1661" s="1" t="s">
        <v>38</v>
      </c>
      <c r="F1661" s="1" t="s">
        <v>39</v>
      </c>
      <c r="G1661" s="4">
        <v>20</v>
      </c>
      <c r="H1661" s="4">
        <v>3878</v>
      </c>
      <c r="I1661" s="6">
        <v>2526.7254714975475</v>
      </c>
      <c r="J1661" s="6">
        <f>表1[[#This Row],[销售金额]]-表1[[#This Row],[退款金额]]</f>
        <v>1351.2745285024525</v>
      </c>
      <c r="K1661" s="1">
        <v>795</v>
      </c>
      <c r="L1661" s="1">
        <v>664</v>
      </c>
    </row>
    <row r="1662" spans="1:12" x14ac:dyDescent="0.3">
      <c r="A1662" s="2">
        <v>45926</v>
      </c>
      <c r="B1662" s="1" t="s">
        <v>11</v>
      </c>
      <c r="C1662" s="1" t="s">
        <v>10</v>
      </c>
      <c r="D1662" s="1" t="s">
        <v>136</v>
      </c>
      <c r="E1662" s="1" t="s">
        <v>13</v>
      </c>
      <c r="F1662" s="1" t="s">
        <v>14</v>
      </c>
      <c r="G1662" s="4">
        <v>1</v>
      </c>
      <c r="H1662" s="4">
        <v>4667</v>
      </c>
      <c r="I1662" s="6">
        <v>3764.8356520963598</v>
      </c>
      <c r="J1662" s="6">
        <f>表1[[#This Row],[销售金额]]-表1[[#This Row],[退款金额]]</f>
        <v>902.16434790364019</v>
      </c>
      <c r="K1662" s="1">
        <v>753</v>
      </c>
      <c r="L1662" s="1">
        <v>982</v>
      </c>
    </row>
    <row r="1663" spans="1:12" x14ac:dyDescent="0.3">
      <c r="A1663" s="2">
        <v>45926</v>
      </c>
      <c r="B1663" s="1" t="s">
        <v>11</v>
      </c>
      <c r="C1663" s="1" t="s">
        <v>10</v>
      </c>
      <c r="D1663" s="1" t="s">
        <v>136</v>
      </c>
      <c r="E1663" s="1" t="s">
        <v>13</v>
      </c>
      <c r="F1663" s="1" t="s">
        <v>14</v>
      </c>
      <c r="G1663" s="4">
        <v>1</v>
      </c>
      <c r="H1663" s="4">
        <v>7261</v>
      </c>
      <c r="I1663" s="6">
        <v>3764.8356520963598</v>
      </c>
      <c r="J1663" s="6">
        <f>表1[[#This Row],[销售金额]]-表1[[#This Row],[退款金额]]</f>
        <v>3496.1643479036402</v>
      </c>
      <c r="K1663" s="1">
        <v>753</v>
      </c>
      <c r="L1663" s="1">
        <v>982</v>
      </c>
    </row>
    <row r="1664" spans="1:12" x14ac:dyDescent="0.3">
      <c r="A1664" s="2">
        <v>45926</v>
      </c>
      <c r="B1664" s="1" t="s">
        <v>11</v>
      </c>
      <c r="C1664" s="1" t="s">
        <v>10</v>
      </c>
      <c r="D1664" s="1" t="s">
        <v>136</v>
      </c>
      <c r="E1664" s="1" t="s">
        <v>13</v>
      </c>
      <c r="F1664" s="1" t="s">
        <v>14</v>
      </c>
      <c r="G1664" s="4">
        <v>1</v>
      </c>
      <c r="H1664" s="4">
        <v>3962</v>
      </c>
      <c r="I1664" s="6">
        <v>3764.8356520963598</v>
      </c>
      <c r="J1664" s="6">
        <f>表1[[#This Row],[销售金额]]-表1[[#This Row],[退款金额]]</f>
        <v>197.16434790364019</v>
      </c>
      <c r="K1664" s="1">
        <v>753</v>
      </c>
      <c r="L1664" s="1">
        <v>982</v>
      </c>
    </row>
    <row r="1665" spans="1:12" x14ac:dyDescent="0.3">
      <c r="A1665" s="2">
        <v>45926</v>
      </c>
      <c r="B1665" s="1" t="s">
        <v>11</v>
      </c>
      <c r="C1665" s="1" t="s">
        <v>10</v>
      </c>
      <c r="D1665" s="1" t="s">
        <v>136</v>
      </c>
      <c r="E1665" s="1" t="s">
        <v>13</v>
      </c>
      <c r="F1665" s="1" t="s">
        <v>14</v>
      </c>
      <c r="G1665" s="4">
        <v>1</v>
      </c>
      <c r="H1665" s="4">
        <v>6350</v>
      </c>
      <c r="I1665" s="6">
        <v>3764.8356520963598</v>
      </c>
      <c r="J1665" s="6">
        <f>表1[[#This Row],[销售金额]]-表1[[#This Row],[退款金额]]</f>
        <v>2585.1643479036402</v>
      </c>
      <c r="K1665" s="1">
        <v>753</v>
      </c>
      <c r="L1665" s="1">
        <v>982</v>
      </c>
    </row>
    <row r="1666" spans="1:12" x14ac:dyDescent="0.3">
      <c r="A1666" s="2">
        <v>45926</v>
      </c>
      <c r="B1666" s="1" t="s">
        <v>11</v>
      </c>
      <c r="C1666" s="1" t="s">
        <v>10</v>
      </c>
      <c r="D1666" s="1" t="s">
        <v>136</v>
      </c>
      <c r="E1666" s="1" t="s">
        <v>13</v>
      </c>
      <c r="F1666" s="1" t="s">
        <v>14</v>
      </c>
      <c r="G1666" s="4">
        <v>1</v>
      </c>
      <c r="H1666" s="4">
        <v>6377</v>
      </c>
      <c r="I1666" s="6">
        <v>3764.8356520963598</v>
      </c>
      <c r="J1666" s="6">
        <f>表1[[#This Row],[销售金额]]-表1[[#This Row],[退款金额]]</f>
        <v>2612.1643479036402</v>
      </c>
      <c r="K1666" s="1">
        <v>753</v>
      </c>
      <c r="L1666" s="1">
        <v>982</v>
      </c>
    </row>
    <row r="1667" spans="1:12" x14ac:dyDescent="0.3">
      <c r="A1667" s="2">
        <v>45926</v>
      </c>
      <c r="B1667" s="1" t="s">
        <v>11</v>
      </c>
      <c r="C1667" s="1" t="s">
        <v>10</v>
      </c>
      <c r="D1667" s="1" t="s">
        <v>136</v>
      </c>
      <c r="E1667" s="1" t="s">
        <v>13</v>
      </c>
      <c r="F1667" s="1" t="s">
        <v>14</v>
      </c>
      <c r="G1667" s="4">
        <v>1</v>
      </c>
      <c r="H1667" s="4">
        <v>7745</v>
      </c>
      <c r="I1667" s="6">
        <v>3764.8356520963598</v>
      </c>
      <c r="J1667" s="6">
        <f>表1[[#This Row],[销售金额]]-表1[[#This Row],[退款金额]]</f>
        <v>3980.1643479036402</v>
      </c>
      <c r="K1667" s="1">
        <v>753</v>
      </c>
      <c r="L1667" s="1">
        <v>982</v>
      </c>
    </row>
    <row r="1668" spans="1:12" x14ac:dyDescent="0.3">
      <c r="A1668" s="2">
        <v>45926</v>
      </c>
      <c r="B1668" s="1" t="s">
        <v>11</v>
      </c>
      <c r="C1668" s="1" t="s">
        <v>10</v>
      </c>
      <c r="D1668" s="1" t="s">
        <v>136</v>
      </c>
      <c r="E1668" s="1" t="s">
        <v>13</v>
      </c>
      <c r="F1668" s="1" t="s">
        <v>14</v>
      </c>
      <c r="G1668" s="4">
        <v>1</v>
      </c>
      <c r="H1668" s="4">
        <v>5798</v>
      </c>
      <c r="I1668" s="6">
        <v>3764.8356520963598</v>
      </c>
      <c r="J1668" s="6">
        <f>表1[[#This Row],[销售金额]]-表1[[#This Row],[退款金额]]</f>
        <v>2033.1643479036402</v>
      </c>
      <c r="K1668" s="1">
        <v>753</v>
      </c>
      <c r="L1668" s="1">
        <v>982</v>
      </c>
    </row>
    <row r="1669" spans="1:12" x14ac:dyDescent="0.3">
      <c r="A1669" s="2">
        <v>45926</v>
      </c>
      <c r="B1669" s="1" t="s">
        <v>11</v>
      </c>
      <c r="C1669" s="1" t="s">
        <v>10</v>
      </c>
      <c r="D1669" s="1" t="s">
        <v>136</v>
      </c>
      <c r="E1669" s="1" t="s">
        <v>13</v>
      </c>
      <c r="F1669" s="1" t="s">
        <v>14</v>
      </c>
      <c r="G1669" s="4">
        <v>1</v>
      </c>
      <c r="H1669" s="4">
        <v>5332</v>
      </c>
      <c r="I1669" s="6">
        <v>3764.8356520963598</v>
      </c>
      <c r="J1669" s="6">
        <f>表1[[#This Row],[销售金额]]-表1[[#This Row],[退款金额]]</f>
        <v>1567.1643479036402</v>
      </c>
      <c r="K1669" s="1">
        <v>753</v>
      </c>
      <c r="L1669" s="1">
        <v>982</v>
      </c>
    </row>
    <row r="1670" spans="1:12" x14ac:dyDescent="0.3">
      <c r="A1670" s="2">
        <v>45926</v>
      </c>
      <c r="B1670" s="1" t="s">
        <v>11</v>
      </c>
      <c r="C1670" s="1" t="s">
        <v>10</v>
      </c>
      <c r="D1670" s="1" t="s">
        <v>136</v>
      </c>
      <c r="E1670" s="1" t="s">
        <v>13</v>
      </c>
      <c r="F1670" s="1" t="s">
        <v>14</v>
      </c>
      <c r="G1670" s="4">
        <v>1</v>
      </c>
      <c r="H1670" s="4">
        <v>4295</v>
      </c>
      <c r="I1670" s="6">
        <v>3764.8356520963598</v>
      </c>
      <c r="J1670" s="6">
        <f>表1[[#This Row],[销售金额]]-表1[[#This Row],[退款金额]]</f>
        <v>530.16434790364019</v>
      </c>
      <c r="K1670" s="1">
        <v>753</v>
      </c>
      <c r="L1670" s="1">
        <v>982</v>
      </c>
    </row>
    <row r="1671" spans="1:12" x14ac:dyDescent="0.3">
      <c r="A1671" s="2">
        <v>45926</v>
      </c>
      <c r="B1671" s="1" t="s">
        <v>11</v>
      </c>
      <c r="C1671" s="1" t="s">
        <v>19</v>
      </c>
      <c r="D1671" s="1" t="s">
        <v>54</v>
      </c>
      <c r="E1671" s="1" t="s">
        <v>21</v>
      </c>
      <c r="F1671" s="1" t="s">
        <v>22</v>
      </c>
      <c r="G1671" s="4">
        <v>2</v>
      </c>
      <c r="H1671" s="4">
        <v>2708</v>
      </c>
      <c r="I1671" s="6">
        <v>507.22565205305096</v>
      </c>
      <c r="J1671" s="6">
        <f>表1[[#This Row],[销售金额]]-表1[[#This Row],[退款金额]]</f>
        <v>2200.7743479469491</v>
      </c>
      <c r="K1671" s="1">
        <v>792</v>
      </c>
      <c r="L1671" s="1">
        <v>375</v>
      </c>
    </row>
    <row r="1672" spans="1:12" x14ac:dyDescent="0.3">
      <c r="A1672" s="2">
        <v>45926</v>
      </c>
      <c r="B1672" s="1" t="s">
        <v>11</v>
      </c>
      <c r="C1672" s="1" t="s">
        <v>19</v>
      </c>
      <c r="D1672" s="1" t="s">
        <v>54</v>
      </c>
      <c r="E1672" s="1" t="s">
        <v>21</v>
      </c>
      <c r="F1672" s="1" t="s">
        <v>22</v>
      </c>
      <c r="G1672" s="4">
        <v>2</v>
      </c>
      <c r="H1672" s="4">
        <v>4147</v>
      </c>
      <c r="I1672" s="6">
        <v>507.22565205305096</v>
      </c>
      <c r="J1672" s="6">
        <f>表1[[#This Row],[销售金额]]-表1[[#This Row],[退款金额]]</f>
        <v>3639.7743479469491</v>
      </c>
      <c r="K1672" s="1">
        <v>792</v>
      </c>
      <c r="L1672" s="1">
        <v>375</v>
      </c>
    </row>
    <row r="1673" spans="1:12" x14ac:dyDescent="0.3">
      <c r="A1673" s="2">
        <v>45926</v>
      </c>
      <c r="B1673" s="1" t="s">
        <v>11</v>
      </c>
      <c r="C1673" s="1" t="s">
        <v>19</v>
      </c>
      <c r="D1673" s="1" t="s">
        <v>54</v>
      </c>
      <c r="E1673" s="1" t="s">
        <v>21</v>
      </c>
      <c r="F1673" s="1" t="s">
        <v>22</v>
      </c>
      <c r="G1673" s="4">
        <v>2</v>
      </c>
      <c r="H1673" s="4">
        <v>5490</v>
      </c>
      <c r="I1673" s="6">
        <v>507.22565205305096</v>
      </c>
      <c r="J1673" s="6">
        <f>表1[[#This Row],[销售金额]]-表1[[#This Row],[退款金额]]</f>
        <v>4982.7743479469491</v>
      </c>
      <c r="K1673" s="1">
        <v>792</v>
      </c>
      <c r="L1673" s="1">
        <v>375</v>
      </c>
    </row>
    <row r="1674" spans="1:12" x14ac:dyDescent="0.3">
      <c r="A1674" s="2">
        <v>45926</v>
      </c>
      <c r="B1674" s="1" t="s">
        <v>11</v>
      </c>
      <c r="C1674" s="1" t="s">
        <v>19</v>
      </c>
      <c r="D1674" s="1" t="s">
        <v>54</v>
      </c>
      <c r="E1674" s="1" t="s">
        <v>21</v>
      </c>
      <c r="F1674" s="1" t="s">
        <v>22</v>
      </c>
      <c r="G1674" s="4">
        <v>2</v>
      </c>
      <c r="H1674" s="4">
        <v>4545</v>
      </c>
      <c r="I1674" s="6">
        <v>507.22565205305096</v>
      </c>
      <c r="J1674" s="6">
        <f>表1[[#This Row],[销售金额]]-表1[[#This Row],[退款金额]]</f>
        <v>4037.7743479469491</v>
      </c>
      <c r="K1674" s="1">
        <v>792</v>
      </c>
      <c r="L1674" s="1">
        <v>375</v>
      </c>
    </row>
    <row r="1675" spans="1:12" x14ac:dyDescent="0.3">
      <c r="A1675" s="2">
        <v>45926</v>
      </c>
      <c r="B1675" s="1" t="s">
        <v>11</v>
      </c>
      <c r="C1675" s="1" t="s">
        <v>19</v>
      </c>
      <c r="D1675" s="1" t="s">
        <v>54</v>
      </c>
      <c r="E1675" s="1" t="s">
        <v>21</v>
      </c>
      <c r="F1675" s="1" t="s">
        <v>22</v>
      </c>
      <c r="G1675" s="4">
        <v>2</v>
      </c>
      <c r="H1675" s="4">
        <v>2183</v>
      </c>
      <c r="I1675" s="6">
        <v>507.22565205305096</v>
      </c>
      <c r="J1675" s="6">
        <f>表1[[#This Row],[销售金额]]-表1[[#This Row],[退款金额]]</f>
        <v>1675.7743479469491</v>
      </c>
      <c r="K1675" s="1">
        <v>792</v>
      </c>
      <c r="L1675" s="1">
        <v>375</v>
      </c>
    </row>
    <row r="1676" spans="1:12" x14ac:dyDescent="0.3">
      <c r="A1676" s="2">
        <v>45926</v>
      </c>
      <c r="B1676" s="1" t="s">
        <v>11</v>
      </c>
      <c r="C1676" s="1" t="s">
        <v>19</v>
      </c>
      <c r="D1676" s="1" t="s">
        <v>54</v>
      </c>
      <c r="E1676" s="1" t="s">
        <v>21</v>
      </c>
      <c r="F1676" s="1" t="s">
        <v>22</v>
      </c>
      <c r="G1676" s="4">
        <v>2</v>
      </c>
      <c r="H1676" s="4">
        <v>1639</v>
      </c>
      <c r="I1676" s="6">
        <v>507.22565205305096</v>
      </c>
      <c r="J1676" s="6">
        <f>表1[[#This Row],[销售金额]]-表1[[#This Row],[退款金额]]</f>
        <v>1131.7743479469491</v>
      </c>
      <c r="K1676" s="1">
        <v>792</v>
      </c>
      <c r="L1676" s="1">
        <v>375</v>
      </c>
    </row>
    <row r="1677" spans="1:12" x14ac:dyDescent="0.3">
      <c r="A1677" s="2">
        <v>45926</v>
      </c>
      <c r="B1677" s="1" t="s">
        <v>11</v>
      </c>
      <c r="C1677" s="1" t="s">
        <v>19</v>
      </c>
      <c r="D1677" s="1" t="s">
        <v>54</v>
      </c>
      <c r="E1677" s="1" t="s">
        <v>21</v>
      </c>
      <c r="F1677" s="1" t="s">
        <v>22</v>
      </c>
      <c r="G1677" s="4">
        <v>2</v>
      </c>
      <c r="H1677" s="4">
        <v>2905</v>
      </c>
      <c r="I1677" s="6">
        <v>507.22565205305096</v>
      </c>
      <c r="J1677" s="6">
        <f>表1[[#This Row],[销售金额]]-表1[[#This Row],[退款金额]]</f>
        <v>2397.7743479469491</v>
      </c>
      <c r="K1677" s="1">
        <v>792</v>
      </c>
      <c r="L1677" s="1">
        <v>375</v>
      </c>
    </row>
    <row r="1678" spans="1:12" x14ac:dyDescent="0.3">
      <c r="A1678" s="2">
        <v>45926</v>
      </c>
      <c r="B1678" s="1" t="s">
        <v>11</v>
      </c>
      <c r="C1678" s="1" t="s">
        <v>19</v>
      </c>
      <c r="D1678" s="1" t="s">
        <v>54</v>
      </c>
      <c r="E1678" s="1" t="s">
        <v>21</v>
      </c>
      <c r="F1678" s="1" t="s">
        <v>22</v>
      </c>
      <c r="G1678" s="4">
        <v>2</v>
      </c>
      <c r="H1678" s="4">
        <v>1705</v>
      </c>
      <c r="I1678" s="6">
        <v>507.22565205305096</v>
      </c>
      <c r="J1678" s="6">
        <f>表1[[#This Row],[销售金额]]-表1[[#This Row],[退款金额]]</f>
        <v>1197.7743479469491</v>
      </c>
      <c r="K1678" s="1">
        <v>792</v>
      </c>
      <c r="L1678" s="1">
        <v>375</v>
      </c>
    </row>
    <row r="1679" spans="1:12" x14ac:dyDescent="0.3">
      <c r="A1679" s="2">
        <v>45926</v>
      </c>
      <c r="B1679" s="1" t="s">
        <v>25</v>
      </c>
      <c r="C1679" s="1" t="s">
        <v>10</v>
      </c>
      <c r="D1679" s="1" t="s">
        <v>185</v>
      </c>
      <c r="E1679" s="1" t="s">
        <v>13</v>
      </c>
      <c r="F1679" s="1" t="s">
        <v>14</v>
      </c>
      <c r="G1679" s="4">
        <v>3</v>
      </c>
      <c r="H1679" s="4">
        <v>6397</v>
      </c>
      <c r="I1679" s="6">
        <v>2579.0848444365233</v>
      </c>
      <c r="J1679" s="6">
        <f>表1[[#This Row],[销售金额]]-表1[[#This Row],[退款金额]]</f>
        <v>3817.9151555634767</v>
      </c>
      <c r="K1679" s="1">
        <v>8</v>
      </c>
      <c r="L1679" s="1">
        <v>699</v>
      </c>
    </row>
    <row r="1680" spans="1:12" x14ac:dyDescent="0.3">
      <c r="A1680" s="2">
        <v>45926</v>
      </c>
      <c r="B1680" s="1" t="s">
        <v>25</v>
      </c>
      <c r="C1680" s="1" t="s">
        <v>10</v>
      </c>
      <c r="D1680" s="1" t="s">
        <v>185</v>
      </c>
      <c r="E1680" s="1" t="s">
        <v>13</v>
      </c>
      <c r="F1680" s="1" t="s">
        <v>14</v>
      </c>
      <c r="G1680" s="4">
        <v>3</v>
      </c>
      <c r="H1680" s="4">
        <v>5952</v>
      </c>
      <c r="I1680" s="6">
        <v>2579.0848444365233</v>
      </c>
      <c r="J1680" s="6">
        <f>表1[[#This Row],[销售金额]]-表1[[#This Row],[退款金额]]</f>
        <v>3372.9151555634767</v>
      </c>
      <c r="K1680" s="1">
        <v>8</v>
      </c>
      <c r="L1680" s="1">
        <v>699</v>
      </c>
    </row>
    <row r="1681" spans="1:12" x14ac:dyDescent="0.3">
      <c r="A1681" s="2">
        <v>45926</v>
      </c>
      <c r="B1681" s="1" t="s">
        <v>25</v>
      </c>
      <c r="C1681" s="1" t="s">
        <v>10</v>
      </c>
      <c r="D1681" s="1" t="s">
        <v>185</v>
      </c>
      <c r="E1681" s="1" t="s">
        <v>13</v>
      </c>
      <c r="F1681" s="1" t="s">
        <v>14</v>
      </c>
      <c r="G1681" s="4">
        <v>3</v>
      </c>
      <c r="H1681" s="4">
        <v>3312</v>
      </c>
      <c r="I1681" s="6">
        <v>2579.0848444365233</v>
      </c>
      <c r="J1681" s="6">
        <f>表1[[#This Row],[销售金额]]-表1[[#This Row],[退款金额]]</f>
        <v>732.91515556347667</v>
      </c>
      <c r="K1681" s="1">
        <v>8</v>
      </c>
      <c r="L1681" s="1">
        <v>699</v>
      </c>
    </row>
    <row r="1682" spans="1:12" x14ac:dyDescent="0.3">
      <c r="A1682" s="2">
        <v>45926</v>
      </c>
      <c r="B1682" s="1" t="s">
        <v>25</v>
      </c>
      <c r="C1682" s="1" t="s">
        <v>10</v>
      </c>
      <c r="D1682" s="1" t="s">
        <v>185</v>
      </c>
      <c r="E1682" s="1" t="s">
        <v>13</v>
      </c>
      <c r="F1682" s="1" t="s">
        <v>14</v>
      </c>
      <c r="G1682" s="4">
        <v>3</v>
      </c>
      <c r="H1682" s="4">
        <v>7200</v>
      </c>
      <c r="I1682" s="6">
        <v>2579.0848444365233</v>
      </c>
      <c r="J1682" s="6">
        <f>表1[[#This Row],[销售金额]]-表1[[#This Row],[退款金额]]</f>
        <v>4620.9151555634762</v>
      </c>
      <c r="K1682" s="1">
        <v>8</v>
      </c>
      <c r="L1682" s="1">
        <v>699</v>
      </c>
    </row>
    <row r="1683" spans="1:12" x14ac:dyDescent="0.3">
      <c r="A1683" s="2">
        <v>45926</v>
      </c>
      <c r="B1683" s="1" t="s">
        <v>25</v>
      </c>
      <c r="C1683" s="1" t="s">
        <v>10</v>
      </c>
      <c r="D1683" s="1" t="s">
        <v>185</v>
      </c>
      <c r="E1683" s="1" t="s">
        <v>13</v>
      </c>
      <c r="F1683" s="1" t="s">
        <v>14</v>
      </c>
      <c r="G1683" s="4">
        <v>3</v>
      </c>
      <c r="H1683" s="4">
        <v>5145</v>
      </c>
      <c r="I1683" s="6">
        <v>2579.0848444365233</v>
      </c>
      <c r="J1683" s="6">
        <f>表1[[#This Row],[销售金额]]-表1[[#This Row],[退款金额]]</f>
        <v>2565.9151555634767</v>
      </c>
      <c r="K1683" s="1">
        <v>8</v>
      </c>
      <c r="L1683" s="1">
        <v>699</v>
      </c>
    </row>
    <row r="1684" spans="1:12" x14ac:dyDescent="0.3">
      <c r="A1684" s="2">
        <v>45926</v>
      </c>
      <c r="B1684" s="1" t="s">
        <v>25</v>
      </c>
      <c r="C1684" s="1" t="s">
        <v>10</v>
      </c>
      <c r="D1684" s="1" t="s">
        <v>185</v>
      </c>
      <c r="E1684" s="1" t="s">
        <v>13</v>
      </c>
      <c r="F1684" s="1" t="s">
        <v>14</v>
      </c>
      <c r="G1684" s="4">
        <v>3</v>
      </c>
      <c r="H1684" s="4">
        <v>7413</v>
      </c>
      <c r="I1684" s="6">
        <v>2579.0848444365233</v>
      </c>
      <c r="J1684" s="6">
        <f>表1[[#This Row],[销售金额]]-表1[[#This Row],[退款金额]]</f>
        <v>4833.9151555634762</v>
      </c>
      <c r="K1684" s="1">
        <v>8</v>
      </c>
      <c r="L1684" s="1">
        <v>699</v>
      </c>
    </row>
    <row r="1685" spans="1:12" x14ac:dyDescent="0.3">
      <c r="A1685" s="2">
        <v>45926</v>
      </c>
      <c r="B1685" s="1" t="s">
        <v>25</v>
      </c>
      <c r="C1685" s="1" t="s">
        <v>10</v>
      </c>
      <c r="D1685" s="1" t="s">
        <v>185</v>
      </c>
      <c r="E1685" s="1" t="s">
        <v>13</v>
      </c>
      <c r="F1685" s="1" t="s">
        <v>14</v>
      </c>
      <c r="G1685" s="4">
        <v>3</v>
      </c>
      <c r="H1685" s="4">
        <v>5269</v>
      </c>
      <c r="I1685" s="6">
        <v>2579.0848444365233</v>
      </c>
      <c r="J1685" s="6">
        <f>表1[[#This Row],[销售金额]]-表1[[#This Row],[退款金额]]</f>
        <v>2689.9151555634767</v>
      </c>
      <c r="K1685" s="1">
        <v>8</v>
      </c>
      <c r="L1685" s="1">
        <v>699</v>
      </c>
    </row>
    <row r="1686" spans="1:12" x14ac:dyDescent="0.3">
      <c r="A1686" s="2">
        <v>45926</v>
      </c>
      <c r="B1686" s="1" t="s">
        <v>25</v>
      </c>
      <c r="C1686" s="1" t="s">
        <v>10</v>
      </c>
      <c r="D1686" s="1" t="s">
        <v>185</v>
      </c>
      <c r="E1686" s="1" t="s">
        <v>13</v>
      </c>
      <c r="F1686" s="1" t="s">
        <v>14</v>
      </c>
      <c r="G1686" s="4">
        <v>3</v>
      </c>
      <c r="H1686" s="4">
        <v>3033</v>
      </c>
      <c r="I1686" s="6">
        <v>2579.0848444365233</v>
      </c>
      <c r="J1686" s="6">
        <f>表1[[#This Row],[销售金额]]-表1[[#This Row],[退款金额]]</f>
        <v>453.91515556347667</v>
      </c>
      <c r="K1686" s="1">
        <v>8</v>
      </c>
      <c r="L1686" s="1">
        <v>699</v>
      </c>
    </row>
    <row r="1687" spans="1:12" x14ac:dyDescent="0.3">
      <c r="A1687" s="2">
        <v>45926</v>
      </c>
      <c r="B1687" s="1" t="s">
        <v>25</v>
      </c>
      <c r="C1687" s="1" t="s">
        <v>10</v>
      </c>
      <c r="D1687" s="1" t="s">
        <v>185</v>
      </c>
      <c r="E1687" s="1" t="s">
        <v>13</v>
      </c>
      <c r="F1687" s="1" t="s">
        <v>14</v>
      </c>
      <c r="G1687" s="4">
        <v>3</v>
      </c>
      <c r="H1687" s="4">
        <v>6968</v>
      </c>
      <c r="I1687" s="6">
        <v>2579.0848444365233</v>
      </c>
      <c r="J1687" s="6">
        <f>表1[[#This Row],[销售金额]]-表1[[#This Row],[退款金额]]</f>
        <v>4388.9151555634762</v>
      </c>
      <c r="K1687" s="1">
        <v>8</v>
      </c>
      <c r="L1687" s="1">
        <v>699</v>
      </c>
    </row>
    <row r="1688" spans="1:12" x14ac:dyDescent="0.3">
      <c r="A1688" s="2">
        <v>45926</v>
      </c>
      <c r="B1688" s="1" t="s">
        <v>250</v>
      </c>
      <c r="C1688" s="1" t="s">
        <v>19</v>
      </c>
      <c r="D1688" s="1" t="s">
        <v>212</v>
      </c>
      <c r="E1688" s="1" t="s">
        <v>21</v>
      </c>
      <c r="F1688" s="1" t="s">
        <v>22</v>
      </c>
      <c r="G1688" s="4">
        <v>5</v>
      </c>
      <c r="H1688" s="4">
        <v>1759</v>
      </c>
      <c r="I1688" s="6">
        <v>275.06893116080528</v>
      </c>
      <c r="J1688" s="6">
        <f>表1[[#This Row],[销售金额]]-表1[[#This Row],[退款金额]]</f>
        <v>1483.9310688391947</v>
      </c>
      <c r="K1688" s="1">
        <v>153</v>
      </c>
      <c r="L1688" s="1">
        <v>852</v>
      </c>
    </row>
    <row r="1689" spans="1:12" x14ac:dyDescent="0.3">
      <c r="A1689" s="2">
        <v>45926</v>
      </c>
      <c r="B1689" s="1" t="s">
        <v>250</v>
      </c>
      <c r="C1689" s="1" t="s">
        <v>19</v>
      </c>
      <c r="D1689" s="1" t="s">
        <v>212</v>
      </c>
      <c r="E1689" s="1" t="s">
        <v>21</v>
      </c>
      <c r="F1689" s="1" t="s">
        <v>22</v>
      </c>
      <c r="G1689" s="4">
        <v>5</v>
      </c>
      <c r="H1689" s="4">
        <v>4523</v>
      </c>
      <c r="I1689" s="6">
        <v>275.06893116080528</v>
      </c>
      <c r="J1689" s="6">
        <f>表1[[#This Row],[销售金额]]-表1[[#This Row],[退款金额]]</f>
        <v>4247.9310688391943</v>
      </c>
      <c r="K1689" s="1">
        <v>153</v>
      </c>
      <c r="L1689" s="1">
        <v>852</v>
      </c>
    </row>
    <row r="1690" spans="1:12" x14ac:dyDescent="0.3">
      <c r="A1690" s="2">
        <v>45926</v>
      </c>
      <c r="B1690" s="1" t="s">
        <v>250</v>
      </c>
      <c r="C1690" s="1" t="s">
        <v>19</v>
      </c>
      <c r="D1690" s="1" t="s">
        <v>212</v>
      </c>
      <c r="E1690" s="1" t="s">
        <v>21</v>
      </c>
      <c r="F1690" s="1" t="s">
        <v>22</v>
      </c>
      <c r="G1690" s="4">
        <v>5</v>
      </c>
      <c r="H1690" s="4">
        <v>1936</v>
      </c>
      <c r="I1690" s="6">
        <v>275.06893116080528</v>
      </c>
      <c r="J1690" s="6">
        <f>表1[[#This Row],[销售金额]]-表1[[#This Row],[退款金额]]</f>
        <v>1660.9310688391947</v>
      </c>
      <c r="K1690" s="1">
        <v>153</v>
      </c>
      <c r="L1690" s="1">
        <v>852</v>
      </c>
    </row>
    <row r="1691" spans="1:12" x14ac:dyDescent="0.3">
      <c r="A1691" s="2">
        <v>45926</v>
      </c>
      <c r="B1691" s="1" t="s">
        <v>250</v>
      </c>
      <c r="C1691" s="1" t="s">
        <v>19</v>
      </c>
      <c r="D1691" s="1" t="s">
        <v>212</v>
      </c>
      <c r="E1691" s="1" t="s">
        <v>21</v>
      </c>
      <c r="F1691" s="1" t="s">
        <v>22</v>
      </c>
      <c r="G1691" s="4">
        <v>5</v>
      </c>
      <c r="H1691" s="4">
        <v>2776</v>
      </c>
      <c r="I1691" s="6">
        <v>275.06893116080528</v>
      </c>
      <c r="J1691" s="6">
        <f>表1[[#This Row],[销售金额]]-表1[[#This Row],[退款金额]]</f>
        <v>2500.9310688391947</v>
      </c>
      <c r="K1691" s="1">
        <v>153</v>
      </c>
      <c r="L1691" s="1">
        <v>852</v>
      </c>
    </row>
    <row r="1692" spans="1:12" x14ac:dyDescent="0.3">
      <c r="A1692" s="2">
        <v>45926</v>
      </c>
      <c r="B1692" s="1" t="s">
        <v>250</v>
      </c>
      <c r="C1692" s="1" t="s">
        <v>19</v>
      </c>
      <c r="D1692" s="1" t="s">
        <v>212</v>
      </c>
      <c r="E1692" s="1" t="s">
        <v>21</v>
      </c>
      <c r="F1692" s="1" t="s">
        <v>22</v>
      </c>
      <c r="G1692" s="4">
        <v>5</v>
      </c>
      <c r="H1692" s="4">
        <v>1398</v>
      </c>
      <c r="I1692" s="6">
        <v>275.06893116080528</v>
      </c>
      <c r="J1692" s="6">
        <f>表1[[#This Row],[销售金额]]-表1[[#This Row],[退款金额]]</f>
        <v>1122.9310688391947</v>
      </c>
      <c r="K1692" s="1">
        <v>153</v>
      </c>
      <c r="L1692" s="1">
        <v>852</v>
      </c>
    </row>
    <row r="1693" spans="1:12" x14ac:dyDescent="0.3">
      <c r="A1693" s="2">
        <v>45926</v>
      </c>
      <c r="B1693" s="1" t="s">
        <v>250</v>
      </c>
      <c r="C1693" s="1" t="s">
        <v>19</v>
      </c>
      <c r="D1693" s="1" t="s">
        <v>212</v>
      </c>
      <c r="E1693" s="1" t="s">
        <v>21</v>
      </c>
      <c r="F1693" s="1" t="s">
        <v>22</v>
      </c>
      <c r="G1693" s="4">
        <v>5</v>
      </c>
      <c r="H1693" s="4">
        <v>2554</v>
      </c>
      <c r="I1693" s="6">
        <v>275.06893116080528</v>
      </c>
      <c r="J1693" s="6">
        <f>表1[[#This Row],[销售金额]]-表1[[#This Row],[退款金额]]</f>
        <v>2278.9310688391947</v>
      </c>
      <c r="K1693" s="1">
        <v>153</v>
      </c>
      <c r="L1693" s="1">
        <v>852</v>
      </c>
    </row>
    <row r="1694" spans="1:12" x14ac:dyDescent="0.3">
      <c r="A1694" s="2">
        <v>45926</v>
      </c>
      <c r="B1694" s="1" t="s">
        <v>250</v>
      </c>
      <c r="C1694" s="1" t="s">
        <v>19</v>
      </c>
      <c r="D1694" s="1" t="s">
        <v>212</v>
      </c>
      <c r="E1694" s="1" t="s">
        <v>21</v>
      </c>
      <c r="F1694" s="1" t="s">
        <v>22</v>
      </c>
      <c r="G1694" s="4">
        <v>5</v>
      </c>
      <c r="H1694" s="4">
        <v>4997</v>
      </c>
      <c r="I1694" s="6">
        <v>275.06893116080528</v>
      </c>
      <c r="J1694" s="6">
        <f>表1[[#This Row],[销售金额]]-表1[[#This Row],[退款金额]]</f>
        <v>4721.9310688391943</v>
      </c>
      <c r="K1694" s="1">
        <v>153</v>
      </c>
      <c r="L1694" s="1">
        <v>852</v>
      </c>
    </row>
    <row r="1695" spans="1:12" x14ac:dyDescent="0.3">
      <c r="A1695" s="2">
        <v>45926</v>
      </c>
      <c r="B1695" s="1" t="s">
        <v>250</v>
      </c>
      <c r="C1695" s="1" t="s">
        <v>19</v>
      </c>
      <c r="D1695" s="1" t="s">
        <v>212</v>
      </c>
      <c r="E1695" s="1" t="s">
        <v>21</v>
      </c>
      <c r="F1695" s="1" t="s">
        <v>22</v>
      </c>
      <c r="G1695" s="4">
        <v>5</v>
      </c>
      <c r="H1695" s="4">
        <v>2550</v>
      </c>
      <c r="I1695" s="6">
        <v>275.06893116080528</v>
      </c>
      <c r="J1695" s="6">
        <f>表1[[#This Row],[销售金额]]-表1[[#This Row],[退款金额]]</f>
        <v>2274.9310688391947</v>
      </c>
      <c r="K1695" s="1">
        <v>153</v>
      </c>
      <c r="L1695" s="1">
        <v>852</v>
      </c>
    </row>
    <row r="1696" spans="1:12" x14ac:dyDescent="0.3">
      <c r="A1696" s="2">
        <v>45926</v>
      </c>
      <c r="B1696" s="1" t="s">
        <v>250</v>
      </c>
      <c r="C1696" s="1" t="s">
        <v>19</v>
      </c>
      <c r="D1696" s="1" t="s">
        <v>212</v>
      </c>
      <c r="E1696" s="1" t="s">
        <v>21</v>
      </c>
      <c r="F1696" s="1" t="s">
        <v>22</v>
      </c>
      <c r="G1696" s="4">
        <v>5</v>
      </c>
      <c r="H1696" s="4">
        <v>4334</v>
      </c>
      <c r="I1696" s="6">
        <v>275.06893116080528</v>
      </c>
      <c r="J1696" s="6">
        <f>表1[[#This Row],[销售金额]]-表1[[#This Row],[退款金额]]</f>
        <v>4058.9310688391947</v>
      </c>
      <c r="K1696" s="1">
        <v>153</v>
      </c>
      <c r="L1696" s="1">
        <v>852</v>
      </c>
    </row>
    <row r="1697" spans="1:12" x14ac:dyDescent="0.3">
      <c r="A1697" s="2">
        <v>45926</v>
      </c>
      <c r="B1697" s="1" t="s">
        <v>15</v>
      </c>
      <c r="C1697" s="1" t="s">
        <v>32</v>
      </c>
      <c r="D1697" s="1" t="s">
        <v>66</v>
      </c>
      <c r="E1697" s="1" t="s">
        <v>60</v>
      </c>
      <c r="F1697" s="1" t="s">
        <v>61</v>
      </c>
      <c r="G1697" s="4">
        <v>9</v>
      </c>
      <c r="H1697" s="4">
        <v>14659</v>
      </c>
      <c r="I1697" s="6">
        <v>11623.943581147258</v>
      </c>
      <c r="J1697" s="6">
        <f>表1[[#This Row],[销售金额]]-表1[[#This Row],[退款金额]]</f>
        <v>3035.0564188527424</v>
      </c>
      <c r="K1697" s="1">
        <v>108</v>
      </c>
      <c r="L1697" s="1">
        <v>980</v>
      </c>
    </row>
    <row r="1698" spans="1:12" x14ac:dyDescent="0.3">
      <c r="A1698" s="2">
        <v>45926</v>
      </c>
      <c r="B1698" s="1" t="s">
        <v>15</v>
      </c>
      <c r="C1698" s="1" t="s">
        <v>32</v>
      </c>
      <c r="D1698" s="1" t="s">
        <v>66</v>
      </c>
      <c r="E1698" s="1" t="s">
        <v>60</v>
      </c>
      <c r="F1698" s="1" t="s">
        <v>61</v>
      </c>
      <c r="G1698" s="4">
        <v>9</v>
      </c>
      <c r="H1698" s="4">
        <v>12111</v>
      </c>
      <c r="I1698" s="6">
        <v>11623.943581147258</v>
      </c>
      <c r="J1698" s="6">
        <f>表1[[#This Row],[销售金额]]-表1[[#This Row],[退款金额]]</f>
        <v>487.05641885274235</v>
      </c>
      <c r="K1698" s="1">
        <v>108</v>
      </c>
      <c r="L1698" s="1">
        <v>980</v>
      </c>
    </row>
    <row r="1699" spans="1:12" x14ac:dyDescent="0.3">
      <c r="A1699" s="2">
        <v>45926</v>
      </c>
      <c r="B1699" s="1" t="s">
        <v>15</v>
      </c>
      <c r="C1699" s="1" t="s">
        <v>32</v>
      </c>
      <c r="D1699" s="1" t="s">
        <v>66</v>
      </c>
      <c r="E1699" s="1" t="s">
        <v>60</v>
      </c>
      <c r="F1699" s="1" t="s">
        <v>61</v>
      </c>
      <c r="G1699" s="4">
        <v>9</v>
      </c>
      <c r="H1699" s="4">
        <v>12204</v>
      </c>
      <c r="I1699" s="6">
        <v>11623.943581147258</v>
      </c>
      <c r="J1699" s="6">
        <f>表1[[#This Row],[销售金额]]-表1[[#This Row],[退款金额]]</f>
        <v>580.05641885274235</v>
      </c>
      <c r="K1699" s="1">
        <v>108</v>
      </c>
      <c r="L1699" s="1">
        <v>980</v>
      </c>
    </row>
    <row r="1700" spans="1:12" x14ac:dyDescent="0.3">
      <c r="A1700" s="2">
        <v>45926</v>
      </c>
      <c r="B1700" s="1" t="s">
        <v>15</v>
      </c>
      <c r="C1700" s="1" t="s">
        <v>32</v>
      </c>
      <c r="D1700" s="1" t="s">
        <v>66</v>
      </c>
      <c r="E1700" s="1" t="s">
        <v>60</v>
      </c>
      <c r="F1700" s="1" t="s">
        <v>61</v>
      </c>
      <c r="G1700" s="4">
        <v>9</v>
      </c>
      <c r="H1700" s="4">
        <v>12127</v>
      </c>
      <c r="I1700" s="6">
        <v>11623.943581147258</v>
      </c>
      <c r="J1700" s="6">
        <f>表1[[#This Row],[销售金额]]-表1[[#This Row],[退款金额]]</f>
        <v>503.05641885274235</v>
      </c>
      <c r="K1700" s="1">
        <v>108</v>
      </c>
      <c r="L1700" s="1">
        <v>980</v>
      </c>
    </row>
    <row r="1701" spans="1:12" x14ac:dyDescent="0.3">
      <c r="A1701" s="2">
        <v>45926</v>
      </c>
      <c r="B1701" s="1" t="s">
        <v>15</v>
      </c>
      <c r="C1701" s="1" t="s">
        <v>32</v>
      </c>
      <c r="D1701" s="1" t="s">
        <v>66</v>
      </c>
      <c r="E1701" s="1" t="s">
        <v>60</v>
      </c>
      <c r="F1701" s="1" t="s">
        <v>61</v>
      </c>
      <c r="G1701" s="4">
        <v>9</v>
      </c>
      <c r="H1701" s="4">
        <v>12776</v>
      </c>
      <c r="I1701" s="6">
        <v>11623.943581147258</v>
      </c>
      <c r="J1701" s="6">
        <f>表1[[#This Row],[销售金额]]-表1[[#This Row],[退款金额]]</f>
        <v>1152.0564188527424</v>
      </c>
      <c r="K1701" s="1">
        <v>108</v>
      </c>
      <c r="L1701" s="1">
        <v>980</v>
      </c>
    </row>
    <row r="1702" spans="1:12" x14ac:dyDescent="0.3">
      <c r="A1702" s="2">
        <v>45926</v>
      </c>
      <c r="B1702" s="1" t="s">
        <v>15</v>
      </c>
      <c r="C1702" s="1" t="s">
        <v>32</v>
      </c>
      <c r="D1702" s="1" t="s">
        <v>66</v>
      </c>
      <c r="E1702" s="1" t="s">
        <v>60</v>
      </c>
      <c r="F1702" s="1" t="s">
        <v>61</v>
      </c>
      <c r="G1702" s="4">
        <v>9</v>
      </c>
      <c r="H1702" s="4">
        <v>11702</v>
      </c>
      <c r="I1702" s="6">
        <v>11623.943581147258</v>
      </c>
      <c r="J1702" s="6">
        <f>表1[[#This Row],[销售金额]]-表1[[#This Row],[退款金额]]</f>
        <v>78.056418852742354</v>
      </c>
      <c r="K1702" s="1">
        <v>108</v>
      </c>
      <c r="L1702" s="1">
        <v>980</v>
      </c>
    </row>
    <row r="1703" spans="1:12" x14ac:dyDescent="0.3">
      <c r="A1703" s="2">
        <v>45926</v>
      </c>
      <c r="B1703" s="1" t="s">
        <v>15</v>
      </c>
      <c r="C1703" s="1" t="s">
        <v>32</v>
      </c>
      <c r="D1703" s="1" t="s">
        <v>66</v>
      </c>
      <c r="E1703" s="1" t="s">
        <v>60</v>
      </c>
      <c r="F1703" s="1" t="s">
        <v>61</v>
      </c>
      <c r="G1703" s="4">
        <v>9</v>
      </c>
      <c r="H1703" s="4">
        <v>13991</v>
      </c>
      <c r="I1703" s="6">
        <v>11623.943581147258</v>
      </c>
      <c r="J1703" s="6">
        <f>表1[[#This Row],[销售金额]]-表1[[#This Row],[退款金额]]</f>
        <v>2367.0564188527424</v>
      </c>
      <c r="K1703" s="1">
        <v>108</v>
      </c>
      <c r="L1703" s="1">
        <v>980</v>
      </c>
    </row>
    <row r="1704" spans="1:12" x14ac:dyDescent="0.3">
      <c r="A1704" s="2">
        <v>45926</v>
      </c>
      <c r="B1704" s="1" t="s">
        <v>15</v>
      </c>
      <c r="C1704" s="1" t="s">
        <v>32</v>
      </c>
      <c r="D1704" s="1" t="s">
        <v>66</v>
      </c>
      <c r="E1704" s="1" t="s">
        <v>60</v>
      </c>
      <c r="F1704" s="1" t="s">
        <v>61</v>
      </c>
      <c r="G1704" s="4">
        <v>9</v>
      </c>
      <c r="H1704" s="4">
        <v>13342</v>
      </c>
      <c r="I1704" s="6">
        <v>11623.943581147258</v>
      </c>
      <c r="J1704" s="6">
        <f>表1[[#This Row],[销售金额]]-表1[[#This Row],[退款金额]]</f>
        <v>1718.0564188527424</v>
      </c>
      <c r="K1704" s="1">
        <v>108</v>
      </c>
      <c r="L1704" s="1">
        <v>980</v>
      </c>
    </row>
    <row r="1705" spans="1:12" x14ac:dyDescent="0.3">
      <c r="A1705" s="2">
        <v>45926</v>
      </c>
      <c r="B1705" s="1" t="s">
        <v>25</v>
      </c>
      <c r="C1705" s="1" t="s">
        <v>19</v>
      </c>
      <c r="D1705" s="1" t="s">
        <v>169</v>
      </c>
      <c r="E1705" s="1" t="s">
        <v>51</v>
      </c>
      <c r="F1705" s="1" t="s">
        <v>52</v>
      </c>
      <c r="G1705" s="4">
        <v>10</v>
      </c>
      <c r="H1705" s="4">
        <v>6174</v>
      </c>
      <c r="I1705" s="6">
        <v>4008.3685037751529</v>
      </c>
      <c r="J1705" s="6">
        <f>表1[[#This Row],[销售金额]]-表1[[#This Row],[退款金额]]</f>
        <v>2165.6314962248471</v>
      </c>
      <c r="K1705" s="1">
        <v>298</v>
      </c>
      <c r="L1705" s="1">
        <v>604</v>
      </c>
    </row>
    <row r="1706" spans="1:12" x14ac:dyDescent="0.3">
      <c r="A1706" s="2">
        <v>45926</v>
      </c>
      <c r="B1706" s="1" t="s">
        <v>25</v>
      </c>
      <c r="C1706" s="1" t="s">
        <v>19</v>
      </c>
      <c r="D1706" s="1" t="s">
        <v>169</v>
      </c>
      <c r="E1706" s="1" t="s">
        <v>51</v>
      </c>
      <c r="F1706" s="1" t="s">
        <v>52</v>
      </c>
      <c r="G1706" s="4">
        <v>10</v>
      </c>
      <c r="H1706" s="4">
        <v>5506</v>
      </c>
      <c r="I1706" s="6">
        <v>4008.3685037751529</v>
      </c>
      <c r="J1706" s="6">
        <f>表1[[#This Row],[销售金额]]-表1[[#This Row],[退款金额]]</f>
        <v>1497.6314962248471</v>
      </c>
      <c r="K1706" s="1">
        <v>298</v>
      </c>
      <c r="L1706" s="1">
        <v>604</v>
      </c>
    </row>
    <row r="1707" spans="1:12" x14ac:dyDescent="0.3">
      <c r="A1707" s="2">
        <v>45926</v>
      </c>
      <c r="B1707" s="1" t="s">
        <v>25</v>
      </c>
      <c r="C1707" s="1" t="s">
        <v>19</v>
      </c>
      <c r="D1707" s="1" t="s">
        <v>169</v>
      </c>
      <c r="E1707" s="1" t="s">
        <v>51</v>
      </c>
      <c r="F1707" s="1" t="s">
        <v>52</v>
      </c>
      <c r="G1707" s="4">
        <v>10</v>
      </c>
      <c r="H1707" s="4">
        <v>5882</v>
      </c>
      <c r="I1707" s="6">
        <v>4008.3685037751529</v>
      </c>
      <c r="J1707" s="6">
        <f>表1[[#This Row],[销售金额]]-表1[[#This Row],[退款金额]]</f>
        <v>1873.6314962248471</v>
      </c>
      <c r="K1707" s="1">
        <v>298</v>
      </c>
      <c r="L1707" s="1">
        <v>604</v>
      </c>
    </row>
    <row r="1708" spans="1:12" x14ac:dyDescent="0.3">
      <c r="A1708" s="2">
        <v>45926</v>
      </c>
      <c r="B1708" s="1" t="s">
        <v>25</v>
      </c>
      <c r="C1708" s="1" t="s">
        <v>19</v>
      </c>
      <c r="D1708" s="1" t="s">
        <v>169</v>
      </c>
      <c r="E1708" s="1" t="s">
        <v>51</v>
      </c>
      <c r="F1708" s="1" t="s">
        <v>52</v>
      </c>
      <c r="G1708" s="4">
        <v>10</v>
      </c>
      <c r="H1708" s="4">
        <v>5700</v>
      </c>
      <c r="I1708" s="6">
        <v>4008.3685037751529</v>
      </c>
      <c r="J1708" s="6">
        <f>表1[[#This Row],[销售金额]]-表1[[#This Row],[退款金额]]</f>
        <v>1691.6314962248471</v>
      </c>
      <c r="K1708" s="1">
        <v>298</v>
      </c>
      <c r="L1708" s="1">
        <v>604</v>
      </c>
    </row>
    <row r="1709" spans="1:12" x14ac:dyDescent="0.3">
      <c r="A1709" s="2">
        <v>45926</v>
      </c>
      <c r="B1709" s="1" t="s">
        <v>25</v>
      </c>
      <c r="C1709" s="1" t="s">
        <v>19</v>
      </c>
      <c r="D1709" s="1" t="s">
        <v>169</v>
      </c>
      <c r="E1709" s="1" t="s">
        <v>51</v>
      </c>
      <c r="F1709" s="1" t="s">
        <v>52</v>
      </c>
      <c r="G1709" s="4">
        <v>10</v>
      </c>
      <c r="H1709" s="4">
        <v>6489</v>
      </c>
      <c r="I1709" s="6">
        <v>4008.3685037751529</v>
      </c>
      <c r="J1709" s="6">
        <f>表1[[#This Row],[销售金额]]-表1[[#This Row],[退款金额]]</f>
        <v>2480.6314962248471</v>
      </c>
      <c r="K1709" s="1">
        <v>298</v>
      </c>
      <c r="L1709" s="1">
        <v>604</v>
      </c>
    </row>
    <row r="1710" spans="1:12" x14ac:dyDescent="0.3">
      <c r="A1710" s="2">
        <v>45926</v>
      </c>
      <c r="B1710" s="1" t="s">
        <v>25</v>
      </c>
      <c r="C1710" s="1" t="s">
        <v>19</v>
      </c>
      <c r="D1710" s="1" t="s">
        <v>169</v>
      </c>
      <c r="E1710" s="1" t="s">
        <v>51</v>
      </c>
      <c r="F1710" s="1" t="s">
        <v>52</v>
      </c>
      <c r="G1710" s="4">
        <v>10</v>
      </c>
      <c r="H1710" s="4">
        <v>4344</v>
      </c>
      <c r="I1710" s="6">
        <v>4008.3685037751529</v>
      </c>
      <c r="J1710" s="6">
        <f>表1[[#This Row],[销售金额]]-表1[[#This Row],[退款金额]]</f>
        <v>335.63149622484707</v>
      </c>
      <c r="K1710" s="1">
        <v>298</v>
      </c>
      <c r="L1710" s="1">
        <v>604</v>
      </c>
    </row>
    <row r="1711" spans="1:12" x14ac:dyDescent="0.3">
      <c r="A1711" s="2">
        <v>45926</v>
      </c>
      <c r="B1711" s="1" t="s">
        <v>25</v>
      </c>
      <c r="C1711" s="1" t="s">
        <v>19</v>
      </c>
      <c r="D1711" s="1" t="s">
        <v>169</v>
      </c>
      <c r="E1711" s="1" t="s">
        <v>51</v>
      </c>
      <c r="F1711" s="1" t="s">
        <v>52</v>
      </c>
      <c r="G1711" s="4">
        <v>10</v>
      </c>
      <c r="H1711" s="4">
        <v>4772</v>
      </c>
      <c r="I1711" s="6">
        <v>4008.3685037751529</v>
      </c>
      <c r="J1711" s="6">
        <f>表1[[#This Row],[销售金额]]-表1[[#This Row],[退款金额]]</f>
        <v>763.63149622484707</v>
      </c>
      <c r="K1711" s="1">
        <v>298</v>
      </c>
      <c r="L1711" s="1">
        <v>604</v>
      </c>
    </row>
    <row r="1712" spans="1:12" x14ac:dyDescent="0.3">
      <c r="A1712" s="2">
        <v>45926</v>
      </c>
      <c r="B1712" s="1" t="s">
        <v>25</v>
      </c>
      <c r="C1712" s="1" t="s">
        <v>19</v>
      </c>
      <c r="D1712" s="1" t="s">
        <v>169</v>
      </c>
      <c r="E1712" s="1" t="s">
        <v>51</v>
      </c>
      <c r="F1712" s="1" t="s">
        <v>52</v>
      </c>
      <c r="G1712" s="4">
        <v>10</v>
      </c>
      <c r="H1712" s="4">
        <v>7201</v>
      </c>
      <c r="I1712" s="6">
        <v>4008.3685037751529</v>
      </c>
      <c r="J1712" s="6">
        <f>表1[[#This Row],[销售金额]]-表1[[#This Row],[退款金额]]</f>
        <v>3192.6314962248471</v>
      </c>
      <c r="K1712" s="1">
        <v>298</v>
      </c>
      <c r="L1712" s="1">
        <v>604</v>
      </c>
    </row>
    <row r="1713" spans="1:12" x14ac:dyDescent="0.3">
      <c r="A1713" s="2">
        <v>45926</v>
      </c>
      <c r="B1713" s="1" t="s">
        <v>25</v>
      </c>
      <c r="C1713" s="1" t="s">
        <v>19</v>
      </c>
      <c r="D1713" s="1" t="s">
        <v>169</v>
      </c>
      <c r="E1713" s="1" t="s">
        <v>51</v>
      </c>
      <c r="F1713" s="1" t="s">
        <v>52</v>
      </c>
      <c r="G1713" s="4">
        <v>10</v>
      </c>
      <c r="H1713" s="4">
        <v>7573</v>
      </c>
      <c r="I1713" s="6">
        <v>4008.3685037751529</v>
      </c>
      <c r="J1713" s="6">
        <f>表1[[#This Row],[销售金额]]-表1[[#This Row],[退款金额]]</f>
        <v>3564.6314962248471</v>
      </c>
      <c r="K1713" s="1">
        <v>298</v>
      </c>
      <c r="L1713" s="1">
        <v>604</v>
      </c>
    </row>
    <row r="1714" spans="1:12" x14ac:dyDescent="0.3">
      <c r="A1714" s="2">
        <v>45926</v>
      </c>
      <c r="B1714" s="1" t="s">
        <v>250</v>
      </c>
      <c r="C1714" s="1" t="s">
        <v>32</v>
      </c>
      <c r="D1714" s="1" t="s">
        <v>171</v>
      </c>
      <c r="E1714" s="1" t="s">
        <v>60</v>
      </c>
      <c r="F1714" s="1" t="s">
        <v>61</v>
      </c>
      <c r="G1714" s="4">
        <v>15</v>
      </c>
      <c r="H1714" s="4">
        <v>38350</v>
      </c>
      <c r="I1714" s="6">
        <v>34806.85010746248</v>
      </c>
      <c r="J1714" s="6">
        <f>表1[[#This Row],[销售金额]]-表1[[#This Row],[退款金额]]</f>
        <v>3543.1498925375199</v>
      </c>
      <c r="K1714" s="1">
        <v>595</v>
      </c>
      <c r="L1714" s="1">
        <v>525</v>
      </c>
    </row>
    <row r="1715" spans="1:12" x14ac:dyDescent="0.3">
      <c r="A1715" s="2">
        <v>45926</v>
      </c>
      <c r="B1715" s="1" t="s">
        <v>250</v>
      </c>
      <c r="C1715" s="1" t="s">
        <v>32</v>
      </c>
      <c r="D1715" s="1" t="s">
        <v>171</v>
      </c>
      <c r="E1715" s="1" t="s">
        <v>60</v>
      </c>
      <c r="F1715" s="1" t="s">
        <v>61</v>
      </c>
      <c r="G1715" s="4">
        <v>15</v>
      </c>
      <c r="H1715" s="4">
        <v>37151</v>
      </c>
      <c r="I1715" s="6">
        <v>34806.85010746248</v>
      </c>
      <c r="J1715" s="6">
        <f>表1[[#This Row],[销售金额]]-表1[[#This Row],[退款金额]]</f>
        <v>2344.1498925375199</v>
      </c>
      <c r="K1715" s="1">
        <v>595</v>
      </c>
      <c r="L1715" s="1">
        <v>525</v>
      </c>
    </row>
    <row r="1716" spans="1:12" x14ac:dyDescent="0.3">
      <c r="A1716" s="2">
        <v>45926</v>
      </c>
      <c r="B1716" s="1" t="s">
        <v>250</v>
      </c>
      <c r="C1716" s="1" t="s">
        <v>32</v>
      </c>
      <c r="D1716" s="1" t="s">
        <v>171</v>
      </c>
      <c r="E1716" s="1" t="s">
        <v>60</v>
      </c>
      <c r="F1716" s="1" t="s">
        <v>61</v>
      </c>
      <c r="G1716" s="4">
        <v>15</v>
      </c>
      <c r="H1716" s="4">
        <v>38348</v>
      </c>
      <c r="I1716" s="6">
        <v>34806.85010746248</v>
      </c>
      <c r="J1716" s="6">
        <f>表1[[#This Row],[销售金额]]-表1[[#This Row],[退款金额]]</f>
        <v>3541.1498925375199</v>
      </c>
      <c r="K1716" s="1">
        <v>595</v>
      </c>
      <c r="L1716" s="1">
        <v>525</v>
      </c>
    </row>
    <row r="1717" spans="1:12" x14ac:dyDescent="0.3">
      <c r="A1717" s="2">
        <v>45926</v>
      </c>
      <c r="B1717" s="1" t="s">
        <v>250</v>
      </c>
      <c r="C1717" s="1" t="s">
        <v>32</v>
      </c>
      <c r="D1717" s="1" t="s">
        <v>171</v>
      </c>
      <c r="E1717" s="1" t="s">
        <v>60</v>
      </c>
      <c r="F1717" s="1" t="s">
        <v>61</v>
      </c>
      <c r="G1717" s="4">
        <v>15</v>
      </c>
      <c r="H1717" s="4">
        <v>38182</v>
      </c>
      <c r="I1717" s="6">
        <v>34806.85010746248</v>
      </c>
      <c r="J1717" s="6">
        <f>表1[[#This Row],[销售金额]]-表1[[#This Row],[退款金额]]</f>
        <v>3375.1498925375199</v>
      </c>
      <c r="K1717" s="1">
        <v>595</v>
      </c>
      <c r="L1717" s="1">
        <v>525</v>
      </c>
    </row>
    <row r="1718" spans="1:12" x14ac:dyDescent="0.3">
      <c r="A1718" s="2">
        <v>45926</v>
      </c>
      <c r="B1718" s="1" t="s">
        <v>250</v>
      </c>
      <c r="C1718" s="1" t="s">
        <v>32</v>
      </c>
      <c r="D1718" s="1" t="s">
        <v>171</v>
      </c>
      <c r="E1718" s="1" t="s">
        <v>60</v>
      </c>
      <c r="F1718" s="1" t="s">
        <v>61</v>
      </c>
      <c r="G1718" s="4">
        <v>15</v>
      </c>
      <c r="H1718" s="4">
        <v>37145</v>
      </c>
      <c r="I1718" s="6">
        <v>34806.85010746248</v>
      </c>
      <c r="J1718" s="6">
        <f>表1[[#This Row],[销售金额]]-表1[[#This Row],[退款金额]]</f>
        <v>2338.1498925375199</v>
      </c>
      <c r="K1718" s="1">
        <v>595</v>
      </c>
      <c r="L1718" s="1">
        <v>525</v>
      </c>
    </row>
    <row r="1719" spans="1:12" x14ac:dyDescent="0.3">
      <c r="A1719" s="2">
        <v>45926</v>
      </c>
      <c r="B1719" s="1" t="s">
        <v>250</v>
      </c>
      <c r="C1719" s="1" t="s">
        <v>32</v>
      </c>
      <c r="D1719" s="1" t="s">
        <v>171</v>
      </c>
      <c r="E1719" s="1" t="s">
        <v>60</v>
      </c>
      <c r="F1719" s="1" t="s">
        <v>61</v>
      </c>
      <c r="G1719" s="4">
        <v>15</v>
      </c>
      <c r="H1719" s="4">
        <v>35302</v>
      </c>
      <c r="I1719" s="6">
        <v>34806.85010746248</v>
      </c>
      <c r="J1719" s="6">
        <f>表1[[#This Row],[销售金额]]-表1[[#This Row],[退款金额]]</f>
        <v>495.14989253751992</v>
      </c>
      <c r="K1719" s="1">
        <v>595</v>
      </c>
      <c r="L1719" s="1">
        <v>525</v>
      </c>
    </row>
    <row r="1720" spans="1:12" x14ac:dyDescent="0.3">
      <c r="A1720" s="2">
        <v>45926</v>
      </c>
      <c r="B1720" s="1" t="s">
        <v>250</v>
      </c>
      <c r="C1720" s="1" t="s">
        <v>32</v>
      </c>
      <c r="D1720" s="1" t="s">
        <v>171</v>
      </c>
      <c r="E1720" s="1" t="s">
        <v>60</v>
      </c>
      <c r="F1720" s="1" t="s">
        <v>61</v>
      </c>
      <c r="G1720" s="4">
        <v>15</v>
      </c>
      <c r="H1720" s="4">
        <v>37145</v>
      </c>
      <c r="I1720" s="6">
        <v>34806.85010746248</v>
      </c>
      <c r="J1720" s="6">
        <f>表1[[#This Row],[销售金额]]-表1[[#This Row],[退款金额]]</f>
        <v>2338.1498925375199</v>
      </c>
      <c r="K1720" s="1">
        <v>595</v>
      </c>
      <c r="L1720" s="1">
        <v>525</v>
      </c>
    </row>
    <row r="1721" spans="1:12" x14ac:dyDescent="0.3">
      <c r="A1721" s="2">
        <v>45926</v>
      </c>
      <c r="B1721" s="1" t="s">
        <v>250</v>
      </c>
      <c r="C1721" s="1" t="s">
        <v>32</v>
      </c>
      <c r="D1721" s="1" t="s">
        <v>171</v>
      </c>
      <c r="E1721" s="1" t="s">
        <v>60</v>
      </c>
      <c r="F1721" s="1" t="s">
        <v>61</v>
      </c>
      <c r="G1721" s="4">
        <v>15</v>
      </c>
      <c r="H1721" s="4">
        <v>36724</v>
      </c>
      <c r="I1721" s="6">
        <v>34806.85010746248</v>
      </c>
      <c r="J1721" s="6">
        <f>表1[[#This Row],[销售金额]]-表1[[#This Row],[退款金额]]</f>
        <v>1917.1498925375199</v>
      </c>
      <c r="K1721" s="1">
        <v>595</v>
      </c>
      <c r="L1721" s="1">
        <v>525</v>
      </c>
    </row>
    <row r="1722" spans="1:12" x14ac:dyDescent="0.3">
      <c r="A1722" s="2">
        <v>45926</v>
      </c>
      <c r="B1722" s="1" t="s">
        <v>250</v>
      </c>
      <c r="C1722" s="1" t="s">
        <v>32</v>
      </c>
      <c r="D1722" s="1" t="s">
        <v>171</v>
      </c>
      <c r="E1722" s="1" t="s">
        <v>60</v>
      </c>
      <c r="F1722" s="1" t="s">
        <v>61</v>
      </c>
      <c r="G1722" s="4">
        <v>15</v>
      </c>
      <c r="H1722" s="4">
        <v>35969</v>
      </c>
      <c r="I1722" s="6">
        <v>34806.85010746248</v>
      </c>
      <c r="J1722" s="6">
        <f>表1[[#This Row],[销售金额]]-表1[[#This Row],[退款金额]]</f>
        <v>1162.1498925375199</v>
      </c>
      <c r="K1722" s="1">
        <v>595</v>
      </c>
      <c r="L1722" s="1">
        <v>525</v>
      </c>
    </row>
    <row r="1723" spans="1:12" x14ac:dyDescent="0.3">
      <c r="A1723" s="2">
        <v>45926</v>
      </c>
      <c r="B1723" s="1" t="s">
        <v>248</v>
      </c>
      <c r="C1723" s="1" t="s">
        <v>19</v>
      </c>
      <c r="D1723" s="1" t="s">
        <v>159</v>
      </c>
      <c r="E1723" s="1" t="s">
        <v>21</v>
      </c>
      <c r="F1723" s="1" t="s">
        <v>22</v>
      </c>
      <c r="G1723" s="4">
        <v>18</v>
      </c>
      <c r="H1723" s="4">
        <v>4331</v>
      </c>
      <c r="I1723" s="6">
        <v>2066.5920164835957</v>
      </c>
      <c r="J1723" s="6">
        <f>表1[[#This Row],[销售金额]]-表1[[#This Row],[退款金额]]</f>
        <v>2264.4079835164043</v>
      </c>
      <c r="K1723" s="1">
        <v>561</v>
      </c>
      <c r="L1723" s="1">
        <v>862</v>
      </c>
    </row>
    <row r="1724" spans="1:12" x14ac:dyDescent="0.3">
      <c r="A1724" s="2">
        <v>45926</v>
      </c>
      <c r="B1724" s="1" t="s">
        <v>248</v>
      </c>
      <c r="C1724" s="1" t="s">
        <v>19</v>
      </c>
      <c r="D1724" s="1" t="s">
        <v>159</v>
      </c>
      <c r="E1724" s="1" t="s">
        <v>21</v>
      </c>
      <c r="F1724" s="1" t="s">
        <v>22</v>
      </c>
      <c r="G1724" s="4">
        <v>18</v>
      </c>
      <c r="H1724" s="4">
        <v>3804</v>
      </c>
      <c r="I1724" s="6">
        <v>2066.5920164835957</v>
      </c>
      <c r="J1724" s="6">
        <f>表1[[#This Row],[销售金额]]-表1[[#This Row],[退款金额]]</f>
        <v>1737.4079835164043</v>
      </c>
      <c r="K1724" s="1">
        <v>561</v>
      </c>
      <c r="L1724" s="1">
        <v>862</v>
      </c>
    </row>
    <row r="1725" spans="1:12" x14ac:dyDescent="0.3">
      <c r="A1725" s="2">
        <v>45926</v>
      </c>
      <c r="B1725" s="1" t="s">
        <v>248</v>
      </c>
      <c r="C1725" s="1" t="s">
        <v>19</v>
      </c>
      <c r="D1725" s="1" t="s">
        <v>159</v>
      </c>
      <c r="E1725" s="1" t="s">
        <v>21</v>
      </c>
      <c r="F1725" s="1" t="s">
        <v>22</v>
      </c>
      <c r="G1725" s="4">
        <v>18</v>
      </c>
      <c r="H1725" s="4">
        <v>2617</v>
      </c>
      <c r="I1725" s="6">
        <v>2066.5920164835957</v>
      </c>
      <c r="J1725" s="6">
        <f>表1[[#This Row],[销售金额]]-表1[[#This Row],[退款金额]]</f>
        <v>550.40798351640433</v>
      </c>
      <c r="K1725" s="1">
        <v>561</v>
      </c>
      <c r="L1725" s="1">
        <v>862</v>
      </c>
    </row>
    <row r="1726" spans="1:12" x14ac:dyDescent="0.3">
      <c r="A1726" s="2">
        <v>45926</v>
      </c>
      <c r="B1726" s="1" t="s">
        <v>248</v>
      </c>
      <c r="C1726" s="1" t="s">
        <v>19</v>
      </c>
      <c r="D1726" s="1" t="s">
        <v>159</v>
      </c>
      <c r="E1726" s="1" t="s">
        <v>21</v>
      </c>
      <c r="F1726" s="1" t="s">
        <v>22</v>
      </c>
      <c r="G1726" s="4">
        <v>18</v>
      </c>
      <c r="H1726" s="4">
        <v>6102</v>
      </c>
      <c r="I1726" s="6">
        <v>2066.5920164835957</v>
      </c>
      <c r="J1726" s="6">
        <f>表1[[#This Row],[销售金额]]-表1[[#This Row],[退款金额]]</f>
        <v>4035.4079835164043</v>
      </c>
      <c r="K1726" s="1">
        <v>561</v>
      </c>
      <c r="L1726" s="1">
        <v>862</v>
      </c>
    </row>
    <row r="1727" spans="1:12" x14ac:dyDescent="0.3">
      <c r="A1727" s="2">
        <v>45926</v>
      </c>
      <c r="B1727" s="1" t="s">
        <v>248</v>
      </c>
      <c r="C1727" s="1" t="s">
        <v>19</v>
      </c>
      <c r="D1727" s="1" t="s">
        <v>159</v>
      </c>
      <c r="E1727" s="1" t="s">
        <v>21</v>
      </c>
      <c r="F1727" s="1" t="s">
        <v>22</v>
      </c>
      <c r="G1727" s="4">
        <v>18</v>
      </c>
      <c r="H1727" s="4">
        <v>7023</v>
      </c>
      <c r="I1727" s="6">
        <v>2066.5920164835957</v>
      </c>
      <c r="J1727" s="6">
        <f>表1[[#This Row],[销售金额]]-表1[[#This Row],[退款金额]]</f>
        <v>4956.4079835164048</v>
      </c>
      <c r="K1727" s="1">
        <v>561</v>
      </c>
      <c r="L1727" s="1">
        <v>862</v>
      </c>
    </row>
    <row r="1728" spans="1:12" x14ac:dyDescent="0.3">
      <c r="A1728" s="2">
        <v>45926</v>
      </c>
      <c r="B1728" s="1" t="s">
        <v>248</v>
      </c>
      <c r="C1728" s="1" t="s">
        <v>19</v>
      </c>
      <c r="D1728" s="1" t="s">
        <v>159</v>
      </c>
      <c r="E1728" s="1" t="s">
        <v>21</v>
      </c>
      <c r="F1728" s="1" t="s">
        <v>22</v>
      </c>
      <c r="G1728" s="4">
        <v>18</v>
      </c>
      <c r="H1728" s="4">
        <v>3849</v>
      </c>
      <c r="I1728" s="6">
        <v>2066.5920164835957</v>
      </c>
      <c r="J1728" s="6">
        <f>表1[[#This Row],[销售金额]]-表1[[#This Row],[退款金额]]</f>
        <v>1782.4079835164043</v>
      </c>
      <c r="K1728" s="1">
        <v>561</v>
      </c>
      <c r="L1728" s="1">
        <v>862</v>
      </c>
    </row>
    <row r="1729" spans="1:12" x14ac:dyDescent="0.3">
      <c r="A1729" s="2">
        <v>45926</v>
      </c>
      <c r="B1729" s="1" t="s">
        <v>248</v>
      </c>
      <c r="C1729" s="1" t="s">
        <v>19</v>
      </c>
      <c r="D1729" s="1" t="s">
        <v>159</v>
      </c>
      <c r="E1729" s="1" t="s">
        <v>21</v>
      </c>
      <c r="F1729" s="1" t="s">
        <v>22</v>
      </c>
      <c r="G1729" s="4">
        <v>18</v>
      </c>
      <c r="H1729" s="4">
        <v>4038</v>
      </c>
      <c r="I1729" s="6">
        <v>2066.5920164835957</v>
      </c>
      <c r="J1729" s="6">
        <f>表1[[#This Row],[销售金额]]-表1[[#This Row],[退款金额]]</f>
        <v>1971.4079835164043</v>
      </c>
      <c r="K1729" s="1">
        <v>561</v>
      </c>
      <c r="L1729" s="1">
        <v>862</v>
      </c>
    </row>
    <row r="1730" spans="1:12" x14ac:dyDescent="0.3">
      <c r="A1730" s="2">
        <v>45926</v>
      </c>
      <c r="B1730" s="1" t="s">
        <v>248</v>
      </c>
      <c r="C1730" s="1" t="s">
        <v>19</v>
      </c>
      <c r="D1730" s="1" t="s">
        <v>159</v>
      </c>
      <c r="E1730" s="1" t="s">
        <v>21</v>
      </c>
      <c r="F1730" s="1" t="s">
        <v>22</v>
      </c>
      <c r="G1730" s="4">
        <v>18</v>
      </c>
      <c r="H1730" s="4">
        <v>6894</v>
      </c>
      <c r="I1730" s="6">
        <v>2066.5920164835957</v>
      </c>
      <c r="J1730" s="6">
        <f>表1[[#This Row],[销售金额]]-表1[[#This Row],[退款金额]]</f>
        <v>4827.4079835164048</v>
      </c>
      <c r="K1730" s="1">
        <v>561</v>
      </c>
      <c r="L1730" s="1">
        <v>862</v>
      </c>
    </row>
    <row r="1731" spans="1:12" x14ac:dyDescent="0.3">
      <c r="A1731" s="2">
        <v>45926</v>
      </c>
      <c r="B1731" s="1" t="s">
        <v>248</v>
      </c>
      <c r="C1731" s="1" t="s">
        <v>19</v>
      </c>
      <c r="D1731" s="1" t="s">
        <v>159</v>
      </c>
      <c r="E1731" s="1" t="s">
        <v>21</v>
      </c>
      <c r="F1731" s="1" t="s">
        <v>22</v>
      </c>
      <c r="G1731" s="4">
        <v>18</v>
      </c>
      <c r="H1731" s="4">
        <v>3361</v>
      </c>
      <c r="I1731" s="6">
        <v>2066.5920164835957</v>
      </c>
      <c r="J1731" s="6">
        <f>表1[[#This Row],[销售金额]]-表1[[#This Row],[退款金额]]</f>
        <v>1294.4079835164043</v>
      </c>
      <c r="K1731" s="1">
        <v>561</v>
      </c>
      <c r="L1731" s="1">
        <v>862</v>
      </c>
    </row>
    <row r="1732" spans="1:12" x14ac:dyDescent="0.3">
      <c r="A1732" s="2">
        <v>45926</v>
      </c>
      <c r="B1732" s="1" t="s">
        <v>247</v>
      </c>
      <c r="C1732" s="1" t="s">
        <v>32</v>
      </c>
      <c r="D1732" s="1" t="s">
        <v>122</v>
      </c>
      <c r="E1732" s="1" t="s">
        <v>38</v>
      </c>
      <c r="F1732" s="1" t="s">
        <v>39</v>
      </c>
      <c r="G1732" s="4">
        <v>20</v>
      </c>
      <c r="H1732" s="4">
        <v>11292</v>
      </c>
      <c r="I1732" s="6">
        <v>6500.5085391878765</v>
      </c>
      <c r="J1732" s="6">
        <f>表1[[#This Row],[销售金额]]-表1[[#This Row],[退款金额]]</f>
        <v>4791.4914608121235</v>
      </c>
      <c r="K1732" s="1">
        <v>419</v>
      </c>
      <c r="L1732" s="1">
        <v>112</v>
      </c>
    </row>
    <row r="1733" spans="1:12" x14ac:dyDescent="0.3">
      <c r="A1733" s="2">
        <v>45926</v>
      </c>
      <c r="B1733" s="1" t="s">
        <v>247</v>
      </c>
      <c r="C1733" s="1" t="s">
        <v>32</v>
      </c>
      <c r="D1733" s="1" t="s">
        <v>122</v>
      </c>
      <c r="E1733" s="1" t="s">
        <v>38</v>
      </c>
      <c r="F1733" s="1" t="s">
        <v>39</v>
      </c>
      <c r="G1733" s="4">
        <v>20</v>
      </c>
      <c r="H1733" s="4">
        <v>7215</v>
      </c>
      <c r="I1733" s="6">
        <v>6500.5085391878765</v>
      </c>
      <c r="J1733" s="6">
        <f>表1[[#This Row],[销售金额]]-表1[[#This Row],[退款金额]]</f>
        <v>714.49146081212348</v>
      </c>
      <c r="K1733" s="1">
        <v>419</v>
      </c>
      <c r="L1733" s="1">
        <v>112</v>
      </c>
    </row>
    <row r="1734" spans="1:12" x14ac:dyDescent="0.3">
      <c r="A1734" s="2">
        <v>45926</v>
      </c>
      <c r="B1734" s="1" t="s">
        <v>247</v>
      </c>
      <c r="C1734" s="1" t="s">
        <v>32</v>
      </c>
      <c r="D1734" s="1" t="s">
        <v>122</v>
      </c>
      <c r="E1734" s="1" t="s">
        <v>38</v>
      </c>
      <c r="F1734" s="1" t="s">
        <v>39</v>
      </c>
      <c r="G1734" s="4">
        <v>20</v>
      </c>
      <c r="H1734" s="4">
        <v>7610</v>
      </c>
      <c r="I1734" s="6">
        <v>6500.5085391878765</v>
      </c>
      <c r="J1734" s="6">
        <f>表1[[#This Row],[销售金额]]-表1[[#This Row],[退款金额]]</f>
        <v>1109.4914608121235</v>
      </c>
      <c r="K1734" s="1">
        <v>419</v>
      </c>
      <c r="L1734" s="1">
        <v>112</v>
      </c>
    </row>
    <row r="1735" spans="1:12" x14ac:dyDescent="0.3">
      <c r="A1735" s="2">
        <v>45926</v>
      </c>
      <c r="B1735" s="1" t="s">
        <v>247</v>
      </c>
      <c r="C1735" s="1" t="s">
        <v>32</v>
      </c>
      <c r="D1735" s="1" t="s">
        <v>122</v>
      </c>
      <c r="E1735" s="1" t="s">
        <v>38</v>
      </c>
      <c r="F1735" s="1" t="s">
        <v>39</v>
      </c>
      <c r="G1735" s="4">
        <v>20</v>
      </c>
      <c r="H1735" s="4">
        <v>11021</v>
      </c>
      <c r="I1735" s="6">
        <v>6500.5085391878765</v>
      </c>
      <c r="J1735" s="6">
        <f>表1[[#This Row],[销售金额]]-表1[[#This Row],[退款金额]]</f>
        <v>4520.4914608121235</v>
      </c>
      <c r="K1735" s="1">
        <v>419</v>
      </c>
      <c r="L1735" s="1">
        <v>112</v>
      </c>
    </row>
    <row r="1736" spans="1:12" x14ac:dyDescent="0.3">
      <c r="A1736" s="2">
        <v>45926</v>
      </c>
      <c r="B1736" s="1" t="s">
        <v>247</v>
      </c>
      <c r="C1736" s="1" t="s">
        <v>32</v>
      </c>
      <c r="D1736" s="1" t="s">
        <v>122</v>
      </c>
      <c r="E1736" s="1" t="s">
        <v>38</v>
      </c>
      <c r="F1736" s="1" t="s">
        <v>39</v>
      </c>
      <c r="G1736" s="4">
        <v>20</v>
      </c>
      <c r="H1736" s="4">
        <v>11115</v>
      </c>
      <c r="I1736" s="6">
        <v>6500.5085391878765</v>
      </c>
      <c r="J1736" s="6">
        <f>表1[[#This Row],[销售金额]]-表1[[#This Row],[退款金额]]</f>
        <v>4614.4914608121235</v>
      </c>
      <c r="K1736" s="1">
        <v>419</v>
      </c>
      <c r="L1736" s="1">
        <v>112</v>
      </c>
    </row>
    <row r="1737" spans="1:12" x14ac:dyDescent="0.3">
      <c r="A1737" s="2">
        <v>45926</v>
      </c>
      <c r="B1737" s="1" t="s">
        <v>247</v>
      </c>
      <c r="C1737" s="1" t="s">
        <v>32</v>
      </c>
      <c r="D1737" s="1" t="s">
        <v>122</v>
      </c>
      <c r="E1737" s="1" t="s">
        <v>38</v>
      </c>
      <c r="F1737" s="1" t="s">
        <v>39</v>
      </c>
      <c r="G1737" s="4">
        <v>20</v>
      </c>
      <c r="H1737" s="4">
        <v>8510</v>
      </c>
      <c r="I1737" s="6">
        <v>6500.5085391878765</v>
      </c>
      <c r="J1737" s="6">
        <f>表1[[#This Row],[销售金额]]-表1[[#This Row],[退款金额]]</f>
        <v>2009.4914608121235</v>
      </c>
      <c r="K1737" s="1">
        <v>419</v>
      </c>
      <c r="L1737" s="1">
        <v>112</v>
      </c>
    </row>
    <row r="1738" spans="1:12" x14ac:dyDescent="0.3">
      <c r="A1738" s="2">
        <v>45926</v>
      </c>
      <c r="B1738" s="1" t="s">
        <v>247</v>
      </c>
      <c r="C1738" s="1" t="s">
        <v>32</v>
      </c>
      <c r="D1738" s="1" t="s">
        <v>122</v>
      </c>
      <c r="E1738" s="1" t="s">
        <v>38</v>
      </c>
      <c r="F1738" s="1" t="s">
        <v>39</v>
      </c>
      <c r="G1738" s="4">
        <v>20</v>
      </c>
      <c r="H1738" s="4">
        <v>7943</v>
      </c>
      <c r="I1738" s="6">
        <v>6500.5085391878765</v>
      </c>
      <c r="J1738" s="6">
        <f>表1[[#This Row],[销售金额]]-表1[[#This Row],[退款金额]]</f>
        <v>1442.4914608121235</v>
      </c>
      <c r="K1738" s="1">
        <v>419</v>
      </c>
      <c r="L1738" s="1">
        <v>112</v>
      </c>
    </row>
    <row r="1739" spans="1:12" x14ac:dyDescent="0.3">
      <c r="A1739" s="2">
        <v>45926</v>
      </c>
      <c r="B1739" s="1" t="s">
        <v>247</v>
      </c>
      <c r="C1739" s="1" t="s">
        <v>32</v>
      </c>
      <c r="D1739" s="1" t="s">
        <v>122</v>
      </c>
      <c r="E1739" s="1" t="s">
        <v>38</v>
      </c>
      <c r="F1739" s="1" t="s">
        <v>39</v>
      </c>
      <c r="G1739" s="4">
        <v>20</v>
      </c>
      <c r="H1739" s="4">
        <v>10243</v>
      </c>
      <c r="I1739" s="6">
        <v>6500.5085391878765</v>
      </c>
      <c r="J1739" s="6">
        <f>表1[[#This Row],[销售金额]]-表1[[#This Row],[退款金额]]</f>
        <v>3742.4914608121235</v>
      </c>
      <c r="K1739" s="1">
        <v>419</v>
      </c>
      <c r="L1739" s="1">
        <v>112</v>
      </c>
    </row>
    <row r="1740" spans="1:12" x14ac:dyDescent="0.3">
      <c r="A1740" s="2">
        <v>45926</v>
      </c>
      <c r="B1740" s="1" t="s">
        <v>247</v>
      </c>
      <c r="C1740" s="1" t="s">
        <v>32</v>
      </c>
      <c r="D1740" s="1" t="s">
        <v>122</v>
      </c>
      <c r="E1740" s="1" t="s">
        <v>38</v>
      </c>
      <c r="F1740" s="1" t="s">
        <v>39</v>
      </c>
      <c r="G1740" s="4">
        <v>20</v>
      </c>
      <c r="H1740" s="4">
        <v>11330</v>
      </c>
      <c r="I1740" s="6">
        <v>6500.5085391878765</v>
      </c>
      <c r="J1740" s="6">
        <f>表1[[#This Row],[销售金额]]-表1[[#This Row],[退款金额]]</f>
        <v>4829.4914608121235</v>
      </c>
      <c r="K1740" s="1">
        <v>419</v>
      </c>
      <c r="L1740" s="1">
        <v>112</v>
      </c>
    </row>
    <row r="1741" spans="1:12" x14ac:dyDescent="0.3">
      <c r="A1741" s="2">
        <v>45927</v>
      </c>
      <c r="B1741" s="1" t="s">
        <v>247</v>
      </c>
      <c r="C1741" s="1" t="s">
        <v>10</v>
      </c>
      <c r="D1741" s="1" t="s">
        <v>63</v>
      </c>
      <c r="E1741" s="1" t="s">
        <v>8</v>
      </c>
      <c r="F1741" s="1" t="s">
        <v>9</v>
      </c>
      <c r="G1741" s="4">
        <v>4</v>
      </c>
      <c r="H1741" s="4">
        <v>14013</v>
      </c>
      <c r="I1741" s="6">
        <v>12635.22563905129</v>
      </c>
      <c r="J1741" s="6">
        <f>表1[[#This Row],[销售金额]]-表1[[#This Row],[退款金额]]</f>
        <v>1377.7743609487097</v>
      </c>
      <c r="K1741" s="1">
        <v>350</v>
      </c>
      <c r="L1741" s="1">
        <v>959</v>
      </c>
    </row>
    <row r="1742" spans="1:12" x14ac:dyDescent="0.3">
      <c r="A1742" s="2">
        <v>45927</v>
      </c>
      <c r="B1742" s="1" t="s">
        <v>247</v>
      </c>
      <c r="C1742" s="1" t="s">
        <v>10</v>
      </c>
      <c r="D1742" s="1" t="s">
        <v>63</v>
      </c>
      <c r="E1742" s="1" t="s">
        <v>8</v>
      </c>
      <c r="F1742" s="1" t="s">
        <v>9</v>
      </c>
      <c r="G1742" s="4">
        <v>4</v>
      </c>
      <c r="H1742" s="4">
        <v>15675</v>
      </c>
      <c r="I1742" s="6">
        <v>12635.22563905129</v>
      </c>
      <c r="J1742" s="6">
        <f>表1[[#This Row],[销售金额]]-表1[[#This Row],[退款金额]]</f>
        <v>3039.7743609487097</v>
      </c>
      <c r="K1742" s="1">
        <v>350</v>
      </c>
      <c r="L1742" s="1">
        <v>959</v>
      </c>
    </row>
    <row r="1743" spans="1:12" x14ac:dyDescent="0.3">
      <c r="A1743" s="2">
        <v>45927</v>
      </c>
      <c r="B1743" s="1" t="s">
        <v>247</v>
      </c>
      <c r="C1743" s="1" t="s">
        <v>10</v>
      </c>
      <c r="D1743" s="1" t="s">
        <v>63</v>
      </c>
      <c r="E1743" s="1" t="s">
        <v>8</v>
      </c>
      <c r="F1743" s="1" t="s">
        <v>9</v>
      </c>
      <c r="G1743" s="4">
        <v>4</v>
      </c>
      <c r="H1743" s="4">
        <v>16720</v>
      </c>
      <c r="I1743" s="6">
        <v>12635.22563905129</v>
      </c>
      <c r="J1743" s="6">
        <f>表1[[#This Row],[销售金额]]-表1[[#This Row],[退款金额]]</f>
        <v>4084.7743609487097</v>
      </c>
      <c r="K1743" s="1">
        <v>350</v>
      </c>
      <c r="L1743" s="1">
        <v>959</v>
      </c>
    </row>
    <row r="1744" spans="1:12" x14ac:dyDescent="0.3">
      <c r="A1744" s="2">
        <v>45927</v>
      </c>
      <c r="B1744" s="1" t="s">
        <v>247</v>
      </c>
      <c r="C1744" s="1" t="s">
        <v>10</v>
      </c>
      <c r="D1744" s="1" t="s">
        <v>63</v>
      </c>
      <c r="E1744" s="1" t="s">
        <v>8</v>
      </c>
      <c r="F1744" s="1" t="s">
        <v>9</v>
      </c>
      <c r="G1744" s="4">
        <v>4</v>
      </c>
      <c r="H1744" s="4">
        <v>14401</v>
      </c>
      <c r="I1744" s="6">
        <v>12635.22563905129</v>
      </c>
      <c r="J1744" s="6">
        <f>表1[[#This Row],[销售金额]]-表1[[#This Row],[退款金额]]</f>
        <v>1765.7743609487097</v>
      </c>
      <c r="K1744" s="1">
        <v>350</v>
      </c>
      <c r="L1744" s="1">
        <v>959</v>
      </c>
    </row>
    <row r="1745" spans="1:12" x14ac:dyDescent="0.3">
      <c r="A1745" s="2">
        <v>45927</v>
      </c>
      <c r="B1745" s="1" t="s">
        <v>247</v>
      </c>
      <c r="C1745" s="1" t="s">
        <v>10</v>
      </c>
      <c r="D1745" s="1" t="s">
        <v>63</v>
      </c>
      <c r="E1745" s="1" t="s">
        <v>8</v>
      </c>
      <c r="F1745" s="1" t="s">
        <v>9</v>
      </c>
      <c r="G1745" s="4">
        <v>4</v>
      </c>
      <c r="H1745" s="4">
        <v>13685</v>
      </c>
      <c r="I1745" s="6">
        <v>12635.22563905129</v>
      </c>
      <c r="J1745" s="6">
        <f>表1[[#This Row],[销售金额]]-表1[[#This Row],[退款金额]]</f>
        <v>1049.7743609487097</v>
      </c>
      <c r="K1745" s="1">
        <v>350</v>
      </c>
      <c r="L1745" s="1">
        <v>959</v>
      </c>
    </row>
    <row r="1746" spans="1:12" x14ac:dyDescent="0.3">
      <c r="A1746" s="2">
        <v>45927</v>
      </c>
      <c r="B1746" s="1" t="s">
        <v>247</v>
      </c>
      <c r="C1746" s="1" t="s">
        <v>10</v>
      </c>
      <c r="D1746" s="1" t="s">
        <v>63</v>
      </c>
      <c r="E1746" s="1" t="s">
        <v>8</v>
      </c>
      <c r="F1746" s="1" t="s">
        <v>9</v>
      </c>
      <c r="G1746" s="4">
        <v>4</v>
      </c>
      <c r="H1746" s="4">
        <v>14741</v>
      </c>
      <c r="I1746" s="6">
        <v>12635.22563905129</v>
      </c>
      <c r="J1746" s="6">
        <f>表1[[#This Row],[销售金额]]-表1[[#This Row],[退款金额]]</f>
        <v>2105.7743609487097</v>
      </c>
      <c r="K1746" s="1">
        <v>350</v>
      </c>
      <c r="L1746" s="1">
        <v>959</v>
      </c>
    </row>
    <row r="1747" spans="1:12" x14ac:dyDescent="0.3">
      <c r="A1747" s="2">
        <v>45927</v>
      </c>
      <c r="B1747" s="1" t="s">
        <v>247</v>
      </c>
      <c r="C1747" s="1" t="s">
        <v>10</v>
      </c>
      <c r="D1747" s="1" t="s">
        <v>63</v>
      </c>
      <c r="E1747" s="1" t="s">
        <v>8</v>
      </c>
      <c r="F1747" s="1" t="s">
        <v>9</v>
      </c>
      <c r="G1747" s="4">
        <v>4</v>
      </c>
      <c r="H1747" s="4">
        <v>16731</v>
      </c>
      <c r="I1747" s="6">
        <v>12635.22563905129</v>
      </c>
      <c r="J1747" s="6">
        <f>表1[[#This Row],[销售金额]]-表1[[#This Row],[退款金额]]</f>
        <v>4095.7743609487097</v>
      </c>
      <c r="K1747" s="1">
        <v>350</v>
      </c>
      <c r="L1747" s="1">
        <v>959</v>
      </c>
    </row>
    <row r="1748" spans="1:12" x14ac:dyDescent="0.3">
      <c r="A1748" s="2">
        <v>45927</v>
      </c>
      <c r="B1748" s="1" t="s">
        <v>247</v>
      </c>
      <c r="C1748" s="1" t="s">
        <v>10</v>
      </c>
      <c r="D1748" s="1" t="s">
        <v>63</v>
      </c>
      <c r="E1748" s="1" t="s">
        <v>8</v>
      </c>
      <c r="F1748" s="1" t="s">
        <v>9</v>
      </c>
      <c r="G1748" s="4">
        <v>4</v>
      </c>
      <c r="H1748" s="4">
        <v>16611</v>
      </c>
      <c r="I1748" s="6">
        <v>12635.22563905129</v>
      </c>
      <c r="J1748" s="6">
        <f>表1[[#This Row],[销售金额]]-表1[[#This Row],[退款金额]]</f>
        <v>3975.7743609487097</v>
      </c>
      <c r="K1748" s="1">
        <v>350</v>
      </c>
      <c r="L1748" s="1">
        <v>959</v>
      </c>
    </row>
    <row r="1749" spans="1:12" x14ac:dyDescent="0.3">
      <c r="A1749" s="2">
        <v>45927</v>
      </c>
      <c r="B1749" s="1" t="s">
        <v>25</v>
      </c>
      <c r="C1749" s="1" t="s">
        <v>10</v>
      </c>
      <c r="D1749" s="1" t="s">
        <v>226</v>
      </c>
      <c r="E1749" s="1" t="s">
        <v>8</v>
      </c>
      <c r="F1749" s="1" t="s">
        <v>9</v>
      </c>
      <c r="G1749" s="4">
        <v>8</v>
      </c>
      <c r="H1749" s="4">
        <v>29222</v>
      </c>
      <c r="I1749" s="6">
        <v>25675.602300749892</v>
      </c>
      <c r="J1749" s="6">
        <f>表1[[#This Row],[销售金额]]-表1[[#This Row],[退款金额]]</f>
        <v>3546.3976992501084</v>
      </c>
      <c r="K1749" s="1">
        <v>68</v>
      </c>
      <c r="L1749" s="1">
        <v>563</v>
      </c>
    </row>
    <row r="1750" spans="1:12" x14ac:dyDescent="0.3">
      <c r="A1750" s="2">
        <v>45927</v>
      </c>
      <c r="B1750" s="1" t="s">
        <v>25</v>
      </c>
      <c r="C1750" s="1" t="s">
        <v>10</v>
      </c>
      <c r="D1750" s="1" t="s">
        <v>226</v>
      </c>
      <c r="E1750" s="1" t="s">
        <v>8</v>
      </c>
      <c r="F1750" s="1" t="s">
        <v>9</v>
      </c>
      <c r="G1750" s="4">
        <v>8</v>
      </c>
      <c r="H1750" s="4">
        <v>29823</v>
      </c>
      <c r="I1750" s="6">
        <v>25675.602300749892</v>
      </c>
      <c r="J1750" s="6">
        <f>表1[[#This Row],[销售金额]]-表1[[#This Row],[退款金额]]</f>
        <v>4147.3976992501084</v>
      </c>
      <c r="K1750" s="1">
        <v>68</v>
      </c>
      <c r="L1750" s="1">
        <v>563</v>
      </c>
    </row>
    <row r="1751" spans="1:12" x14ac:dyDescent="0.3">
      <c r="A1751" s="2">
        <v>45927</v>
      </c>
      <c r="B1751" s="1" t="s">
        <v>25</v>
      </c>
      <c r="C1751" s="1" t="s">
        <v>10</v>
      </c>
      <c r="D1751" s="1" t="s">
        <v>226</v>
      </c>
      <c r="E1751" s="1" t="s">
        <v>8</v>
      </c>
      <c r="F1751" s="1" t="s">
        <v>9</v>
      </c>
      <c r="G1751" s="4">
        <v>8</v>
      </c>
      <c r="H1751" s="4">
        <v>30360</v>
      </c>
      <c r="I1751" s="6">
        <v>25675.602300749892</v>
      </c>
      <c r="J1751" s="6">
        <f>表1[[#This Row],[销售金额]]-表1[[#This Row],[退款金额]]</f>
        <v>4684.3976992501084</v>
      </c>
      <c r="K1751" s="1">
        <v>68</v>
      </c>
      <c r="L1751" s="1">
        <v>563</v>
      </c>
    </row>
    <row r="1752" spans="1:12" x14ac:dyDescent="0.3">
      <c r="A1752" s="2">
        <v>45927</v>
      </c>
      <c r="B1752" s="1" t="s">
        <v>25</v>
      </c>
      <c r="C1752" s="1" t="s">
        <v>10</v>
      </c>
      <c r="D1752" s="1" t="s">
        <v>226</v>
      </c>
      <c r="E1752" s="1" t="s">
        <v>8</v>
      </c>
      <c r="F1752" s="1" t="s">
        <v>9</v>
      </c>
      <c r="G1752" s="4">
        <v>8</v>
      </c>
      <c r="H1752" s="4">
        <v>29898</v>
      </c>
      <c r="I1752" s="6">
        <v>25675.602300749892</v>
      </c>
      <c r="J1752" s="6">
        <f>表1[[#This Row],[销售金额]]-表1[[#This Row],[退款金额]]</f>
        <v>4222.3976992501084</v>
      </c>
      <c r="K1752" s="1">
        <v>68</v>
      </c>
      <c r="L1752" s="1">
        <v>563</v>
      </c>
    </row>
    <row r="1753" spans="1:12" x14ac:dyDescent="0.3">
      <c r="A1753" s="2">
        <v>45927</v>
      </c>
      <c r="B1753" s="1" t="s">
        <v>25</v>
      </c>
      <c r="C1753" s="1" t="s">
        <v>10</v>
      </c>
      <c r="D1753" s="1" t="s">
        <v>226</v>
      </c>
      <c r="E1753" s="1" t="s">
        <v>8</v>
      </c>
      <c r="F1753" s="1" t="s">
        <v>9</v>
      </c>
      <c r="G1753" s="4">
        <v>8</v>
      </c>
      <c r="H1753" s="4">
        <v>28197</v>
      </c>
      <c r="I1753" s="6">
        <v>25675.602300749892</v>
      </c>
      <c r="J1753" s="6">
        <f>表1[[#This Row],[销售金额]]-表1[[#This Row],[退款金额]]</f>
        <v>2521.3976992501084</v>
      </c>
      <c r="K1753" s="1">
        <v>68</v>
      </c>
      <c r="L1753" s="1">
        <v>563</v>
      </c>
    </row>
    <row r="1754" spans="1:12" x14ac:dyDescent="0.3">
      <c r="A1754" s="2">
        <v>45927</v>
      </c>
      <c r="B1754" s="1" t="s">
        <v>25</v>
      </c>
      <c r="C1754" s="1" t="s">
        <v>10</v>
      </c>
      <c r="D1754" s="1" t="s">
        <v>226</v>
      </c>
      <c r="E1754" s="1" t="s">
        <v>8</v>
      </c>
      <c r="F1754" s="1" t="s">
        <v>9</v>
      </c>
      <c r="G1754" s="4">
        <v>8</v>
      </c>
      <c r="H1754" s="4">
        <v>25788</v>
      </c>
      <c r="I1754" s="6">
        <v>25675.602300749892</v>
      </c>
      <c r="J1754" s="6">
        <f>表1[[#This Row],[销售金额]]-表1[[#This Row],[退款金额]]</f>
        <v>112.39769925010842</v>
      </c>
      <c r="K1754" s="1">
        <v>68</v>
      </c>
      <c r="L1754" s="1">
        <v>563</v>
      </c>
    </row>
    <row r="1755" spans="1:12" x14ac:dyDescent="0.3">
      <c r="A1755" s="2">
        <v>45927</v>
      </c>
      <c r="B1755" s="1" t="s">
        <v>25</v>
      </c>
      <c r="C1755" s="1" t="s">
        <v>10</v>
      </c>
      <c r="D1755" s="1" t="s">
        <v>226</v>
      </c>
      <c r="E1755" s="1" t="s">
        <v>8</v>
      </c>
      <c r="F1755" s="1" t="s">
        <v>9</v>
      </c>
      <c r="G1755" s="4">
        <v>8</v>
      </c>
      <c r="H1755" s="4">
        <v>28931</v>
      </c>
      <c r="I1755" s="6">
        <v>25675.602300749892</v>
      </c>
      <c r="J1755" s="6">
        <f>表1[[#This Row],[销售金额]]-表1[[#This Row],[退款金额]]</f>
        <v>3255.3976992501084</v>
      </c>
      <c r="K1755" s="1">
        <v>68</v>
      </c>
      <c r="L1755" s="1">
        <v>563</v>
      </c>
    </row>
    <row r="1756" spans="1:12" x14ac:dyDescent="0.3">
      <c r="A1756" s="2">
        <v>45927</v>
      </c>
      <c r="B1756" s="1" t="s">
        <v>25</v>
      </c>
      <c r="C1756" s="1" t="s">
        <v>10</v>
      </c>
      <c r="D1756" s="1" t="s">
        <v>226</v>
      </c>
      <c r="E1756" s="1" t="s">
        <v>8</v>
      </c>
      <c r="F1756" s="1" t="s">
        <v>9</v>
      </c>
      <c r="G1756" s="4">
        <v>8</v>
      </c>
      <c r="H1756" s="4">
        <v>26923</v>
      </c>
      <c r="I1756" s="6">
        <v>25675.602300749892</v>
      </c>
      <c r="J1756" s="6">
        <f>表1[[#This Row],[销售金额]]-表1[[#This Row],[退款金额]]</f>
        <v>1247.3976992501084</v>
      </c>
      <c r="K1756" s="1">
        <v>68</v>
      </c>
      <c r="L1756" s="1">
        <v>563</v>
      </c>
    </row>
    <row r="1757" spans="1:12" x14ac:dyDescent="0.3">
      <c r="A1757" s="2">
        <v>45927</v>
      </c>
      <c r="B1757" s="1" t="s">
        <v>25</v>
      </c>
      <c r="C1757" s="1" t="s">
        <v>10</v>
      </c>
      <c r="D1757" s="1" t="s">
        <v>226</v>
      </c>
      <c r="E1757" s="1" t="s">
        <v>8</v>
      </c>
      <c r="F1757" s="1" t="s">
        <v>9</v>
      </c>
      <c r="G1757" s="4">
        <v>8</v>
      </c>
      <c r="H1757" s="4">
        <v>28553</v>
      </c>
      <c r="I1757" s="6">
        <v>25675.602300749892</v>
      </c>
      <c r="J1757" s="6">
        <f>表1[[#This Row],[销售金额]]-表1[[#This Row],[退款金额]]</f>
        <v>2877.3976992501084</v>
      </c>
      <c r="K1757" s="1">
        <v>68</v>
      </c>
      <c r="L1757" s="1">
        <v>563</v>
      </c>
    </row>
    <row r="1758" spans="1:12" x14ac:dyDescent="0.3">
      <c r="A1758" s="2">
        <v>45927</v>
      </c>
      <c r="B1758" s="1" t="s">
        <v>247</v>
      </c>
      <c r="C1758" s="1" t="s">
        <v>10</v>
      </c>
      <c r="D1758" s="1" t="s">
        <v>190</v>
      </c>
      <c r="E1758" s="1" t="s">
        <v>34</v>
      </c>
      <c r="F1758" s="1" t="s">
        <v>35</v>
      </c>
      <c r="G1758" s="4">
        <v>9</v>
      </c>
      <c r="H1758" s="4">
        <v>56237</v>
      </c>
      <c r="I1758" s="6">
        <v>54406.528943171652</v>
      </c>
      <c r="J1758" s="6">
        <f>表1[[#This Row],[销售金额]]-表1[[#This Row],[退款金额]]</f>
        <v>1830.4710568283481</v>
      </c>
      <c r="K1758" s="1">
        <v>908</v>
      </c>
      <c r="L1758" s="1">
        <v>507</v>
      </c>
    </row>
    <row r="1759" spans="1:12" x14ac:dyDescent="0.3">
      <c r="A1759" s="2">
        <v>45927</v>
      </c>
      <c r="B1759" s="1" t="s">
        <v>247</v>
      </c>
      <c r="C1759" s="1" t="s">
        <v>10</v>
      </c>
      <c r="D1759" s="1" t="s">
        <v>190</v>
      </c>
      <c r="E1759" s="1" t="s">
        <v>34</v>
      </c>
      <c r="F1759" s="1" t="s">
        <v>35</v>
      </c>
      <c r="G1759" s="4">
        <v>9</v>
      </c>
      <c r="H1759" s="4">
        <v>56923</v>
      </c>
      <c r="I1759" s="6">
        <v>54406.528943171652</v>
      </c>
      <c r="J1759" s="6">
        <f>表1[[#This Row],[销售金额]]-表1[[#This Row],[退款金额]]</f>
        <v>2516.4710568283481</v>
      </c>
      <c r="K1759" s="1">
        <v>908</v>
      </c>
      <c r="L1759" s="1">
        <v>507</v>
      </c>
    </row>
    <row r="1760" spans="1:12" x14ac:dyDescent="0.3">
      <c r="A1760" s="2">
        <v>45927</v>
      </c>
      <c r="B1760" s="1" t="s">
        <v>247</v>
      </c>
      <c r="C1760" s="1" t="s">
        <v>10</v>
      </c>
      <c r="D1760" s="1" t="s">
        <v>190</v>
      </c>
      <c r="E1760" s="1" t="s">
        <v>34</v>
      </c>
      <c r="F1760" s="1" t="s">
        <v>35</v>
      </c>
      <c r="G1760" s="4">
        <v>9</v>
      </c>
      <c r="H1760" s="4">
        <v>55348</v>
      </c>
      <c r="I1760" s="6">
        <v>54406.528943171652</v>
      </c>
      <c r="J1760" s="6">
        <f>表1[[#This Row],[销售金额]]-表1[[#This Row],[退款金额]]</f>
        <v>941.47105682834808</v>
      </c>
      <c r="K1760" s="1">
        <v>908</v>
      </c>
      <c r="L1760" s="1">
        <v>507</v>
      </c>
    </row>
    <row r="1761" spans="1:12" x14ac:dyDescent="0.3">
      <c r="A1761" s="2">
        <v>45927</v>
      </c>
      <c r="B1761" s="1" t="s">
        <v>247</v>
      </c>
      <c r="C1761" s="1" t="s">
        <v>10</v>
      </c>
      <c r="D1761" s="1" t="s">
        <v>190</v>
      </c>
      <c r="E1761" s="1" t="s">
        <v>34</v>
      </c>
      <c r="F1761" s="1" t="s">
        <v>35</v>
      </c>
      <c r="G1761" s="4">
        <v>9</v>
      </c>
      <c r="H1761" s="4">
        <v>58114</v>
      </c>
      <c r="I1761" s="6">
        <v>54406.528943171652</v>
      </c>
      <c r="J1761" s="6">
        <f>表1[[#This Row],[销售金额]]-表1[[#This Row],[退款金额]]</f>
        <v>3707.4710568283481</v>
      </c>
      <c r="K1761" s="1">
        <v>908</v>
      </c>
      <c r="L1761" s="1">
        <v>507</v>
      </c>
    </row>
    <row r="1762" spans="1:12" x14ac:dyDescent="0.3">
      <c r="A1762" s="2">
        <v>45927</v>
      </c>
      <c r="B1762" s="1" t="s">
        <v>247</v>
      </c>
      <c r="C1762" s="1" t="s">
        <v>10</v>
      </c>
      <c r="D1762" s="1" t="s">
        <v>190</v>
      </c>
      <c r="E1762" s="1" t="s">
        <v>34</v>
      </c>
      <c r="F1762" s="1" t="s">
        <v>35</v>
      </c>
      <c r="G1762" s="4">
        <v>9</v>
      </c>
      <c r="H1762" s="4">
        <v>57632</v>
      </c>
      <c r="I1762" s="6">
        <v>54406.528943171652</v>
      </c>
      <c r="J1762" s="6">
        <f>表1[[#This Row],[销售金额]]-表1[[#This Row],[退款金额]]</f>
        <v>3225.4710568283481</v>
      </c>
      <c r="K1762" s="1">
        <v>908</v>
      </c>
      <c r="L1762" s="1">
        <v>507</v>
      </c>
    </row>
    <row r="1763" spans="1:12" x14ac:dyDescent="0.3">
      <c r="A1763" s="2">
        <v>45927</v>
      </c>
      <c r="B1763" s="1" t="s">
        <v>247</v>
      </c>
      <c r="C1763" s="1" t="s">
        <v>10</v>
      </c>
      <c r="D1763" s="1" t="s">
        <v>190</v>
      </c>
      <c r="E1763" s="1" t="s">
        <v>34</v>
      </c>
      <c r="F1763" s="1" t="s">
        <v>35</v>
      </c>
      <c r="G1763" s="4">
        <v>9</v>
      </c>
      <c r="H1763" s="4">
        <v>57320</v>
      </c>
      <c r="I1763" s="6">
        <v>54406.528943171652</v>
      </c>
      <c r="J1763" s="6">
        <f>表1[[#This Row],[销售金额]]-表1[[#This Row],[退款金额]]</f>
        <v>2913.4710568283481</v>
      </c>
      <c r="K1763" s="1">
        <v>908</v>
      </c>
      <c r="L1763" s="1">
        <v>507</v>
      </c>
    </row>
    <row r="1764" spans="1:12" x14ac:dyDescent="0.3">
      <c r="A1764" s="2">
        <v>45927</v>
      </c>
      <c r="B1764" s="1" t="s">
        <v>247</v>
      </c>
      <c r="C1764" s="1" t="s">
        <v>10</v>
      </c>
      <c r="D1764" s="1" t="s">
        <v>190</v>
      </c>
      <c r="E1764" s="1" t="s">
        <v>34</v>
      </c>
      <c r="F1764" s="1" t="s">
        <v>35</v>
      </c>
      <c r="G1764" s="4">
        <v>9</v>
      </c>
      <c r="H1764" s="4">
        <v>58306</v>
      </c>
      <c r="I1764" s="6">
        <v>54406.528943171652</v>
      </c>
      <c r="J1764" s="6">
        <f>表1[[#This Row],[销售金额]]-表1[[#This Row],[退款金额]]</f>
        <v>3899.4710568283481</v>
      </c>
      <c r="K1764" s="1">
        <v>908</v>
      </c>
      <c r="L1764" s="1">
        <v>507</v>
      </c>
    </row>
    <row r="1765" spans="1:12" x14ac:dyDescent="0.3">
      <c r="A1765" s="2">
        <v>45927</v>
      </c>
      <c r="B1765" s="1" t="s">
        <v>247</v>
      </c>
      <c r="C1765" s="1" t="s">
        <v>10</v>
      </c>
      <c r="D1765" s="1" t="s">
        <v>190</v>
      </c>
      <c r="E1765" s="1" t="s">
        <v>34</v>
      </c>
      <c r="F1765" s="1" t="s">
        <v>35</v>
      </c>
      <c r="G1765" s="4">
        <v>9</v>
      </c>
      <c r="H1765" s="4">
        <v>54547</v>
      </c>
      <c r="I1765" s="6">
        <v>54406.528943171652</v>
      </c>
      <c r="J1765" s="6">
        <f>表1[[#This Row],[销售金额]]-表1[[#This Row],[退款金额]]</f>
        <v>140.47105682834808</v>
      </c>
      <c r="K1765" s="1">
        <v>908</v>
      </c>
      <c r="L1765" s="1">
        <v>507</v>
      </c>
    </row>
    <row r="1766" spans="1:12" x14ac:dyDescent="0.3">
      <c r="A1766" s="2">
        <v>45927</v>
      </c>
      <c r="B1766" s="1" t="s">
        <v>247</v>
      </c>
      <c r="C1766" s="1" t="s">
        <v>10</v>
      </c>
      <c r="D1766" s="1" t="s">
        <v>190</v>
      </c>
      <c r="E1766" s="1" t="s">
        <v>34</v>
      </c>
      <c r="F1766" s="1" t="s">
        <v>35</v>
      </c>
      <c r="G1766" s="4">
        <v>9</v>
      </c>
      <c r="H1766" s="4">
        <v>57540</v>
      </c>
      <c r="I1766" s="6">
        <v>54406.528943171652</v>
      </c>
      <c r="J1766" s="6">
        <f>表1[[#This Row],[销售金额]]-表1[[#This Row],[退款金额]]</f>
        <v>3133.4710568283481</v>
      </c>
      <c r="K1766" s="1">
        <v>908</v>
      </c>
      <c r="L1766" s="1">
        <v>507</v>
      </c>
    </row>
    <row r="1767" spans="1:12" x14ac:dyDescent="0.3">
      <c r="A1767" s="2">
        <v>45927</v>
      </c>
      <c r="B1767" s="1" t="s">
        <v>15</v>
      </c>
      <c r="C1767" s="1" t="s">
        <v>10</v>
      </c>
      <c r="D1767" s="1" t="s">
        <v>153</v>
      </c>
      <c r="E1767" s="1" t="s">
        <v>34</v>
      </c>
      <c r="F1767" s="1" t="s">
        <v>35</v>
      </c>
      <c r="G1767" s="4">
        <v>10</v>
      </c>
      <c r="H1767" s="4">
        <v>17904</v>
      </c>
      <c r="I1767" s="6">
        <v>15033.86807955778</v>
      </c>
      <c r="J1767" s="6">
        <f>表1[[#This Row],[销售金额]]-表1[[#This Row],[退款金额]]</f>
        <v>2870.1319204422198</v>
      </c>
      <c r="K1767" s="1">
        <v>22</v>
      </c>
      <c r="L1767" s="1">
        <v>471</v>
      </c>
    </row>
    <row r="1768" spans="1:12" x14ac:dyDescent="0.3">
      <c r="A1768" s="2">
        <v>45927</v>
      </c>
      <c r="B1768" s="1" t="s">
        <v>15</v>
      </c>
      <c r="C1768" s="1" t="s">
        <v>10</v>
      </c>
      <c r="D1768" s="1" t="s">
        <v>153</v>
      </c>
      <c r="E1768" s="1" t="s">
        <v>34</v>
      </c>
      <c r="F1768" s="1" t="s">
        <v>35</v>
      </c>
      <c r="G1768" s="4">
        <v>10</v>
      </c>
      <c r="H1768" s="4">
        <v>19506</v>
      </c>
      <c r="I1768" s="6">
        <v>15033.86807955778</v>
      </c>
      <c r="J1768" s="6">
        <f>表1[[#This Row],[销售金额]]-表1[[#This Row],[退款金额]]</f>
        <v>4472.1319204422198</v>
      </c>
      <c r="K1768" s="1">
        <v>22</v>
      </c>
      <c r="L1768" s="1">
        <v>471</v>
      </c>
    </row>
    <row r="1769" spans="1:12" x14ac:dyDescent="0.3">
      <c r="A1769" s="2">
        <v>45927</v>
      </c>
      <c r="B1769" s="1" t="s">
        <v>15</v>
      </c>
      <c r="C1769" s="1" t="s">
        <v>10</v>
      </c>
      <c r="D1769" s="1" t="s">
        <v>153</v>
      </c>
      <c r="E1769" s="1" t="s">
        <v>34</v>
      </c>
      <c r="F1769" s="1" t="s">
        <v>35</v>
      </c>
      <c r="G1769" s="4">
        <v>10</v>
      </c>
      <c r="H1769" s="4">
        <v>17155</v>
      </c>
      <c r="I1769" s="6">
        <v>15033.86807955778</v>
      </c>
      <c r="J1769" s="6">
        <f>表1[[#This Row],[销售金额]]-表1[[#This Row],[退款金额]]</f>
        <v>2121.1319204422198</v>
      </c>
      <c r="K1769" s="1">
        <v>22</v>
      </c>
      <c r="L1769" s="1">
        <v>471</v>
      </c>
    </row>
    <row r="1770" spans="1:12" x14ac:dyDescent="0.3">
      <c r="A1770" s="2">
        <v>45927</v>
      </c>
      <c r="B1770" s="1" t="s">
        <v>15</v>
      </c>
      <c r="C1770" s="1" t="s">
        <v>10</v>
      </c>
      <c r="D1770" s="1" t="s">
        <v>153</v>
      </c>
      <c r="E1770" s="1" t="s">
        <v>34</v>
      </c>
      <c r="F1770" s="1" t="s">
        <v>35</v>
      </c>
      <c r="G1770" s="4">
        <v>10</v>
      </c>
      <c r="H1770" s="4">
        <v>18694</v>
      </c>
      <c r="I1770" s="6">
        <v>15033.86807955778</v>
      </c>
      <c r="J1770" s="6">
        <f>表1[[#This Row],[销售金额]]-表1[[#This Row],[退款金额]]</f>
        <v>3660.1319204422198</v>
      </c>
      <c r="K1770" s="1">
        <v>22</v>
      </c>
      <c r="L1770" s="1">
        <v>471</v>
      </c>
    </row>
    <row r="1771" spans="1:12" x14ac:dyDescent="0.3">
      <c r="A1771" s="2">
        <v>45927</v>
      </c>
      <c r="B1771" s="1" t="s">
        <v>15</v>
      </c>
      <c r="C1771" s="1" t="s">
        <v>10</v>
      </c>
      <c r="D1771" s="1" t="s">
        <v>153</v>
      </c>
      <c r="E1771" s="1" t="s">
        <v>34</v>
      </c>
      <c r="F1771" s="1" t="s">
        <v>35</v>
      </c>
      <c r="G1771" s="4">
        <v>10</v>
      </c>
      <c r="H1771" s="4">
        <v>17256</v>
      </c>
      <c r="I1771" s="6">
        <v>15033.86807955778</v>
      </c>
      <c r="J1771" s="6">
        <f>表1[[#This Row],[销售金额]]-表1[[#This Row],[退款金额]]</f>
        <v>2222.1319204422198</v>
      </c>
      <c r="K1771" s="1">
        <v>22</v>
      </c>
      <c r="L1771" s="1">
        <v>471</v>
      </c>
    </row>
    <row r="1772" spans="1:12" x14ac:dyDescent="0.3">
      <c r="A1772" s="2">
        <v>45927</v>
      </c>
      <c r="B1772" s="1" t="s">
        <v>15</v>
      </c>
      <c r="C1772" s="1" t="s">
        <v>10</v>
      </c>
      <c r="D1772" s="1" t="s">
        <v>153</v>
      </c>
      <c r="E1772" s="1" t="s">
        <v>34</v>
      </c>
      <c r="F1772" s="1" t="s">
        <v>35</v>
      </c>
      <c r="G1772" s="4">
        <v>10</v>
      </c>
      <c r="H1772" s="4">
        <v>19900</v>
      </c>
      <c r="I1772" s="6">
        <v>15033.86807955778</v>
      </c>
      <c r="J1772" s="6">
        <f>表1[[#This Row],[销售金额]]-表1[[#This Row],[退款金额]]</f>
        <v>4866.1319204422198</v>
      </c>
      <c r="K1772" s="1">
        <v>22</v>
      </c>
      <c r="L1772" s="1">
        <v>471</v>
      </c>
    </row>
    <row r="1773" spans="1:12" x14ac:dyDescent="0.3">
      <c r="A1773" s="2">
        <v>45927</v>
      </c>
      <c r="B1773" s="1" t="s">
        <v>15</v>
      </c>
      <c r="C1773" s="1" t="s">
        <v>10</v>
      </c>
      <c r="D1773" s="1" t="s">
        <v>153</v>
      </c>
      <c r="E1773" s="1" t="s">
        <v>34</v>
      </c>
      <c r="F1773" s="1" t="s">
        <v>35</v>
      </c>
      <c r="G1773" s="4">
        <v>10</v>
      </c>
      <c r="H1773" s="4">
        <v>19109</v>
      </c>
      <c r="I1773" s="6">
        <v>15033.86807955778</v>
      </c>
      <c r="J1773" s="6">
        <f>表1[[#This Row],[销售金额]]-表1[[#This Row],[退款金额]]</f>
        <v>4075.1319204422198</v>
      </c>
      <c r="K1773" s="1">
        <v>22</v>
      </c>
      <c r="L1773" s="1">
        <v>471</v>
      </c>
    </row>
    <row r="1774" spans="1:12" x14ac:dyDescent="0.3">
      <c r="A1774" s="2">
        <v>45927</v>
      </c>
      <c r="B1774" s="1" t="s">
        <v>15</v>
      </c>
      <c r="C1774" s="1" t="s">
        <v>10</v>
      </c>
      <c r="D1774" s="1" t="s">
        <v>153</v>
      </c>
      <c r="E1774" s="1" t="s">
        <v>34</v>
      </c>
      <c r="F1774" s="1" t="s">
        <v>35</v>
      </c>
      <c r="G1774" s="4">
        <v>10</v>
      </c>
      <c r="H1774" s="4">
        <v>17109</v>
      </c>
      <c r="I1774" s="6">
        <v>15033.86807955778</v>
      </c>
      <c r="J1774" s="6">
        <f>表1[[#This Row],[销售金额]]-表1[[#This Row],[退款金额]]</f>
        <v>2075.1319204422198</v>
      </c>
      <c r="K1774" s="1">
        <v>22</v>
      </c>
      <c r="L1774" s="1">
        <v>471</v>
      </c>
    </row>
    <row r="1775" spans="1:12" x14ac:dyDescent="0.3">
      <c r="A1775" s="2">
        <v>45927</v>
      </c>
      <c r="B1775" s="1" t="s">
        <v>15</v>
      </c>
      <c r="C1775" s="1" t="s">
        <v>10</v>
      </c>
      <c r="D1775" s="1" t="s">
        <v>153</v>
      </c>
      <c r="E1775" s="1" t="s">
        <v>34</v>
      </c>
      <c r="F1775" s="1" t="s">
        <v>35</v>
      </c>
      <c r="G1775" s="4">
        <v>10</v>
      </c>
      <c r="H1775" s="4">
        <v>15933</v>
      </c>
      <c r="I1775" s="6">
        <v>15033.86807955778</v>
      </c>
      <c r="J1775" s="6">
        <f>表1[[#This Row],[销售金额]]-表1[[#This Row],[退款金额]]</f>
        <v>899.13192044221978</v>
      </c>
      <c r="K1775" s="1">
        <v>22</v>
      </c>
      <c r="L1775" s="1">
        <v>471</v>
      </c>
    </row>
    <row r="1776" spans="1:12" x14ac:dyDescent="0.3">
      <c r="A1776" s="2">
        <v>45927</v>
      </c>
      <c r="B1776" s="1" t="s">
        <v>248</v>
      </c>
      <c r="C1776" s="1" t="s">
        <v>19</v>
      </c>
      <c r="D1776" s="1" t="s">
        <v>229</v>
      </c>
      <c r="E1776" s="1" t="s">
        <v>21</v>
      </c>
      <c r="F1776" s="1" t="s">
        <v>22</v>
      </c>
      <c r="G1776" s="4">
        <v>12</v>
      </c>
      <c r="H1776" s="4">
        <v>4365</v>
      </c>
      <c r="I1776" s="6">
        <v>982.37001956836332</v>
      </c>
      <c r="J1776" s="6">
        <f>表1[[#This Row],[销售金额]]-表1[[#This Row],[退款金额]]</f>
        <v>3382.6299804316368</v>
      </c>
      <c r="K1776" s="1">
        <v>660</v>
      </c>
      <c r="L1776" s="1">
        <v>706</v>
      </c>
    </row>
    <row r="1777" spans="1:12" x14ac:dyDescent="0.3">
      <c r="A1777" s="2">
        <v>45927</v>
      </c>
      <c r="B1777" s="1" t="s">
        <v>248</v>
      </c>
      <c r="C1777" s="1" t="s">
        <v>19</v>
      </c>
      <c r="D1777" s="1" t="s">
        <v>229</v>
      </c>
      <c r="E1777" s="1" t="s">
        <v>21</v>
      </c>
      <c r="F1777" s="1" t="s">
        <v>22</v>
      </c>
      <c r="G1777" s="4">
        <v>12</v>
      </c>
      <c r="H1777" s="4">
        <v>3999</v>
      </c>
      <c r="I1777" s="6">
        <v>982.37001956836332</v>
      </c>
      <c r="J1777" s="6">
        <f>表1[[#This Row],[销售金额]]-表1[[#This Row],[退款金额]]</f>
        <v>3016.6299804316368</v>
      </c>
      <c r="K1777" s="1">
        <v>660</v>
      </c>
      <c r="L1777" s="1">
        <v>706</v>
      </c>
    </row>
    <row r="1778" spans="1:12" x14ac:dyDescent="0.3">
      <c r="A1778" s="2">
        <v>45927</v>
      </c>
      <c r="B1778" s="1" t="s">
        <v>248</v>
      </c>
      <c r="C1778" s="1" t="s">
        <v>19</v>
      </c>
      <c r="D1778" s="1" t="s">
        <v>229</v>
      </c>
      <c r="E1778" s="1" t="s">
        <v>21</v>
      </c>
      <c r="F1778" s="1" t="s">
        <v>22</v>
      </c>
      <c r="G1778" s="4">
        <v>12</v>
      </c>
      <c r="H1778" s="4">
        <v>2837</v>
      </c>
      <c r="I1778" s="6">
        <v>982.37001956836332</v>
      </c>
      <c r="J1778" s="6">
        <f>表1[[#This Row],[销售金额]]-表1[[#This Row],[退款金额]]</f>
        <v>1854.6299804316368</v>
      </c>
      <c r="K1778" s="1">
        <v>660</v>
      </c>
      <c r="L1778" s="1">
        <v>706</v>
      </c>
    </row>
    <row r="1779" spans="1:12" x14ac:dyDescent="0.3">
      <c r="A1779" s="2">
        <v>45927</v>
      </c>
      <c r="B1779" s="1" t="s">
        <v>248</v>
      </c>
      <c r="C1779" s="1" t="s">
        <v>19</v>
      </c>
      <c r="D1779" s="1" t="s">
        <v>229</v>
      </c>
      <c r="E1779" s="1" t="s">
        <v>21</v>
      </c>
      <c r="F1779" s="1" t="s">
        <v>22</v>
      </c>
      <c r="G1779" s="4">
        <v>12</v>
      </c>
      <c r="H1779" s="4">
        <v>2199</v>
      </c>
      <c r="I1779" s="6">
        <v>982.37001956836332</v>
      </c>
      <c r="J1779" s="6">
        <f>表1[[#This Row],[销售金额]]-表1[[#This Row],[退款金额]]</f>
        <v>1216.6299804316368</v>
      </c>
      <c r="K1779" s="1">
        <v>660</v>
      </c>
      <c r="L1779" s="1">
        <v>706</v>
      </c>
    </row>
    <row r="1780" spans="1:12" x14ac:dyDescent="0.3">
      <c r="A1780" s="2">
        <v>45927</v>
      </c>
      <c r="B1780" s="1" t="s">
        <v>248</v>
      </c>
      <c r="C1780" s="1" t="s">
        <v>19</v>
      </c>
      <c r="D1780" s="1" t="s">
        <v>229</v>
      </c>
      <c r="E1780" s="1" t="s">
        <v>21</v>
      </c>
      <c r="F1780" s="1" t="s">
        <v>22</v>
      </c>
      <c r="G1780" s="4">
        <v>12</v>
      </c>
      <c r="H1780" s="4">
        <v>5650</v>
      </c>
      <c r="I1780" s="6">
        <v>982.37001956836332</v>
      </c>
      <c r="J1780" s="6">
        <f>表1[[#This Row],[销售金额]]-表1[[#This Row],[退款金额]]</f>
        <v>4667.6299804316368</v>
      </c>
      <c r="K1780" s="1">
        <v>660</v>
      </c>
      <c r="L1780" s="1">
        <v>706</v>
      </c>
    </row>
    <row r="1781" spans="1:12" x14ac:dyDescent="0.3">
      <c r="A1781" s="2">
        <v>45927</v>
      </c>
      <c r="B1781" s="1" t="s">
        <v>248</v>
      </c>
      <c r="C1781" s="1" t="s">
        <v>19</v>
      </c>
      <c r="D1781" s="1" t="s">
        <v>229</v>
      </c>
      <c r="E1781" s="1" t="s">
        <v>21</v>
      </c>
      <c r="F1781" s="1" t="s">
        <v>22</v>
      </c>
      <c r="G1781" s="4">
        <v>12</v>
      </c>
      <c r="H1781" s="4">
        <v>1657</v>
      </c>
      <c r="I1781" s="6">
        <v>982.37001956836332</v>
      </c>
      <c r="J1781" s="6">
        <f>表1[[#This Row],[销售金额]]-表1[[#This Row],[退款金额]]</f>
        <v>674.62998043163668</v>
      </c>
      <c r="K1781" s="1">
        <v>660</v>
      </c>
      <c r="L1781" s="1">
        <v>706</v>
      </c>
    </row>
    <row r="1782" spans="1:12" x14ac:dyDescent="0.3">
      <c r="A1782" s="2">
        <v>45927</v>
      </c>
      <c r="B1782" s="1" t="s">
        <v>248</v>
      </c>
      <c r="C1782" s="1" t="s">
        <v>19</v>
      </c>
      <c r="D1782" s="1" t="s">
        <v>229</v>
      </c>
      <c r="E1782" s="1" t="s">
        <v>21</v>
      </c>
      <c r="F1782" s="1" t="s">
        <v>22</v>
      </c>
      <c r="G1782" s="4">
        <v>12</v>
      </c>
      <c r="H1782" s="4">
        <v>5804</v>
      </c>
      <c r="I1782" s="6">
        <v>982.37001956836332</v>
      </c>
      <c r="J1782" s="6">
        <f>表1[[#This Row],[销售金额]]-表1[[#This Row],[退款金额]]</f>
        <v>4821.6299804316368</v>
      </c>
      <c r="K1782" s="1">
        <v>660</v>
      </c>
      <c r="L1782" s="1">
        <v>706</v>
      </c>
    </row>
    <row r="1783" spans="1:12" x14ac:dyDescent="0.3">
      <c r="A1783" s="2">
        <v>45927</v>
      </c>
      <c r="B1783" s="1" t="s">
        <v>248</v>
      </c>
      <c r="C1783" s="1" t="s">
        <v>19</v>
      </c>
      <c r="D1783" s="1" t="s">
        <v>229</v>
      </c>
      <c r="E1783" s="1" t="s">
        <v>21</v>
      </c>
      <c r="F1783" s="1" t="s">
        <v>22</v>
      </c>
      <c r="G1783" s="4">
        <v>12</v>
      </c>
      <c r="H1783" s="4">
        <v>4254</v>
      </c>
      <c r="I1783" s="6">
        <v>982.37001956836332</v>
      </c>
      <c r="J1783" s="6">
        <f>表1[[#This Row],[销售金额]]-表1[[#This Row],[退款金额]]</f>
        <v>3271.6299804316368</v>
      </c>
      <c r="K1783" s="1">
        <v>660</v>
      </c>
      <c r="L1783" s="1">
        <v>706</v>
      </c>
    </row>
    <row r="1784" spans="1:12" x14ac:dyDescent="0.3">
      <c r="A1784" s="2">
        <v>45927</v>
      </c>
      <c r="B1784" s="1" t="s">
        <v>25</v>
      </c>
      <c r="C1784" s="1" t="s">
        <v>32</v>
      </c>
      <c r="D1784" s="1" t="s">
        <v>84</v>
      </c>
      <c r="E1784" s="1" t="s">
        <v>30</v>
      </c>
      <c r="F1784" s="1" t="s">
        <v>31</v>
      </c>
      <c r="G1784" s="4">
        <v>13</v>
      </c>
      <c r="H1784" s="4">
        <v>8973</v>
      </c>
      <c r="I1784" s="6">
        <v>7426.3957545413123</v>
      </c>
      <c r="J1784" s="6">
        <f>表1[[#This Row],[销售金额]]-表1[[#This Row],[退款金额]]</f>
        <v>1546.6042454586877</v>
      </c>
      <c r="K1784" s="1">
        <v>313</v>
      </c>
      <c r="L1784" s="1">
        <v>834</v>
      </c>
    </row>
    <row r="1785" spans="1:12" x14ac:dyDescent="0.3">
      <c r="A1785" s="2">
        <v>45927</v>
      </c>
      <c r="B1785" s="1" t="s">
        <v>25</v>
      </c>
      <c r="C1785" s="1" t="s">
        <v>32</v>
      </c>
      <c r="D1785" s="1" t="s">
        <v>84</v>
      </c>
      <c r="E1785" s="1" t="s">
        <v>30</v>
      </c>
      <c r="F1785" s="1" t="s">
        <v>31</v>
      </c>
      <c r="G1785" s="4">
        <v>13</v>
      </c>
      <c r="H1785" s="4">
        <v>11238</v>
      </c>
      <c r="I1785" s="6">
        <v>7426.3957545413123</v>
      </c>
      <c r="J1785" s="6">
        <f>表1[[#This Row],[销售金额]]-表1[[#This Row],[退款金额]]</f>
        <v>3811.6042454586877</v>
      </c>
      <c r="K1785" s="1">
        <v>313</v>
      </c>
      <c r="L1785" s="1">
        <v>834</v>
      </c>
    </row>
    <row r="1786" spans="1:12" x14ac:dyDescent="0.3">
      <c r="A1786" s="2">
        <v>45927</v>
      </c>
      <c r="B1786" s="1" t="s">
        <v>25</v>
      </c>
      <c r="C1786" s="1" t="s">
        <v>32</v>
      </c>
      <c r="D1786" s="1" t="s">
        <v>84</v>
      </c>
      <c r="E1786" s="1" t="s">
        <v>30</v>
      </c>
      <c r="F1786" s="1" t="s">
        <v>31</v>
      </c>
      <c r="G1786" s="4">
        <v>13</v>
      </c>
      <c r="H1786" s="4">
        <v>8747</v>
      </c>
      <c r="I1786" s="6">
        <v>7426.3957545413123</v>
      </c>
      <c r="J1786" s="6">
        <f>表1[[#This Row],[销售金额]]-表1[[#This Row],[退款金额]]</f>
        <v>1320.6042454586877</v>
      </c>
      <c r="K1786" s="1">
        <v>313</v>
      </c>
      <c r="L1786" s="1">
        <v>834</v>
      </c>
    </row>
    <row r="1787" spans="1:12" x14ac:dyDescent="0.3">
      <c r="A1787" s="2">
        <v>45927</v>
      </c>
      <c r="B1787" s="1" t="s">
        <v>25</v>
      </c>
      <c r="C1787" s="1" t="s">
        <v>32</v>
      </c>
      <c r="D1787" s="1" t="s">
        <v>84</v>
      </c>
      <c r="E1787" s="1" t="s">
        <v>30</v>
      </c>
      <c r="F1787" s="1" t="s">
        <v>31</v>
      </c>
      <c r="G1787" s="4">
        <v>13</v>
      </c>
      <c r="H1787" s="4">
        <v>9299</v>
      </c>
      <c r="I1787" s="6">
        <v>7426.3957545413123</v>
      </c>
      <c r="J1787" s="6">
        <f>表1[[#This Row],[销售金额]]-表1[[#This Row],[退款金额]]</f>
        <v>1872.6042454586877</v>
      </c>
      <c r="K1787" s="1">
        <v>313</v>
      </c>
      <c r="L1787" s="1">
        <v>834</v>
      </c>
    </row>
    <row r="1788" spans="1:12" x14ac:dyDescent="0.3">
      <c r="A1788" s="2">
        <v>45927</v>
      </c>
      <c r="B1788" s="1" t="s">
        <v>25</v>
      </c>
      <c r="C1788" s="1" t="s">
        <v>32</v>
      </c>
      <c r="D1788" s="1" t="s">
        <v>84</v>
      </c>
      <c r="E1788" s="1" t="s">
        <v>30</v>
      </c>
      <c r="F1788" s="1" t="s">
        <v>31</v>
      </c>
      <c r="G1788" s="4">
        <v>13</v>
      </c>
      <c r="H1788" s="4">
        <v>8231</v>
      </c>
      <c r="I1788" s="6">
        <v>7426.3957545413123</v>
      </c>
      <c r="J1788" s="6">
        <f>表1[[#This Row],[销售金额]]-表1[[#This Row],[退款金额]]</f>
        <v>804.60424545868773</v>
      </c>
      <c r="K1788" s="1">
        <v>313</v>
      </c>
      <c r="L1788" s="1">
        <v>834</v>
      </c>
    </row>
    <row r="1789" spans="1:12" x14ac:dyDescent="0.3">
      <c r="A1789" s="2">
        <v>45927</v>
      </c>
      <c r="B1789" s="1" t="s">
        <v>25</v>
      </c>
      <c r="C1789" s="1" t="s">
        <v>32</v>
      </c>
      <c r="D1789" s="1" t="s">
        <v>84</v>
      </c>
      <c r="E1789" s="1" t="s">
        <v>30</v>
      </c>
      <c r="F1789" s="1" t="s">
        <v>31</v>
      </c>
      <c r="G1789" s="4">
        <v>13</v>
      </c>
      <c r="H1789" s="4">
        <v>8468</v>
      </c>
      <c r="I1789" s="6">
        <v>7426.3957545413123</v>
      </c>
      <c r="J1789" s="6">
        <f>表1[[#This Row],[销售金额]]-表1[[#This Row],[退款金额]]</f>
        <v>1041.6042454586877</v>
      </c>
      <c r="K1789" s="1">
        <v>313</v>
      </c>
      <c r="L1789" s="1">
        <v>834</v>
      </c>
    </row>
    <row r="1790" spans="1:12" x14ac:dyDescent="0.3">
      <c r="A1790" s="2">
        <v>45927</v>
      </c>
      <c r="B1790" s="1" t="s">
        <v>25</v>
      </c>
      <c r="C1790" s="1" t="s">
        <v>32</v>
      </c>
      <c r="D1790" s="1" t="s">
        <v>84</v>
      </c>
      <c r="E1790" s="1" t="s">
        <v>30</v>
      </c>
      <c r="F1790" s="1" t="s">
        <v>31</v>
      </c>
      <c r="G1790" s="4">
        <v>13</v>
      </c>
      <c r="H1790" s="4">
        <v>7639</v>
      </c>
      <c r="I1790" s="6">
        <v>7426.3957545413123</v>
      </c>
      <c r="J1790" s="6">
        <f>表1[[#This Row],[销售金额]]-表1[[#This Row],[退款金额]]</f>
        <v>212.60424545868773</v>
      </c>
      <c r="K1790" s="1">
        <v>313</v>
      </c>
      <c r="L1790" s="1">
        <v>834</v>
      </c>
    </row>
    <row r="1791" spans="1:12" x14ac:dyDescent="0.3">
      <c r="A1791" s="2">
        <v>45927</v>
      </c>
      <c r="B1791" s="1" t="s">
        <v>25</v>
      </c>
      <c r="C1791" s="1" t="s">
        <v>32</v>
      </c>
      <c r="D1791" s="1" t="s">
        <v>84</v>
      </c>
      <c r="E1791" s="1" t="s">
        <v>30</v>
      </c>
      <c r="F1791" s="1" t="s">
        <v>31</v>
      </c>
      <c r="G1791" s="4">
        <v>13</v>
      </c>
      <c r="H1791" s="4">
        <v>10691</v>
      </c>
      <c r="I1791" s="6">
        <v>7426.3957545413123</v>
      </c>
      <c r="J1791" s="6">
        <f>表1[[#This Row],[销售金额]]-表1[[#This Row],[退款金额]]</f>
        <v>3264.6042454586877</v>
      </c>
      <c r="K1791" s="1">
        <v>313</v>
      </c>
      <c r="L1791" s="1">
        <v>834</v>
      </c>
    </row>
    <row r="1792" spans="1:12" x14ac:dyDescent="0.3">
      <c r="A1792" s="2">
        <v>45927</v>
      </c>
      <c r="B1792" s="1" t="s">
        <v>25</v>
      </c>
      <c r="C1792" s="1" t="s">
        <v>32</v>
      </c>
      <c r="D1792" s="1" t="s">
        <v>84</v>
      </c>
      <c r="E1792" s="1" t="s">
        <v>30</v>
      </c>
      <c r="F1792" s="1" t="s">
        <v>31</v>
      </c>
      <c r="G1792" s="4">
        <v>13</v>
      </c>
      <c r="H1792" s="4">
        <v>7992</v>
      </c>
      <c r="I1792" s="6">
        <v>7426.3957545413123</v>
      </c>
      <c r="J1792" s="6">
        <f>表1[[#This Row],[销售金额]]-表1[[#This Row],[退款金额]]</f>
        <v>565.60424545868773</v>
      </c>
      <c r="K1792" s="1">
        <v>313</v>
      </c>
      <c r="L1792" s="1">
        <v>834</v>
      </c>
    </row>
    <row r="1793" spans="1:12" x14ac:dyDescent="0.3">
      <c r="A1793" s="2">
        <v>45927</v>
      </c>
      <c r="B1793" s="1" t="s">
        <v>25</v>
      </c>
      <c r="C1793" s="1" t="s">
        <v>32</v>
      </c>
      <c r="D1793" s="1" t="s">
        <v>84</v>
      </c>
      <c r="E1793" s="1" t="s">
        <v>30</v>
      </c>
      <c r="F1793" s="1" t="s">
        <v>31</v>
      </c>
      <c r="G1793" s="4">
        <v>13</v>
      </c>
      <c r="H1793" s="4">
        <v>10509</v>
      </c>
      <c r="I1793" s="6">
        <v>7426.3957545413123</v>
      </c>
      <c r="J1793" s="6">
        <f>表1[[#This Row],[销售金额]]-表1[[#This Row],[退款金额]]</f>
        <v>3082.6042454586877</v>
      </c>
      <c r="K1793" s="1">
        <v>313</v>
      </c>
      <c r="L1793" s="1">
        <v>834</v>
      </c>
    </row>
    <row r="1794" spans="1:12" x14ac:dyDescent="0.3">
      <c r="A1794" s="2">
        <v>45927</v>
      </c>
      <c r="B1794" s="1" t="s">
        <v>25</v>
      </c>
      <c r="C1794" s="1" t="s">
        <v>32</v>
      </c>
      <c r="D1794" s="1" t="s">
        <v>84</v>
      </c>
      <c r="E1794" s="1" t="s">
        <v>30</v>
      </c>
      <c r="F1794" s="1" t="s">
        <v>31</v>
      </c>
      <c r="G1794" s="4">
        <v>13</v>
      </c>
      <c r="H1794" s="4">
        <v>9089</v>
      </c>
      <c r="I1794" s="6">
        <v>7426.3957545413123</v>
      </c>
      <c r="J1794" s="6">
        <f>表1[[#This Row],[销售金额]]-表1[[#This Row],[退款金额]]</f>
        <v>1662.6042454586877</v>
      </c>
      <c r="K1794" s="1">
        <v>313</v>
      </c>
      <c r="L1794" s="1">
        <v>834</v>
      </c>
    </row>
    <row r="1795" spans="1:12" x14ac:dyDescent="0.3">
      <c r="A1795" s="2">
        <v>45927</v>
      </c>
      <c r="B1795" s="1" t="s">
        <v>25</v>
      </c>
      <c r="C1795" s="1" t="s">
        <v>32</v>
      </c>
      <c r="D1795" s="1" t="s">
        <v>84</v>
      </c>
      <c r="E1795" s="1" t="s">
        <v>30</v>
      </c>
      <c r="F1795" s="1" t="s">
        <v>31</v>
      </c>
      <c r="G1795" s="4">
        <v>13</v>
      </c>
      <c r="H1795" s="4">
        <v>9781</v>
      </c>
      <c r="I1795" s="6">
        <v>7426.3957545413123</v>
      </c>
      <c r="J1795" s="6">
        <f>表1[[#This Row],[销售金额]]-表1[[#This Row],[退款金额]]</f>
        <v>2354.6042454586877</v>
      </c>
      <c r="K1795" s="1">
        <v>313</v>
      </c>
      <c r="L1795" s="1">
        <v>834</v>
      </c>
    </row>
    <row r="1796" spans="1:12" x14ac:dyDescent="0.3">
      <c r="A1796" s="2">
        <v>45927</v>
      </c>
      <c r="B1796" s="1" t="s">
        <v>25</v>
      </c>
      <c r="C1796" s="1" t="s">
        <v>32</v>
      </c>
      <c r="D1796" s="1" t="s">
        <v>84</v>
      </c>
      <c r="E1796" s="1" t="s">
        <v>30</v>
      </c>
      <c r="F1796" s="1" t="s">
        <v>31</v>
      </c>
      <c r="G1796" s="4">
        <v>13</v>
      </c>
      <c r="H1796" s="4">
        <v>9185</v>
      </c>
      <c r="I1796" s="6">
        <v>7426.3957545413123</v>
      </c>
      <c r="J1796" s="6">
        <f>表1[[#This Row],[销售金额]]-表1[[#This Row],[退款金额]]</f>
        <v>1758.6042454586877</v>
      </c>
      <c r="K1796" s="1">
        <v>313</v>
      </c>
      <c r="L1796" s="1">
        <v>834</v>
      </c>
    </row>
    <row r="1797" spans="1:12" x14ac:dyDescent="0.3">
      <c r="A1797" s="2">
        <v>45927</v>
      </c>
      <c r="B1797" s="1" t="s">
        <v>25</v>
      </c>
      <c r="C1797" s="1" t="s">
        <v>32</v>
      </c>
      <c r="D1797" s="1" t="s">
        <v>84</v>
      </c>
      <c r="E1797" s="1" t="s">
        <v>30</v>
      </c>
      <c r="F1797" s="1" t="s">
        <v>31</v>
      </c>
      <c r="G1797" s="4">
        <v>13</v>
      </c>
      <c r="H1797" s="4">
        <v>11196</v>
      </c>
      <c r="I1797" s="6">
        <v>7426.3957545413123</v>
      </c>
      <c r="J1797" s="6">
        <f>表1[[#This Row],[销售金额]]-表1[[#This Row],[退款金额]]</f>
        <v>3769.6042454586877</v>
      </c>
      <c r="K1797" s="1">
        <v>313</v>
      </c>
      <c r="L1797" s="1">
        <v>834</v>
      </c>
    </row>
    <row r="1798" spans="1:12" x14ac:dyDescent="0.3">
      <c r="A1798" s="2">
        <v>45927</v>
      </c>
      <c r="B1798" s="1" t="s">
        <v>25</v>
      </c>
      <c r="C1798" s="1" t="s">
        <v>32</v>
      </c>
      <c r="D1798" s="1" t="s">
        <v>84</v>
      </c>
      <c r="E1798" s="1" t="s">
        <v>30</v>
      </c>
      <c r="F1798" s="1" t="s">
        <v>31</v>
      </c>
      <c r="G1798" s="4">
        <v>13</v>
      </c>
      <c r="H1798" s="4">
        <v>11573</v>
      </c>
      <c r="I1798" s="6">
        <v>7426.3957545413123</v>
      </c>
      <c r="J1798" s="6">
        <f>表1[[#This Row],[销售金额]]-表1[[#This Row],[退款金额]]</f>
        <v>4146.6042454586877</v>
      </c>
      <c r="K1798" s="1">
        <v>313</v>
      </c>
      <c r="L1798" s="1">
        <v>834</v>
      </c>
    </row>
    <row r="1799" spans="1:12" x14ac:dyDescent="0.3">
      <c r="A1799" s="2">
        <v>45927</v>
      </c>
      <c r="B1799" s="1" t="s">
        <v>25</v>
      </c>
      <c r="C1799" s="1" t="s">
        <v>32</v>
      </c>
      <c r="D1799" s="1" t="s">
        <v>84</v>
      </c>
      <c r="E1799" s="1" t="s">
        <v>30</v>
      </c>
      <c r="F1799" s="1" t="s">
        <v>31</v>
      </c>
      <c r="G1799" s="4">
        <v>13</v>
      </c>
      <c r="H1799" s="4">
        <v>9955</v>
      </c>
      <c r="I1799" s="6">
        <v>7426.3957545413123</v>
      </c>
      <c r="J1799" s="6">
        <f>表1[[#This Row],[销售金额]]-表1[[#This Row],[退款金额]]</f>
        <v>2528.6042454586877</v>
      </c>
      <c r="K1799" s="1">
        <v>313</v>
      </c>
      <c r="L1799" s="1">
        <v>834</v>
      </c>
    </row>
    <row r="1800" spans="1:12" x14ac:dyDescent="0.3">
      <c r="A1800" s="2">
        <v>45927</v>
      </c>
      <c r="B1800" s="1" t="s">
        <v>25</v>
      </c>
      <c r="C1800" s="1" t="s">
        <v>32</v>
      </c>
      <c r="D1800" s="1" t="s">
        <v>84</v>
      </c>
      <c r="E1800" s="1" t="s">
        <v>30</v>
      </c>
      <c r="F1800" s="1" t="s">
        <v>31</v>
      </c>
      <c r="G1800" s="4">
        <v>13</v>
      </c>
      <c r="H1800" s="4">
        <v>8370</v>
      </c>
      <c r="I1800" s="6">
        <v>7426.3957545413123</v>
      </c>
      <c r="J1800" s="6">
        <f>表1[[#This Row],[销售金额]]-表1[[#This Row],[退款金额]]</f>
        <v>943.60424545868773</v>
      </c>
      <c r="K1800" s="1">
        <v>313</v>
      </c>
      <c r="L1800" s="1">
        <v>834</v>
      </c>
    </row>
    <row r="1801" spans="1:12" x14ac:dyDescent="0.3">
      <c r="A1801" s="2">
        <v>45927</v>
      </c>
      <c r="B1801" s="1" t="s">
        <v>25</v>
      </c>
      <c r="C1801" s="1" t="s">
        <v>32</v>
      </c>
      <c r="D1801" s="1" t="s">
        <v>84</v>
      </c>
      <c r="E1801" s="1" t="s">
        <v>30</v>
      </c>
      <c r="F1801" s="1" t="s">
        <v>31</v>
      </c>
      <c r="G1801" s="4">
        <v>13</v>
      </c>
      <c r="H1801" s="4">
        <v>11327</v>
      </c>
      <c r="I1801" s="6">
        <v>7426.3957545413123</v>
      </c>
      <c r="J1801" s="6">
        <f>表1[[#This Row],[销售金额]]-表1[[#This Row],[退款金额]]</f>
        <v>3900.6042454586877</v>
      </c>
      <c r="K1801" s="1">
        <v>313</v>
      </c>
      <c r="L1801" s="1">
        <v>834</v>
      </c>
    </row>
    <row r="1802" spans="1:12" x14ac:dyDescent="0.3">
      <c r="A1802" s="2">
        <v>45927</v>
      </c>
      <c r="B1802" s="1" t="s">
        <v>250</v>
      </c>
      <c r="C1802" s="1" t="s">
        <v>32</v>
      </c>
      <c r="D1802" s="1" t="s">
        <v>231</v>
      </c>
      <c r="E1802" s="1" t="s">
        <v>60</v>
      </c>
      <c r="F1802" s="1" t="s">
        <v>61</v>
      </c>
      <c r="G1802" s="4">
        <v>14</v>
      </c>
      <c r="H1802" s="4">
        <v>29341</v>
      </c>
      <c r="I1802" s="6">
        <v>25375.090873055993</v>
      </c>
      <c r="J1802" s="6">
        <f>表1[[#This Row],[销售金额]]-表1[[#This Row],[退款金额]]</f>
        <v>3965.9091269440069</v>
      </c>
      <c r="K1802" s="1">
        <v>241</v>
      </c>
      <c r="L1802" s="1">
        <v>228</v>
      </c>
    </row>
    <row r="1803" spans="1:12" x14ac:dyDescent="0.3">
      <c r="A1803" s="2">
        <v>45927</v>
      </c>
      <c r="B1803" s="1" t="s">
        <v>250</v>
      </c>
      <c r="C1803" s="1" t="s">
        <v>32</v>
      </c>
      <c r="D1803" s="1" t="s">
        <v>231</v>
      </c>
      <c r="E1803" s="1" t="s">
        <v>60</v>
      </c>
      <c r="F1803" s="1" t="s">
        <v>61</v>
      </c>
      <c r="G1803" s="4">
        <v>14</v>
      </c>
      <c r="H1803" s="4">
        <v>29514</v>
      </c>
      <c r="I1803" s="6">
        <v>25375.090873055993</v>
      </c>
      <c r="J1803" s="6">
        <f>表1[[#This Row],[销售金额]]-表1[[#This Row],[退款金额]]</f>
        <v>4138.9091269440069</v>
      </c>
      <c r="K1803" s="1">
        <v>241</v>
      </c>
      <c r="L1803" s="1">
        <v>228</v>
      </c>
    </row>
    <row r="1804" spans="1:12" x14ac:dyDescent="0.3">
      <c r="A1804" s="2">
        <v>45927</v>
      </c>
      <c r="B1804" s="1" t="s">
        <v>250</v>
      </c>
      <c r="C1804" s="1" t="s">
        <v>32</v>
      </c>
      <c r="D1804" s="1" t="s">
        <v>231</v>
      </c>
      <c r="E1804" s="1" t="s">
        <v>60</v>
      </c>
      <c r="F1804" s="1" t="s">
        <v>61</v>
      </c>
      <c r="G1804" s="4">
        <v>14</v>
      </c>
      <c r="H1804" s="4">
        <v>27096</v>
      </c>
      <c r="I1804" s="6">
        <v>25375.090873055993</v>
      </c>
      <c r="J1804" s="6">
        <f>表1[[#This Row],[销售金额]]-表1[[#This Row],[退款金额]]</f>
        <v>1720.9091269440069</v>
      </c>
      <c r="K1804" s="1">
        <v>241</v>
      </c>
      <c r="L1804" s="1">
        <v>228</v>
      </c>
    </row>
    <row r="1805" spans="1:12" x14ac:dyDescent="0.3">
      <c r="A1805" s="2">
        <v>45927</v>
      </c>
      <c r="B1805" s="1" t="s">
        <v>250</v>
      </c>
      <c r="C1805" s="1" t="s">
        <v>32</v>
      </c>
      <c r="D1805" s="1" t="s">
        <v>231</v>
      </c>
      <c r="E1805" s="1" t="s">
        <v>60</v>
      </c>
      <c r="F1805" s="1" t="s">
        <v>61</v>
      </c>
      <c r="G1805" s="4">
        <v>14</v>
      </c>
      <c r="H1805" s="4">
        <v>26670</v>
      </c>
      <c r="I1805" s="6">
        <v>25375.090873055993</v>
      </c>
      <c r="J1805" s="6">
        <f>表1[[#This Row],[销售金额]]-表1[[#This Row],[退款金额]]</f>
        <v>1294.9091269440069</v>
      </c>
      <c r="K1805" s="1">
        <v>241</v>
      </c>
      <c r="L1805" s="1">
        <v>228</v>
      </c>
    </row>
    <row r="1806" spans="1:12" x14ac:dyDescent="0.3">
      <c r="A1806" s="2">
        <v>45927</v>
      </c>
      <c r="B1806" s="1" t="s">
        <v>250</v>
      </c>
      <c r="C1806" s="1" t="s">
        <v>32</v>
      </c>
      <c r="D1806" s="1" t="s">
        <v>231</v>
      </c>
      <c r="E1806" s="1" t="s">
        <v>60</v>
      </c>
      <c r="F1806" s="1" t="s">
        <v>61</v>
      </c>
      <c r="G1806" s="4">
        <v>14</v>
      </c>
      <c r="H1806" s="4">
        <v>26575</v>
      </c>
      <c r="I1806" s="6">
        <v>25375.090873055993</v>
      </c>
      <c r="J1806" s="6">
        <f>表1[[#This Row],[销售金额]]-表1[[#This Row],[退款金额]]</f>
        <v>1199.9091269440069</v>
      </c>
      <c r="K1806" s="1">
        <v>241</v>
      </c>
      <c r="L1806" s="1">
        <v>228</v>
      </c>
    </row>
    <row r="1807" spans="1:12" x14ac:dyDescent="0.3">
      <c r="A1807" s="2">
        <v>45927</v>
      </c>
      <c r="B1807" s="1" t="s">
        <v>250</v>
      </c>
      <c r="C1807" s="1" t="s">
        <v>32</v>
      </c>
      <c r="D1807" s="1" t="s">
        <v>231</v>
      </c>
      <c r="E1807" s="1" t="s">
        <v>60</v>
      </c>
      <c r="F1807" s="1" t="s">
        <v>61</v>
      </c>
      <c r="G1807" s="4">
        <v>14</v>
      </c>
      <c r="H1807" s="4">
        <v>25771</v>
      </c>
      <c r="I1807" s="6">
        <v>25375.090873055993</v>
      </c>
      <c r="J1807" s="6">
        <f>表1[[#This Row],[销售金额]]-表1[[#This Row],[退款金额]]</f>
        <v>395.90912694400686</v>
      </c>
      <c r="K1807" s="1">
        <v>241</v>
      </c>
      <c r="L1807" s="1">
        <v>228</v>
      </c>
    </row>
    <row r="1808" spans="1:12" x14ac:dyDescent="0.3">
      <c r="A1808" s="2">
        <v>45927</v>
      </c>
      <c r="B1808" s="1" t="s">
        <v>250</v>
      </c>
      <c r="C1808" s="1" t="s">
        <v>32</v>
      </c>
      <c r="D1808" s="1" t="s">
        <v>231</v>
      </c>
      <c r="E1808" s="1" t="s">
        <v>60</v>
      </c>
      <c r="F1808" s="1" t="s">
        <v>61</v>
      </c>
      <c r="G1808" s="4">
        <v>14</v>
      </c>
      <c r="H1808" s="4">
        <v>29503</v>
      </c>
      <c r="I1808" s="6">
        <v>25375.090873055993</v>
      </c>
      <c r="J1808" s="6">
        <f>表1[[#This Row],[销售金额]]-表1[[#This Row],[退款金额]]</f>
        <v>4127.9091269440069</v>
      </c>
      <c r="K1808" s="1">
        <v>241</v>
      </c>
      <c r="L1808" s="1">
        <v>228</v>
      </c>
    </row>
    <row r="1809" spans="1:12" x14ac:dyDescent="0.3">
      <c r="A1809" s="2">
        <v>45927</v>
      </c>
      <c r="B1809" s="1" t="s">
        <v>250</v>
      </c>
      <c r="C1809" s="1" t="s">
        <v>32</v>
      </c>
      <c r="D1809" s="1" t="s">
        <v>231</v>
      </c>
      <c r="E1809" s="1" t="s">
        <v>60</v>
      </c>
      <c r="F1809" s="1" t="s">
        <v>61</v>
      </c>
      <c r="G1809" s="4">
        <v>14</v>
      </c>
      <c r="H1809" s="4">
        <v>25925</v>
      </c>
      <c r="I1809" s="6">
        <v>25375.090873055993</v>
      </c>
      <c r="J1809" s="6">
        <f>表1[[#This Row],[销售金额]]-表1[[#This Row],[退款金额]]</f>
        <v>549.90912694400686</v>
      </c>
      <c r="K1809" s="1">
        <v>241</v>
      </c>
      <c r="L1809" s="1">
        <v>228</v>
      </c>
    </row>
    <row r="1810" spans="1:12" x14ac:dyDescent="0.3">
      <c r="A1810" s="2">
        <v>45927</v>
      </c>
      <c r="B1810" s="1" t="s">
        <v>11</v>
      </c>
      <c r="C1810" s="1" t="s">
        <v>19</v>
      </c>
      <c r="D1810" s="1" t="s">
        <v>198</v>
      </c>
      <c r="E1810" s="1" t="s">
        <v>75</v>
      </c>
      <c r="F1810" s="1" t="s">
        <v>76</v>
      </c>
      <c r="G1810" s="4">
        <v>15</v>
      </c>
      <c r="H1810" s="4">
        <v>5858</v>
      </c>
      <c r="I1810" s="6">
        <v>3515.8600502624417</v>
      </c>
      <c r="J1810" s="6">
        <f>表1[[#This Row],[销售金额]]-表1[[#This Row],[退款金额]]</f>
        <v>2342.1399497375583</v>
      </c>
      <c r="K1810" s="1">
        <v>253</v>
      </c>
      <c r="L1810" s="1">
        <v>236</v>
      </c>
    </row>
    <row r="1811" spans="1:12" x14ac:dyDescent="0.3">
      <c r="A1811" s="2">
        <v>45927</v>
      </c>
      <c r="B1811" s="1" t="s">
        <v>11</v>
      </c>
      <c r="C1811" s="1" t="s">
        <v>19</v>
      </c>
      <c r="D1811" s="1" t="s">
        <v>198</v>
      </c>
      <c r="E1811" s="1" t="s">
        <v>75</v>
      </c>
      <c r="F1811" s="1" t="s">
        <v>76</v>
      </c>
      <c r="G1811" s="4">
        <v>15</v>
      </c>
      <c r="H1811" s="4">
        <v>8257</v>
      </c>
      <c r="I1811" s="6">
        <v>3515.8600502624417</v>
      </c>
      <c r="J1811" s="6">
        <f>表1[[#This Row],[销售金额]]-表1[[#This Row],[退款金额]]</f>
        <v>4741.1399497375587</v>
      </c>
      <c r="K1811" s="1">
        <v>253</v>
      </c>
      <c r="L1811" s="1">
        <v>236</v>
      </c>
    </row>
    <row r="1812" spans="1:12" x14ac:dyDescent="0.3">
      <c r="A1812" s="2">
        <v>45927</v>
      </c>
      <c r="B1812" s="1" t="s">
        <v>11</v>
      </c>
      <c r="C1812" s="1" t="s">
        <v>19</v>
      </c>
      <c r="D1812" s="1" t="s">
        <v>198</v>
      </c>
      <c r="E1812" s="1" t="s">
        <v>75</v>
      </c>
      <c r="F1812" s="1" t="s">
        <v>76</v>
      </c>
      <c r="G1812" s="4">
        <v>15</v>
      </c>
      <c r="H1812" s="4">
        <v>8268</v>
      </c>
      <c r="I1812" s="6">
        <v>3515.8600502624417</v>
      </c>
      <c r="J1812" s="6">
        <f>表1[[#This Row],[销售金额]]-表1[[#This Row],[退款金额]]</f>
        <v>4752.1399497375587</v>
      </c>
      <c r="K1812" s="1">
        <v>253</v>
      </c>
      <c r="L1812" s="1">
        <v>236</v>
      </c>
    </row>
    <row r="1813" spans="1:12" x14ac:dyDescent="0.3">
      <c r="A1813" s="2">
        <v>45927</v>
      </c>
      <c r="B1813" s="1" t="s">
        <v>11</v>
      </c>
      <c r="C1813" s="1" t="s">
        <v>19</v>
      </c>
      <c r="D1813" s="1" t="s">
        <v>198</v>
      </c>
      <c r="E1813" s="1" t="s">
        <v>75</v>
      </c>
      <c r="F1813" s="1" t="s">
        <v>76</v>
      </c>
      <c r="G1813" s="4">
        <v>15</v>
      </c>
      <c r="H1813" s="4">
        <v>5082</v>
      </c>
      <c r="I1813" s="6">
        <v>3515.8600502624417</v>
      </c>
      <c r="J1813" s="6">
        <f>表1[[#This Row],[销售金额]]-表1[[#This Row],[退款金额]]</f>
        <v>1566.1399497375583</v>
      </c>
      <c r="K1813" s="1">
        <v>253</v>
      </c>
      <c r="L1813" s="1">
        <v>236</v>
      </c>
    </row>
    <row r="1814" spans="1:12" x14ac:dyDescent="0.3">
      <c r="A1814" s="2">
        <v>45927</v>
      </c>
      <c r="B1814" s="1" t="s">
        <v>11</v>
      </c>
      <c r="C1814" s="1" t="s">
        <v>19</v>
      </c>
      <c r="D1814" s="1" t="s">
        <v>198</v>
      </c>
      <c r="E1814" s="1" t="s">
        <v>75</v>
      </c>
      <c r="F1814" s="1" t="s">
        <v>76</v>
      </c>
      <c r="G1814" s="4">
        <v>15</v>
      </c>
      <c r="H1814" s="4">
        <v>8084</v>
      </c>
      <c r="I1814" s="6">
        <v>3515.8600502624417</v>
      </c>
      <c r="J1814" s="6">
        <f>表1[[#This Row],[销售金额]]-表1[[#This Row],[退款金额]]</f>
        <v>4568.1399497375587</v>
      </c>
      <c r="K1814" s="1">
        <v>253</v>
      </c>
      <c r="L1814" s="1">
        <v>236</v>
      </c>
    </row>
    <row r="1815" spans="1:12" x14ac:dyDescent="0.3">
      <c r="A1815" s="2">
        <v>45927</v>
      </c>
      <c r="B1815" s="1" t="s">
        <v>11</v>
      </c>
      <c r="C1815" s="1" t="s">
        <v>19</v>
      </c>
      <c r="D1815" s="1" t="s">
        <v>198</v>
      </c>
      <c r="E1815" s="1" t="s">
        <v>75</v>
      </c>
      <c r="F1815" s="1" t="s">
        <v>76</v>
      </c>
      <c r="G1815" s="4">
        <v>15</v>
      </c>
      <c r="H1815" s="4">
        <v>6398</v>
      </c>
      <c r="I1815" s="6">
        <v>3515.8600502624417</v>
      </c>
      <c r="J1815" s="6">
        <f>表1[[#This Row],[销售金额]]-表1[[#This Row],[退款金额]]</f>
        <v>2882.1399497375583</v>
      </c>
      <c r="K1815" s="1">
        <v>253</v>
      </c>
      <c r="L1815" s="1">
        <v>236</v>
      </c>
    </row>
    <row r="1816" spans="1:12" x14ac:dyDescent="0.3">
      <c r="A1816" s="2">
        <v>45927</v>
      </c>
      <c r="B1816" s="1" t="s">
        <v>11</v>
      </c>
      <c r="C1816" s="1" t="s">
        <v>19</v>
      </c>
      <c r="D1816" s="1" t="s">
        <v>198</v>
      </c>
      <c r="E1816" s="1" t="s">
        <v>75</v>
      </c>
      <c r="F1816" s="1" t="s">
        <v>76</v>
      </c>
      <c r="G1816" s="4">
        <v>15</v>
      </c>
      <c r="H1816" s="4">
        <v>6004</v>
      </c>
      <c r="I1816" s="6">
        <v>3515.8600502624417</v>
      </c>
      <c r="J1816" s="6">
        <f>表1[[#This Row],[销售金额]]-表1[[#This Row],[退款金额]]</f>
        <v>2488.1399497375583</v>
      </c>
      <c r="K1816" s="1">
        <v>253</v>
      </c>
      <c r="L1816" s="1">
        <v>236</v>
      </c>
    </row>
    <row r="1817" spans="1:12" x14ac:dyDescent="0.3">
      <c r="A1817" s="2">
        <v>45927</v>
      </c>
      <c r="B1817" s="1" t="s">
        <v>11</v>
      </c>
      <c r="C1817" s="1" t="s">
        <v>19</v>
      </c>
      <c r="D1817" s="1" t="s">
        <v>198</v>
      </c>
      <c r="E1817" s="1" t="s">
        <v>75</v>
      </c>
      <c r="F1817" s="1" t="s">
        <v>76</v>
      </c>
      <c r="G1817" s="4">
        <v>15</v>
      </c>
      <c r="H1817" s="4">
        <v>3673</v>
      </c>
      <c r="I1817" s="6">
        <v>3515.8600502624417</v>
      </c>
      <c r="J1817" s="6">
        <f>表1[[#This Row],[销售金额]]-表1[[#This Row],[退款金额]]</f>
        <v>157.13994973755825</v>
      </c>
      <c r="K1817" s="1">
        <v>253</v>
      </c>
      <c r="L1817" s="1">
        <v>236</v>
      </c>
    </row>
    <row r="1818" spans="1:12" x14ac:dyDescent="0.3">
      <c r="A1818" s="2">
        <v>45927</v>
      </c>
      <c r="B1818" s="1" t="s">
        <v>11</v>
      </c>
      <c r="C1818" s="1" t="s">
        <v>19</v>
      </c>
      <c r="D1818" s="1" t="s">
        <v>198</v>
      </c>
      <c r="E1818" s="1" t="s">
        <v>75</v>
      </c>
      <c r="F1818" s="1" t="s">
        <v>76</v>
      </c>
      <c r="G1818" s="4">
        <v>15</v>
      </c>
      <c r="H1818" s="4">
        <v>7263</v>
      </c>
      <c r="I1818" s="6">
        <v>3515.8600502624417</v>
      </c>
      <c r="J1818" s="6">
        <f>表1[[#This Row],[销售金额]]-表1[[#This Row],[退款金额]]</f>
        <v>3747.1399497375583</v>
      </c>
      <c r="K1818" s="1">
        <v>253</v>
      </c>
      <c r="L1818" s="1">
        <v>236</v>
      </c>
    </row>
    <row r="1819" spans="1:12" x14ac:dyDescent="0.3">
      <c r="A1819" s="2">
        <v>45927</v>
      </c>
      <c r="B1819" s="1" t="s">
        <v>250</v>
      </c>
      <c r="C1819" s="1" t="s">
        <v>32</v>
      </c>
      <c r="D1819" s="1" t="s">
        <v>129</v>
      </c>
      <c r="E1819" s="1" t="s">
        <v>30</v>
      </c>
      <c r="F1819" s="1" t="s">
        <v>31</v>
      </c>
      <c r="G1819" s="4">
        <v>18</v>
      </c>
      <c r="H1819" s="4">
        <v>1189</v>
      </c>
      <c r="I1819" s="6">
        <v>711.50585759492537</v>
      </c>
      <c r="J1819" s="6">
        <f>表1[[#This Row],[销售金额]]-表1[[#This Row],[退款金额]]</f>
        <v>477.49414240507463</v>
      </c>
      <c r="K1819" s="1">
        <v>931</v>
      </c>
      <c r="L1819" s="1">
        <v>57</v>
      </c>
    </row>
    <row r="1820" spans="1:12" x14ac:dyDescent="0.3">
      <c r="A1820" s="2">
        <v>45927</v>
      </c>
      <c r="B1820" s="1" t="s">
        <v>250</v>
      </c>
      <c r="C1820" s="1" t="s">
        <v>32</v>
      </c>
      <c r="D1820" s="1" t="s">
        <v>129</v>
      </c>
      <c r="E1820" s="1" t="s">
        <v>30</v>
      </c>
      <c r="F1820" s="1" t="s">
        <v>31</v>
      </c>
      <c r="G1820" s="4">
        <v>18</v>
      </c>
      <c r="H1820" s="4">
        <v>2060</v>
      </c>
      <c r="I1820" s="6">
        <v>711.50585759492537</v>
      </c>
      <c r="J1820" s="6">
        <f>表1[[#This Row],[销售金额]]-表1[[#This Row],[退款金额]]</f>
        <v>1348.4941424050746</v>
      </c>
      <c r="K1820" s="1">
        <v>931</v>
      </c>
      <c r="L1820" s="1">
        <v>57</v>
      </c>
    </row>
    <row r="1821" spans="1:12" x14ac:dyDescent="0.3">
      <c r="A1821" s="2">
        <v>45927</v>
      </c>
      <c r="B1821" s="1" t="s">
        <v>250</v>
      </c>
      <c r="C1821" s="1" t="s">
        <v>32</v>
      </c>
      <c r="D1821" s="1" t="s">
        <v>129</v>
      </c>
      <c r="E1821" s="1" t="s">
        <v>30</v>
      </c>
      <c r="F1821" s="1" t="s">
        <v>31</v>
      </c>
      <c r="G1821" s="4">
        <v>18</v>
      </c>
      <c r="H1821" s="4">
        <v>5087</v>
      </c>
      <c r="I1821" s="6">
        <v>711.50585759492537</v>
      </c>
      <c r="J1821" s="6">
        <f>表1[[#This Row],[销售金额]]-表1[[#This Row],[退款金额]]</f>
        <v>4375.4941424050749</v>
      </c>
      <c r="K1821" s="1">
        <v>931</v>
      </c>
      <c r="L1821" s="1">
        <v>57</v>
      </c>
    </row>
    <row r="1822" spans="1:12" x14ac:dyDescent="0.3">
      <c r="A1822" s="2">
        <v>45927</v>
      </c>
      <c r="B1822" s="1" t="s">
        <v>250</v>
      </c>
      <c r="C1822" s="1" t="s">
        <v>32</v>
      </c>
      <c r="D1822" s="1" t="s">
        <v>129</v>
      </c>
      <c r="E1822" s="1" t="s">
        <v>30</v>
      </c>
      <c r="F1822" s="1" t="s">
        <v>31</v>
      </c>
      <c r="G1822" s="4">
        <v>18</v>
      </c>
      <c r="H1822" s="4">
        <v>1009</v>
      </c>
      <c r="I1822" s="6">
        <v>711.50585759492537</v>
      </c>
      <c r="J1822" s="6">
        <f>表1[[#This Row],[销售金额]]-表1[[#This Row],[退款金额]]</f>
        <v>297.49414240507463</v>
      </c>
      <c r="K1822" s="1">
        <v>931</v>
      </c>
      <c r="L1822" s="1">
        <v>57</v>
      </c>
    </row>
    <row r="1823" spans="1:12" x14ac:dyDescent="0.3">
      <c r="A1823" s="2">
        <v>45927</v>
      </c>
      <c r="B1823" s="1" t="s">
        <v>250</v>
      </c>
      <c r="C1823" s="1" t="s">
        <v>32</v>
      </c>
      <c r="D1823" s="1" t="s">
        <v>129</v>
      </c>
      <c r="E1823" s="1" t="s">
        <v>30</v>
      </c>
      <c r="F1823" s="1" t="s">
        <v>31</v>
      </c>
      <c r="G1823" s="4">
        <v>18</v>
      </c>
      <c r="H1823" s="4">
        <v>5494</v>
      </c>
      <c r="I1823" s="6">
        <v>711.50585759492537</v>
      </c>
      <c r="J1823" s="6">
        <f>表1[[#This Row],[销售金额]]-表1[[#This Row],[退款金额]]</f>
        <v>4782.4941424050749</v>
      </c>
      <c r="K1823" s="1">
        <v>931</v>
      </c>
      <c r="L1823" s="1">
        <v>57</v>
      </c>
    </row>
    <row r="1824" spans="1:12" x14ac:dyDescent="0.3">
      <c r="A1824" s="2">
        <v>45927</v>
      </c>
      <c r="B1824" s="1" t="s">
        <v>250</v>
      </c>
      <c r="C1824" s="1" t="s">
        <v>32</v>
      </c>
      <c r="D1824" s="1" t="s">
        <v>129</v>
      </c>
      <c r="E1824" s="1" t="s">
        <v>30</v>
      </c>
      <c r="F1824" s="1" t="s">
        <v>31</v>
      </c>
      <c r="G1824" s="4">
        <v>18</v>
      </c>
      <c r="H1824" s="4">
        <v>1745</v>
      </c>
      <c r="I1824" s="6">
        <v>711.50585759492537</v>
      </c>
      <c r="J1824" s="6">
        <f>表1[[#This Row],[销售金额]]-表1[[#This Row],[退款金额]]</f>
        <v>1033.4941424050746</v>
      </c>
      <c r="K1824" s="1">
        <v>931</v>
      </c>
      <c r="L1824" s="1">
        <v>57</v>
      </c>
    </row>
    <row r="1825" spans="1:12" x14ac:dyDescent="0.3">
      <c r="A1825" s="2">
        <v>45927</v>
      </c>
      <c r="B1825" s="1" t="s">
        <v>250</v>
      </c>
      <c r="C1825" s="1" t="s">
        <v>32</v>
      </c>
      <c r="D1825" s="1" t="s">
        <v>129</v>
      </c>
      <c r="E1825" s="1" t="s">
        <v>30</v>
      </c>
      <c r="F1825" s="1" t="s">
        <v>31</v>
      </c>
      <c r="G1825" s="4">
        <v>18</v>
      </c>
      <c r="H1825" s="4">
        <v>2270</v>
      </c>
      <c r="I1825" s="6">
        <v>711.50585759492537</v>
      </c>
      <c r="J1825" s="6">
        <f>表1[[#This Row],[销售金额]]-表1[[#This Row],[退款金额]]</f>
        <v>1558.4941424050746</v>
      </c>
      <c r="K1825" s="1">
        <v>931</v>
      </c>
      <c r="L1825" s="1">
        <v>57</v>
      </c>
    </row>
    <row r="1826" spans="1:12" x14ac:dyDescent="0.3">
      <c r="A1826" s="2">
        <v>45927</v>
      </c>
      <c r="B1826" s="1" t="s">
        <v>250</v>
      </c>
      <c r="C1826" s="1" t="s">
        <v>32</v>
      </c>
      <c r="D1826" s="1" t="s">
        <v>129</v>
      </c>
      <c r="E1826" s="1" t="s">
        <v>30</v>
      </c>
      <c r="F1826" s="1" t="s">
        <v>31</v>
      </c>
      <c r="G1826" s="4">
        <v>18</v>
      </c>
      <c r="H1826" s="4">
        <v>3967</v>
      </c>
      <c r="I1826" s="6">
        <v>711.50585759492537</v>
      </c>
      <c r="J1826" s="6">
        <f>表1[[#This Row],[销售金额]]-表1[[#This Row],[退款金额]]</f>
        <v>3255.4941424050749</v>
      </c>
      <c r="K1826" s="1">
        <v>931</v>
      </c>
      <c r="L1826" s="1">
        <v>57</v>
      </c>
    </row>
    <row r="1827" spans="1:12" x14ac:dyDescent="0.3">
      <c r="A1827" s="2">
        <v>45927</v>
      </c>
      <c r="B1827" s="1" t="s">
        <v>250</v>
      </c>
      <c r="C1827" s="1" t="s">
        <v>32</v>
      </c>
      <c r="D1827" s="1" t="s">
        <v>129</v>
      </c>
      <c r="E1827" s="1" t="s">
        <v>30</v>
      </c>
      <c r="F1827" s="1" t="s">
        <v>31</v>
      </c>
      <c r="G1827" s="4">
        <v>18</v>
      </c>
      <c r="H1827" s="4">
        <v>5642</v>
      </c>
      <c r="I1827" s="6">
        <v>711.50585759492537</v>
      </c>
      <c r="J1827" s="6">
        <f>表1[[#This Row],[销售金额]]-表1[[#This Row],[退款金额]]</f>
        <v>4930.4941424050749</v>
      </c>
      <c r="K1827" s="1">
        <v>931</v>
      </c>
      <c r="L1827" s="1">
        <v>57</v>
      </c>
    </row>
    <row r="1828" spans="1:12" x14ac:dyDescent="0.3">
      <c r="A1828" s="2">
        <v>45927</v>
      </c>
      <c r="B1828" s="1" t="s">
        <v>250</v>
      </c>
      <c r="C1828" s="1" t="s">
        <v>19</v>
      </c>
      <c r="D1828" s="1" t="s">
        <v>163</v>
      </c>
      <c r="E1828" s="1" t="s">
        <v>75</v>
      </c>
      <c r="F1828" s="1" t="s">
        <v>76</v>
      </c>
      <c r="G1828" s="4">
        <v>19</v>
      </c>
      <c r="H1828" s="4">
        <v>5825</v>
      </c>
      <c r="I1828" s="6">
        <v>4909.3237449655935</v>
      </c>
      <c r="J1828" s="6">
        <f>表1[[#This Row],[销售金额]]-表1[[#This Row],[退款金额]]</f>
        <v>915.67625503440649</v>
      </c>
      <c r="K1828" s="1">
        <v>344</v>
      </c>
      <c r="L1828" s="1">
        <v>96</v>
      </c>
    </row>
    <row r="1829" spans="1:12" x14ac:dyDescent="0.3">
      <c r="A1829" s="2">
        <v>45927</v>
      </c>
      <c r="B1829" s="1" t="s">
        <v>250</v>
      </c>
      <c r="C1829" s="1" t="s">
        <v>19</v>
      </c>
      <c r="D1829" s="1" t="s">
        <v>163</v>
      </c>
      <c r="E1829" s="1" t="s">
        <v>75</v>
      </c>
      <c r="F1829" s="1" t="s">
        <v>76</v>
      </c>
      <c r="G1829" s="4">
        <v>19</v>
      </c>
      <c r="H1829" s="4">
        <v>6162</v>
      </c>
      <c r="I1829" s="6">
        <v>4909.3237449655935</v>
      </c>
      <c r="J1829" s="6">
        <f>表1[[#This Row],[销售金额]]-表1[[#This Row],[退款金额]]</f>
        <v>1252.6762550344065</v>
      </c>
      <c r="K1829" s="1">
        <v>344</v>
      </c>
      <c r="L1829" s="1">
        <v>96</v>
      </c>
    </row>
    <row r="1830" spans="1:12" x14ac:dyDescent="0.3">
      <c r="A1830" s="2">
        <v>45927</v>
      </c>
      <c r="B1830" s="1" t="s">
        <v>250</v>
      </c>
      <c r="C1830" s="1" t="s">
        <v>19</v>
      </c>
      <c r="D1830" s="1" t="s">
        <v>163</v>
      </c>
      <c r="E1830" s="1" t="s">
        <v>75</v>
      </c>
      <c r="F1830" s="1" t="s">
        <v>76</v>
      </c>
      <c r="G1830" s="4">
        <v>19</v>
      </c>
      <c r="H1830" s="4">
        <v>7005</v>
      </c>
      <c r="I1830" s="6">
        <v>4909.3237449655935</v>
      </c>
      <c r="J1830" s="6">
        <f>表1[[#This Row],[销售金额]]-表1[[#This Row],[退款金额]]</f>
        <v>2095.6762550344065</v>
      </c>
      <c r="K1830" s="1">
        <v>344</v>
      </c>
      <c r="L1830" s="1">
        <v>96</v>
      </c>
    </row>
    <row r="1831" spans="1:12" x14ac:dyDescent="0.3">
      <c r="A1831" s="2">
        <v>45927</v>
      </c>
      <c r="B1831" s="1" t="s">
        <v>250</v>
      </c>
      <c r="C1831" s="1" t="s">
        <v>19</v>
      </c>
      <c r="D1831" s="1" t="s">
        <v>163</v>
      </c>
      <c r="E1831" s="1" t="s">
        <v>75</v>
      </c>
      <c r="F1831" s="1" t="s">
        <v>76</v>
      </c>
      <c r="G1831" s="4">
        <v>19</v>
      </c>
      <c r="H1831" s="4">
        <v>8459</v>
      </c>
      <c r="I1831" s="6">
        <v>4909.3237449655935</v>
      </c>
      <c r="J1831" s="6">
        <f>表1[[#This Row],[销售金额]]-表1[[#This Row],[退款金额]]</f>
        <v>3549.6762550344065</v>
      </c>
      <c r="K1831" s="1">
        <v>344</v>
      </c>
      <c r="L1831" s="1">
        <v>96</v>
      </c>
    </row>
    <row r="1832" spans="1:12" x14ac:dyDescent="0.3">
      <c r="A1832" s="2">
        <v>45927</v>
      </c>
      <c r="B1832" s="1" t="s">
        <v>250</v>
      </c>
      <c r="C1832" s="1" t="s">
        <v>19</v>
      </c>
      <c r="D1832" s="1" t="s">
        <v>163</v>
      </c>
      <c r="E1832" s="1" t="s">
        <v>75</v>
      </c>
      <c r="F1832" s="1" t="s">
        <v>76</v>
      </c>
      <c r="G1832" s="4">
        <v>19</v>
      </c>
      <c r="H1832" s="4">
        <v>9594</v>
      </c>
      <c r="I1832" s="6">
        <v>4909.3237449655935</v>
      </c>
      <c r="J1832" s="6">
        <f>表1[[#This Row],[销售金额]]-表1[[#This Row],[退款金额]]</f>
        <v>4684.6762550344065</v>
      </c>
      <c r="K1832" s="1">
        <v>344</v>
      </c>
      <c r="L1832" s="1">
        <v>96</v>
      </c>
    </row>
    <row r="1833" spans="1:12" x14ac:dyDescent="0.3">
      <c r="A1833" s="2">
        <v>45927</v>
      </c>
      <c r="B1833" s="1" t="s">
        <v>250</v>
      </c>
      <c r="C1833" s="1" t="s">
        <v>19</v>
      </c>
      <c r="D1833" s="1" t="s">
        <v>163</v>
      </c>
      <c r="E1833" s="1" t="s">
        <v>75</v>
      </c>
      <c r="F1833" s="1" t="s">
        <v>76</v>
      </c>
      <c r="G1833" s="4">
        <v>19</v>
      </c>
      <c r="H1833" s="4">
        <v>7098</v>
      </c>
      <c r="I1833" s="6">
        <v>4909.3237449655935</v>
      </c>
      <c r="J1833" s="6">
        <f>表1[[#This Row],[销售金额]]-表1[[#This Row],[退款金额]]</f>
        <v>2188.6762550344065</v>
      </c>
      <c r="K1833" s="1">
        <v>344</v>
      </c>
      <c r="L1833" s="1">
        <v>96</v>
      </c>
    </row>
    <row r="1834" spans="1:12" x14ac:dyDescent="0.3">
      <c r="A1834" s="2">
        <v>45927</v>
      </c>
      <c r="B1834" s="1" t="s">
        <v>250</v>
      </c>
      <c r="C1834" s="1" t="s">
        <v>19</v>
      </c>
      <c r="D1834" s="1" t="s">
        <v>163</v>
      </c>
      <c r="E1834" s="1" t="s">
        <v>75</v>
      </c>
      <c r="F1834" s="1" t="s">
        <v>76</v>
      </c>
      <c r="G1834" s="4">
        <v>19</v>
      </c>
      <c r="H1834" s="4">
        <v>5168</v>
      </c>
      <c r="I1834" s="6">
        <v>4909.3237449655935</v>
      </c>
      <c r="J1834" s="6">
        <f>表1[[#This Row],[销售金额]]-表1[[#This Row],[退款金额]]</f>
        <v>258.67625503440649</v>
      </c>
      <c r="K1834" s="1">
        <v>344</v>
      </c>
      <c r="L1834" s="1">
        <v>96</v>
      </c>
    </row>
    <row r="1835" spans="1:12" x14ac:dyDescent="0.3">
      <c r="A1835" s="2">
        <v>45927</v>
      </c>
      <c r="B1835" s="1" t="s">
        <v>250</v>
      </c>
      <c r="C1835" s="1" t="s">
        <v>19</v>
      </c>
      <c r="D1835" s="1" t="s">
        <v>163</v>
      </c>
      <c r="E1835" s="1" t="s">
        <v>75</v>
      </c>
      <c r="F1835" s="1" t="s">
        <v>76</v>
      </c>
      <c r="G1835" s="4">
        <v>19</v>
      </c>
      <c r="H1835" s="4">
        <v>9515</v>
      </c>
      <c r="I1835" s="6">
        <v>4909.3237449655935</v>
      </c>
      <c r="J1835" s="6">
        <f>表1[[#This Row],[销售金额]]-表1[[#This Row],[退款金额]]</f>
        <v>4605.6762550344065</v>
      </c>
      <c r="K1835" s="1">
        <v>344</v>
      </c>
      <c r="L1835" s="1">
        <v>96</v>
      </c>
    </row>
    <row r="1836" spans="1:12" x14ac:dyDescent="0.3">
      <c r="A1836" s="2">
        <v>45927</v>
      </c>
      <c r="B1836" s="1" t="s">
        <v>250</v>
      </c>
      <c r="C1836" s="1" t="s">
        <v>19</v>
      </c>
      <c r="D1836" s="1" t="s">
        <v>163</v>
      </c>
      <c r="E1836" s="1" t="s">
        <v>75</v>
      </c>
      <c r="F1836" s="1" t="s">
        <v>76</v>
      </c>
      <c r="G1836" s="4">
        <v>19</v>
      </c>
      <c r="H1836" s="4">
        <v>6389</v>
      </c>
      <c r="I1836" s="6">
        <v>4909.3237449655935</v>
      </c>
      <c r="J1836" s="6">
        <f>表1[[#This Row],[销售金额]]-表1[[#This Row],[退款金额]]</f>
        <v>1479.6762550344065</v>
      </c>
      <c r="K1836" s="1">
        <v>344</v>
      </c>
      <c r="L1836" s="1">
        <v>96</v>
      </c>
    </row>
    <row r="1837" spans="1:12" x14ac:dyDescent="0.3">
      <c r="A1837" s="2">
        <v>45928</v>
      </c>
      <c r="B1837" s="1" t="s">
        <v>15</v>
      </c>
      <c r="C1837" s="1" t="s">
        <v>10</v>
      </c>
      <c r="D1837" s="1" t="s">
        <v>12</v>
      </c>
      <c r="E1837" s="1" t="s">
        <v>13</v>
      </c>
      <c r="F1837" s="1" t="s">
        <v>14</v>
      </c>
      <c r="G1837" s="4">
        <v>6</v>
      </c>
      <c r="H1837" s="4">
        <v>9654</v>
      </c>
      <c r="I1837" s="6">
        <v>6878.9929182348587</v>
      </c>
      <c r="J1837" s="6">
        <f>表1[[#This Row],[销售金额]]-表1[[#This Row],[退款金额]]</f>
        <v>2775.0070817651413</v>
      </c>
      <c r="K1837" s="1">
        <v>975</v>
      </c>
      <c r="L1837" s="1">
        <v>802</v>
      </c>
    </row>
    <row r="1838" spans="1:12" x14ac:dyDescent="0.3">
      <c r="A1838" s="2">
        <v>45928</v>
      </c>
      <c r="B1838" s="1" t="s">
        <v>15</v>
      </c>
      <c r="C1838" s="1" t="s">
        <v>10</v>
      </c>
      <c r="D1838" s="1" t="s">
        <v>12</v>
      </c>
      <c r="E1838" s="1" t="s">
        <v>13</v>
      </c>
      <c r="F1838" s="1" t="s">
        <v>14</v>
      </c>
      <c r="G1838" s="4">
        <v>6</v>
      </c>
      <c r="H1838" s="4">
        <v>10845</v>
      </c>
      <c r="I1838" s="6">
        <v>6878.9929182348587</v>
      </c>
      <c r="J1838" s="6">
        <f>表1[[#This Row],[销售金额]]-表1[[#This Row],[退款金额]]</f>
        <v>3966.0070817651413</v>
      </c>
      <c r="K1838" s="1">
        <v>975</v>
      </c>
      <c r="L1838" s="1">
        <v>802</v>
      </c>
    </row>
    <row r="1839" spans="1:12" x14ac:dyDescent="0.3">
      <c r="A1839" s="2">
        <v>45928</v>
      </c>
      <c r="B1839" s="1" t="s">
        <v>15</v>
      </c>
      <c r="C1839" s="1" t="s">
        <v>10</v>
      </c>
      <c r="D1839" s="1" t="s">
        <v>12</v>
      </c>
      <c r="E1839" s="1" t="s">
        <v>13</v>
      </c>
      <c r="F1839" s="1" t="s">
        <v>14</v>
      </c>
      <c r="G1839" s="4">
        <v>6</v>
      </c>
      <c r="H1839" s="4">
        <v>10672</v>
      </c>
      <c r="I1839" s="6">
        <v>6878.9929182348587</v>
      </c>
      <c r="J1839" s="6">
        <f>表1[[#This Row],[销售金额]]-表1[[#This Row],[退款金额]]</f>
        <v>3793.0070817651413</v>
      </c>
      <c r="K1839" s="1">
        <v>975</v>
      </c>
      <c r="L1839" s="1">
        <v>802</v>
      </c>
    </row>
    <row r="1840" spans="1:12" x14ac:dyDescent="0.3">
      <c r="A1840" s="2">
        <v>45928</v>
      </c>
      <c r="B1840" s="1" t="s">
        <v>15</v>
      </c>
      <c r="C1840" s="1" t="s">
        <v>10</v>
      </c>
      <c r="D1840" s="1" t="s">
        <v>12</v>
      </c>
      <c r="E1840" s="1" t="s">
        <v>13</v>
      </c>
      <c r="F1840" s="1" t="s">
        <v>14</v>
      </c>
      <c r="G1840" s="4">
        <v>6</v>
      </c>
      <c r="H1840" s="4">
        <v>11458</v>
      </c>
      <c r="I1840" s="6">
        <v>6878.9929182348587</v>
      </c>
      <c r="J1840" s="6">
        <f>表1[[#This Row],[销售金额]]-表1[[#This Row],[退款金额]]</f>
        <v>4579.0070817651413</v>
      </c>
      <c r="K1840" s="1">
        <v>975</v>
      </c>
      <c r="L1840" s="1">
        <v>802</v>
      </c>
    </row>
    <row r="1841" spans="1:12" x14ac:dyDescent="0.3">
      <c r="A1841" s="2">
        <v>45928</v>
      </c>
      <c r="B1841" s="1" t="s">
        <v>15</v>
      </c>
      <c r="C1841" s="1" t="s">
        <v>10</v>
      </c>
      <c r="D1841" s="1" t="s">
        <v>12</v>
      </c>
      <c r="E1841" s="1" t="s">
        <v>13</v>
      </c>
      <c r="F1841" s="1" t="s">
        <v>14</v>
      </c>
      <c r="G1841" s="4">
        <v>6</v>
      </c>
      <c r="H1841" s="4">
        <v>8116</v>
      </c>
      <c r="I1841" s="6">
        <v>6878.9929182348587</v>
      </c>
      <c r="J1841" s="6">
        <f>表1[[#This Row],[销售金额]]-表1[[#This Row],[退款金额]]</f>
        <v>1237.0070817651413</v>
      </c>
      <c r="K1841" s="1">
        <v>975</v>
      </c>
      <c r="L1841" s="1">
        <v>802</v>
      </c>
    </row>
    <row r="1842" spans="1:12" x14ac:dyDescent="0.3">
      <c r="A1842" s="2">
        <v>45928</v>
      </c>
      <c r="B1842" s="1" t="s">
        <v>15</v>
      </c>
      <c r="C1842" s="1" t="s">
        <v>10</v>
      </c>
      <c r="D1842" s="1" t="s">
        <v>12</v>
      </c>
      <c r="E1842" s="1" t="s">
        <v>13</v>
      </c>
      <c r="F1842" s="1" t="s">
        <v>14</v>
      </c>
      <c r="G1842" s="4">
        <v>6</v>
      </c>
      <c r="H1842" s="4">
        <v>7236</v>
      </c>
      <c r="I1842" s="6">
        <v>6878.9929182348587</v>
      </c>
      <c r="J1842" s="6">
        <f>表1[[#This Row],[销售金额]]-表1[[#This Row],[退款金额]]</f>
        <v>357.00708176514127</v>
      </c>
      <c r="K1842" s="1">
        <v>975</v>
      </c>
      <c r="L1842" s="1">
        <v>802</v>
      </c>
    </row>
    <row r="1843" spans="1:12" x14ac:dyDescent="0.3">
      <c r="A1843" s="2">
        <v>45928</v>
      </c>
      <c r="B1843" s="1" t="s">
        <v>15</v>
      </c>
      <c r="C1843" s="1" t="s">
        <v>10</v>
      </c>
      <c r="D1843" s="1" t="s">
        <v>12</v>
      </c>
      <c r="E1843" s="1" t="s">
        <v>13</v>
      </c>
      <c r="F1843" s="1" t="s">
        <v>14</v>
      </c>
      <c r="G1843" s="4">
        <v>6</v>
      </c>
      <c r="H1843" s="4">
        <v>11198</v>
      </c>
      <c r="I1843" s="6">
        <v>6878.9929182348587</v>
      </c>
      <c r="J1843" s="6">
        <f>表1[[#This Row],[销售金额]]-表1[[#This Row],[退款金额]]</f>
        <v>4319.0070817651413</v>
      </c>
      <c r="K1843" s="1">
        <v>975</v>
      </c>
      <c r="L1843" s="1">
        <v>802</v>
      </c>
    </row>
    <row r="1844" spans="1:12" x14ac:dyDescent="0.3">
      <c r="A1844" s="2">
        <v>45928</v>
      </c>
      <c r="B1844" s="1" t="s">
        <v>15</v>
      </c>
      <c r="C1844" s="1" t="s">
        <v>10</v>
      </c>
      <c r="D1844" s="1" t="s">
        <v>12</v>
      </c>
      <c r="E1844" s="1" t="s">
        <v>13</v>
      </c>
      <c r="F1844" s="1" t="s">
        <v>14</v>
      </c>
      <c r="G1844" s="4">
        <v>6</v>
      </c>
      <c r="H1844" s="4">
        <v>8414</v>
      </c>
      <c r="I1844" s="6">
        <v>6878.9929182348587</v>
      </c>
      <c r="J1844" s="6">
        <f>表1[[#This Row],[销售金额]]-表1[[#This Row],[退款金额]]</f>
        <v>1535.0070817651413</v>
      </c>
      <c r="K1844" s="1">
        <v>975</v>
      </c>
      <c r="L1844" s="1">
        <v>802</v>
      </c>
    </row>
    <row r="1845" spans="1:12" x14ac:dyDescent="0.3">
      <c r="A1845" s="2">
        <v>45928</v>
      </c>
      <c r="B1845" s="1" t="s">
        <v>15</v>
      </c>
      <c r="C1845" s="1" t="s">
        <v>10</v>
      </c>
      <c r="D1845" s="1" t="s">
        <v>12</v>
      </c>
      <c r="E1845" s="1" t="s">
        <v>13</v>
      </c>
      <c r="F1845" s="1" t="s">
        <v>14</v>
      </c>
      <c r="G1845" s="4">
        <v>6</v>
      </c>
      <c r="H1845" s="4">
        <v>10058</v>
      </c>
      <c r="I1845" s="6">
        <v>6878.9929182348587</v>
      </c>
      <c r="J1845" s="6">
        <f>表1[[#This Row],[销售金额]]-表1[[#This Row],[退款金额]]</f>
        <v>3179.0070817651413</v>
      </c>
      <c r="K1845" s="1">
        <v>975</v>
      </c>
      <c r="L1845" s="1">
        <v>802</v>
      </c>
    </row>
    <row r="1846" spans="1:12" x14ac:dyDescent="0.3">
      <c r="A1846" s="2">
        <v>45928</v>
      </c>
      <c r="B1846" s="1" t="s">
        <v>15</v>
      </c>
      <c r="C1846" s="1" t="s">
        <v>10</v>
      </c>
      <c r="D1846" s="1" t="s">
        <v>186</v>
      </c>
      <c r="E1846" s="1" t="s">
        <v>42</v>
      </c>
      <c r="F1846" s="1" t="s">
        <v>43</v>
      </c>
      <c r="G1846" s="4">
        <v>9</v>
      </c>
      <c r="H1846" s="4">
        <v>35123</v>
      </c>
      <c r="I1846" s="6">
        <v>31097.63859562001</v>
      </c>
      <c r="J1846" s="6">
        <f>表1[[#This Row],[销售金额]]-表1[[#This Row],[退款金额]]</f>
        <v>4025.3614043799898</v>
      </c>
      <c r="K1846" s="1">
        <v>509</v>
      </c>
      <c r="L1846" s="1">
        <v>476</v>
      </c>
    </row>
    <row r="1847" spans="1:12" x14ac:dyDescent="0.3">
      <c r="A1847" s="2">
        <v>45928</v>
      </c>
      <c r="B1847" s="1" t="s">
        <v>15</v>
      </c>
      <c r="C1847" s="1" t="s">
        <v>10</v>
      </c>
      <c r="D1847" s="1" t="s">
        <v>186</v>
      </c>
      <c r="E1847" s="1" t="s">
        <v>42</v>
      </c>
      <c r="F1847" s="1" t="s">
        <v>43</v>
      </c>
      <c r="G1847" s="4">
        <v>9</v>
      </c>
      <c r="H1847" s="4">
        <v>32754</v>
      </c>
      <c r="I1847" s="6">
        <v>31097.63859562001</v>
      </c>
      <c r="J1847" s="6">
        <f>表1[[#This Row],[销售金额]]-表1[[#This Row],[退款金额]]</f>
        <v>1656.3614043799898</v>
      </c>
      <c r="K1847" s="1">
        <v>509</v>
      </c>
      <c r="L1847" s="1">
        <v>476</v>
      </c>
    </row>
    <row r="1848" spans="1:12" x14ac:dyDescent="0.3">
      <c r="A1848" s="2">
        <v>45928</v>
      </c>
      <c r="B1848" s="1" t="s">
        <v>15</v>
      </c>
      <c r="C1848" s="1" t="s">
        <v>10</v>
      </c>
      <c r="D1848" s="1" t="s">
        <v>186</v>
      </c>
      <c r="E1848" s="1" t="s">
        <v>42</v>
      </c>
      <c r="F1848" s="1" t="s">
        <v>43</v>
      </c>
      <c r="G1848" s="4">
        <v>9</v>
      </c>
      <c r="H1848" s="4">
        <v>31864</v>
      </c>
      <c r="I1848" s="6">
        <v>31097.63859562001</v>
      </c>
      <c r="J1848" s="6">
        <f>表1[[#This Row],[销售金额]]-表1[[#This Row],[退款金额]]</f>
        <v>766.36140437998984</v>
      </c>
      <c r="K1848" s="1">
        <v>509</v>
      </c>
      <c r="L1848" s="1">
        <v>476</v>
      </c>
    </row>
    <row r="1849" spans="1:12" x14ac:dyDescent="0.3">
      <c r="A1849" s="2">
        <v>45928</v>
      </c>
      <c r="B1849" s="1" t="s">
        <v>15</v>
      </c>
      <c r="C1849" s="1" t="s">
        <v>10</v>
      </c>
      <c r="D1849" s="1" t="s">
        <v>186</v>
      </c>
      <c r="E1849" s="1" t="s">
        <v>42</v>
      </c>
      <c r="F1849" s="1" t="s">
        <v>43</v>
      </c>
      <c r="G1849" s="4">
        <v>9</v>
      </c>
      <c r="H1849" s="4">
        <v>33635</v>
      </c>
      <c r="I1849" s="6">
        <v>31097.63859562001</v>
      </c>
      <c r="J1849" s="6">
        <f>表1[[#This Row],[销售金额]]-表1[[#This Row],[退款金额]]</f>
        <v>2537.3614043799898</v>
      </c>
      <c r="K1849" s="1">
        <v>509</v>
      </c>
      <c r="L1849" s="1">
        <v>476</v>
      </c>
    </row>
    <row r="1850" spans="1:12" x14ac:dyDescent="0.3">
      <c r="A1850" s="2">
        <v>45928</v>
      </c>
      <c r="B1850" s="1" t="s">
        <v>15</v>
      </c>
      <c r="C1850" s="1" t="s">
        <v>10</v>
      </c>
      <c r="D1850" s="1" t="s">
        <v>186</v>
      </c>
      <c r="E1850" s="1" t="s">
        <v>42</v>
      </c>
      <c r="F1850" s="1" t="s">
        <v>43</v>
      </c>
      <c r="G1850" s="4">
        <v>9</v>
      </c>
      <c r="H1850" s="4">
        <v>31831</v>
      </c>
      <c r="I1850" s="6">
        <v>31097.63859562001</v>
      </c>
      <c r="J1850" s="6">
        <f>表1[[#This Row],[销售金额]]-表1[[#This Row],[退款金额]]</f>
        <v>733.36140437998984</v>
      </c>
      <c r="K1850" s="1">
        <v>509</v>
      </c>
      <c r="L1850" s="1">
        <v>476</v>
      </c>
    </row>
    <row r="1851" spans="1:12" x14ac:dyDescent="0.3">
      <c r="A1851" s="2">
        <v>45928</v>
      </c>
      <c r="B1851" s="1" t="s">
        <v>15</v>
      </c>
      <c r="C1851" s="1" t="s">
        <v>10</v>
      </c>
      <c r="D1851" s="1" t="s">
        <v>186</v>
      </c>
      <c r="E1851" s="1" t="s">
        <v>42</v>
      </c>
      <c r="F1851" s="1" t="s">
        <v>43</v>
      </c>
      <c r="G1851" s="4">
        <v>9</v>
      </c>
      <c r="H1851" s="4">
        <v>33191</v>
      </c>
      <c r="I1851" s="6">
        <v>31097.63859562001</v>
      </c>
      <c r="J1851" s="6">
        <f>表1[[#This Row],[销售金额]]-表1[[#This Row],[退款金额]]</f>
        <v>2093.3614043799898</v>
      </c>
      <c r="K1851" s="1">
        <v>509</v>
      </c>
      <c r="L1851" s="1">
        <v>476</v>
      </c>
    </row>
    <row r="1852" spans="1:12" x14ac:dyDescent="0.3">
      <c r="A1852" s="2">
        <v>45928</v>
      </c>
      <c r="B1852" s="1" t="s">
        <v>15</v>
      </c>
      <c r="C1852" s="1" t="s">
        <v>10</v>
      </c>
      <c r="D1852" s="1" t="s">
        <v>186</v>
      </c>
      <c r="E1852" s="1" t="s">
        <v>42</v>
      </c>
      <c r="F1852" s="1" t="s">
        <v>43</v>
      </c>
      <c r="G1852" s="4">
        <v>9</v>
      </c>
      <c r="H1852" s="4">
        <v>33263</v>
      </c>
      <c r="I1852" s="6">
        <v>31097.63859562001</v>
      </c>
      <c r="J1852" s="6">
        <f>表1[[#This Row],[销售金额]]-表1[[#This Row],[退款金额]]</f>
        <v>2165.3614043799898</v>
      </c>
      <c r="K1852" s="1">
        <v>509</v>
      </c>
      <c r="L1852" s="1">
        <v>476</v>
      </c>
    </row>
    <row r="1853" spans="1:12" x14ac:dyDescent="0.3">
      <c r="A1853" s="2">
        <v>45928</v>
      </c>
      <c r="B1853" s="1" t="s">
        <v>15</v>
      </c>
      <c r="C1853" s="1" t="s">
        <v>10</v>
      </c>
      <c r="D1853" s="1" t="s">
        <v>186</v>
      </c>
      <c r="E1853" s="1" t="s">
        <v>42</v>
      </c>
      <c r="F1853" s="1" t="s">
        <v>43</v>
      </c>
      <c r="G1853" s="4">
        <v>9</v>
      </c>
      <c r="H1853" s="4">
        <v>33147</v>
      </c>
      <c r="I1853" s="6">
        <v>31097.63859562001</v>
      </c>
      <c r="J1853" s="6">
        <f>表1[[#This Row],[销售金额]]-表1[[#This Row],[退款金额]]</f>
        <v>2049.3614043799898</v>
      </c>
      <c r="K1853" s="1">
        <v>509</v>
      </c>
      <c r="L1853" s="1">
        <v>476</v>
      </c>
    </row>
    <row r="1854" spans="1:12" x14ac:dyDescent="0.3">
      <c r="A1854" s="2">
        <v>45928</v>
      </c>
      <c r="B1854" s="1" t="s">
        <v>15</v>
      </c>
      <c r="C1854" s="1" t="s">
        <v>10</v>
      </c>
      <c r="D1854" s="1" t="s">
        <v>186</v>
      </c>
      <c r="E1854" s="1" t="s">
        <v>42</v>
      </c>
      <c r="F1854" s="1" t="s">
        <v>43</v>
      </c>
      <c r="G1854" s="4">
        <v>9</v>
      </c>
      <c r="H1854" s="4">
        <v>32186</v>
      </c>
      <c r="I1854" s="6">
        <v>31097.63859562001</v>
      </c>
      <c r="J1854" s="6">
        <f>表1[[#This Row],[销售金额]]-表1[[#This Row],[退款金额]]</f>
        <v>1088.3614043799898</v>
      </c>
      <c r="K1854" s="1">
        <v>509</v>
      </c>
      <c r="L1854" s="1">
        <v>476</v>
      </c>
    </row>
    <row r="1855" spans="1:12" x14ac:dyDescent="0.3">
      <c r="A1855" s="2">
        <v>45928</v>
      </c>
      <c r="B1855" s="1" t="s">
        <v>25</v>
      </c>
      <c r="C1855" s="1" t="s">
        <v>32</v>
      </c>
      <c r="D1855" s="1" t="s">
        <v>154</v>
      </c>
      <c r="E1855" s="1" t="s">
        <v>38</v>
      </c>
      <c r="F1855" s="1" t="s">
        <v>39</v>
      </c>
      <c r="G1855" s="4">
        <v>12</v>
      </c>
      <c r="H1855" s="4">
        <v>9659</v>
      </c>
      <c r="I1855" s="6">
        <v>5332.9987295818109</v>
      </c>
      <c r="J1855" s="6">
        <f>表1[[#This Row],[销售金额]]-表1[[#This Row],[退款金额]]</f>
        <v>4326.0012704181891</v>
      </c>
      <c r="K1855" s="1">
        <v>915</v>
      </c>
      <c r="L1855" s="1">
        <v>841</v>
      </c>
    </row>
    <row r="1856" spans="1:12" x14ac:dyDescent="0.3">
      <c r="A1856" s="2">
        <v>45928</v>
      </c>
      <c r="B1856" s="1" t="s">
        <v>25</v>
      </c>
      <c r="C1856" s="1" t="s">
        <v>32</v>
      </c>
      <c r="D1856" s="1" t="s">
        <v>154</v>
      </c>
      <c r="E1856" s="1" t="s">
        <v>38</v>
      </c>
      <c r="F1856" s="1" t="s">
        <v>39</v>
      </c>
      <c r="G1856" s="4">
        <v>12</v>
      </c>
      <c r="H1856" s="4">
        <v>6828</v>
      </c>
      <c r="I1856" s="6">
        <v>5332.9987295818109</v>
      </c>
      <c r="J1856" s="6">
        <f>表1[[#This Row],[销售金额]]-表1[[#This Row],[退款金额]]</f>
        <v>1495.0012704181891</v>
      </c>
      <c r="K1856" s="1">
        <v>915</v>
      </c>
      <c r="L1856" s="1">
        <v>841</v>
      </c>
    </row>
    <row r="1857" spans="1:12" x14ac:dyDescent="0.3">
      <c r="A1857" s="2">
        <v>45928</v>
      </c>
      <c r="B1857" s="1" t="s">
        <v>25</v>
      </c>
      <c r="C1857" s="1" t="s">
        <v>32</v>
      </c>
      <c r="D1857" s="1" t="s">
        <v>154</v>
      </c>
      <c r="E1857" s="1" t="s">
        <v>38</v>
      </c>
      <c r="F1857" s="1" t="s">
        <v>39</v>
      </c>
      <c r="G1857" s="4">
        <v>12</v>
      </c>
      <c r="H1857" s="4">
        <v>7223</v>
      </c>
      <c r="I1857" s="6">
        <v>5332.9987295818109</v>
      </c>
      <c r="J1857" s="6">
        <f>表1[[#This Row],[销售金额]]-表1[[#This Row],[退款金额]]</f>
        <v>1890.0012704181891</v>
      </c>
      <c r="K1857" s="1">
        <v>915</v>
      </c>
      <c r="L1857" s="1">
        <v>841</v>
      </c>
    </row>
    <row r="1858" spans="1:12" x14ac:dyDescent="0.3">
      <c r="A1858" s="2">
        <v>45928</v>
      </c>
      <c r="B1858" s="1" t="s">
        <v>25</v>
      </c>
      <c r="C1858" s="1" t="s">
        <v>32</v>
      </c>
      <c r="D1858" s="1" t="s">
        <v>154</v>
      </c>
      <c r="E1858" s="1" t="s">
        <v>38</v>
      </c>
      <c r="F1858" s="1" t="s">
        <v>39</v>
      </c>
      <c r="G1858" s="4">
        <v>12</v>
      </c>
      <c r="H1858" s="4">
        <v>9939</v>
      </c>
      <c r="I1858" s="6">
        <v>5332.9987295818109</v>
      </c>
      <c r="J1858" s="6">
        <f>表1[[#This Row],[销售金额]]-表1[[#This Row],[退款金额]]</f>
        <v>4606.0012704181891</v>
      </c>
      <c r="K1858" s="1">
        <v>915</v>
      </c>
      <c r="L1858" s="1">
        <v>841</v>
      </c>
    </row>
    <row r="1859" spans="1:12" x14ac:dyDescent="0.3">
      <c r="A1859" s="2">
        <v>45928</v>
      </c>
      <c r="B1859" s="1" t="s">
        <v>25</v>
      </c>
      <c r="C1859" s="1" t="s">
        <v>32</v>
      </c>
      <c r="D1859" s="1" t="s">
        <v>154</v>
      </c>
      <c r="E1859" s="1" t="s">
        <v>38</v>
      </c>
      <c r="F1859" s="1" t="s">
        <v>39</v>
      </c>
      <c r="G1859" s="4">
        <v>12</v>
      </c>
      <c r="H1859" s="4">
        <v>6211</v>
      </c>
      <c r="I1859" s="6">
        <v>5332.9987295818109</v>
      </c>
      <c r="J1859" s="6">
        <f>表1[[#This Row],[销售金额]]-表1[[#This Row],[退款金额]]</f>
        <v>878.00127041818905</v>
      </c>
      <c r="K1859" s="1">
        <v>915</v>
      </c>
      <c r="L1859" s="1">
        <v>841</v>
      </c>
    </row>
    <row r="1860" spans="1:12" x14ac:dyDescent="0.3">
      <c r="A1860" s="2">
        <v>45928</v>
      </c>
      <c r="B1860" s="1" t="s">
        <v>25</v>
      </c>
      <c r="C1860" s="1" t="s">
        <v>32</v>
      </c>
      <c r="D1860" s="1" t="s">
        <v>154</v>
      </c>
      <c r="E1860" s="1" t="s">
        <v>38</v>
      </c>
      <c r="F1860" s="1" t="s">
        <v>39</v>
      </c>
      <c r="G1860" s="4">
        <v>12</v>
      </c>
      <c r="H1860" s="4">
        <v>7418</v>
      </c>
      <c r="I1860" s="6">
        <v>5332.9987295818109</v>
      </c>
      <c r="J1860" s="6">
        <f>表1[[#This Row],[销售金额]]-表1[[#This Row],[退款金额]]</f>
        <v>2085.0012704181891</v>
      </c>
      <c r="K1860" s="1">
        <v>915</v>
      </c>
      <c r="L1860" s="1">
        <v>841</v>
      </c>
    </row>
    <row r="1861" spans="1:12" x14ac:dyDescent="0.3">
      <c r="A1861" s="2">
        <v>45928</v>
      </c>
      <c r="B1861" s="1" t="s">
        <v>25</v>
      </c>
      <c r="C1861" s="1" t="s">
        <v>32</v>
      </c>
      <c r="D1861" s="1" t="s">
        <v>154</v>
      </c>
      <c r="E1861" s="1" t="s">
        <v>38</v>
      </c>
      <c r="F1861" s="1" t="s">
        <v>39</v>
      </c>
      <c r="G1861" s="4">
        <v>12</v>
      </c>
      <c r="H1861" s="4">
        <v>7980</v>
      </c>
      <c r="I1861" s="6">
        <v>5332.9987295818109</v>
      </c>
      <c r="J1861" s="6">
        <f>表1[[#This Row],[销售金额]]-表1[[#This Row],[退款金额]]</f>
        <v>2647.0012704181891</v>
      </c>
      <c r="K1861" s="1">
        <v>915</v>
      </c>
      <c r="L1861" s="1">
        <v>841</v>
      </c>
    </row>
    <row r="1862" spans="1:12" x14ac:dyDescent="0.3">
      <c r="A1862" s="2">
        <v>45928</v>
      </c>
      <c r="B1862" s="1" t="s">
        <v>25</v>
      </c>
      <c r="C1862" s="1" t="s">
        <v>32</v>
      </c>
      <c r="D1862" s="1" t="s">
        <v>154</v>
      </c>
      <c r="E1862" s="1" t="s">
        <v>38</v>
      </c>
      <c r="F1862" s="1" t="s">
        <v>39</v>
      </c>
      <c r="G1862" s="4">
        <v>12</v>
      </c>
      <c r="H1862" s="4">
        <v>5549</v>
      </c>
      <c r="I1862" s="6">
        <v>5332.9987295818109</v>
      </c>
      <c r="J1862" s="6">
        <f>表1[[#This Row],[销售金额]]-表1[[#This Row],[退款金额]]</f>
        <v>216.00127041818905</v>
      </c>
      <c r="K1862" s="1">
        <v>915</v>
      </c>
      <c r="L1862" s="1">
        <v>841</v>
      </c>
    </row>
    <row r="1863" spans="1:12" x14ac:dyDescent="0.3">
      <c r="A1863" s="2">
        <v>45928</v>
      </c>
      <c r="B1863" s="1" t="s">
        <v>25</v>
      </c>
      <c r="C1863" s="1" t="s">
        <v>32</v>
      </c>
      <c r="D1863" s="1" t="s">
        <v>154</v>
      </c>
      <c r="E1863" s="1" t="s">
        <v>38</v>
      </c>
      <c r="F1863" s="1" t="s">
        <v>39</v>
      </c>
      <c r="G1863" s="4">
        <v>12</v>
      </c>
      <c r="H1863" s="4">
        <v>9335</v>
      </c>
      <c r="I1863" s="6">
        <v>5332.9987295818109</v>
      </c>
      <c r="J1863" s="6">
        <f>表1[[#This Row],[销售金额]]-表1[[#This Row],[退款金额]]</f>
        <v>4002.0012704181891</v>
      </c>
      <c r="K1863" s="1">
        <v>915</v>
      </c>
      <c r="L1863" s="1">
        <v>841</v>
      </c>
    </row>
    <row r="1864" spans="1:12" x14ac:dyDescent="0.3">
      <c r="A1864" s="2">
        <v>45928</v>
      </c>
      <c r="B1864" s="1" t="s">
        <v>247</v>
      </c>
      <c r="C1864" s="1" t="s">
        <v>19</v>
      </c>
      <c r="D1864" s="1" t="s">
        <v>49</v>
      </c>
      <c r="E1864" s="1" t="s">
        <v>21</v>
      </c>
      <c r="F1864" s="1" t="s">
        <v>22</v>
      </c>
      <c r="G1864" s="4">
        <v>14</v>
      </c>
      <c r="H1864" s="4">
        <v>3290</v>
      </c>
      <c r="I1864" s="6">
        <v>890.96071821870419</v>
      </c>
      <c r="J1864" s="6">
        <f>表1[[#This Row],[销售金额]]-表1[[#This Row],[退款金额]]</f>
        <v>2399.0392817812958</v>
      </c>
      <c r="K1864" s="1">
        <v>787</v>
      </c>
      <c r="L1864" s="1">
        <v>678</v>
      </c>
    </row>
    <row r="1865" spans="1:12" x14ac:dyDescent="0.3">
      <c r="A1865" s="2">
        <v>45928</v>
      </c>
      <c r="B1865" s="1" t="s">
        <v>247</v>
      </c>
      <c r="C1865" s="1" t="s">
        <v>19</v>
      </c>
      <c r="D1865" s="1" t="s">
        <v>49</v>
      </c>
      <c r="E1865" s="1" t="s">
        <v>21</v>
      </c>
      <c r="F1865" s="1" t="s">
        <v>22</v>
      </c>
      <c r="G1865" s="4">
        <v>14</v>
      </c>
      <c r="H1865" s="4">
        <v>5240</v>
      </c>
      <c r="I1865" s="6">
        <v>890.96071821870419</v>
      </c>
      <c r="J1865" s="6">
        <f>表1[[#This Row],[销售金额]]-表1[[#This Row],[退款金额]]</f>
        <v>4349.0392817812954</v>
      </c>
      <c r="K1865" s="1">
        <v>787</v>
      </c>
      <c r="L1865" s="1">
        <v>678</v>
      </c>
    </row>
    <row r="1866" spans="1:12" x14ac:dyDescent="0.3">
      <c r="A1866" s="2">
        <v>45928</v>
      </c>
      <c r="B1866" s="1" t="s">
        <v>247</v>
      </c>
      <c r="C1866" s="1" t="s">
        <v>19</v>
      </c>
      <c r="D1866" s="1" t="s">
        <v>49</v>
      </c>
      <c r="E1866" s="1" t="s">
        <v>21</v>
      </c>
      <c r="F1866" s="1" t="s">
        <v>22</v>
      </c>
      <c r="G1866" s="4">
        <v>14</v>
      </c>
      <c r="H1866" s="4">
        <v>5210</v>
      </c>
      <c r="I1866" s="6">
        <v>890.96071821870419</v>
      </c>
      <c r="J1866" s="6">
        <f>表1[[#This Row],[销售金额]]-表1[[#This Row],[退款金额]]</f>
        <v>4319.0392817812954</v>
      </c>
      <c r="K1866" s="1">
        <v>787</v>
      </c>
      <c r="L1866" s="1">
        <v>678</v>
      </c>
    </row>
    <row r="1867" spans="1:12" x14ac:dyDescent="0.3">
      <c r="A1867" s="2">
        <v>45928</v>
      </c>
      <c r="B1867" s="1" t="s">
        <v>247</v>
      </c>
      <c r="C1867" s="1" t="s">
        <v>19</v>
      </c>
      <c r="D1867" s="1" t="s">
        <v>49</v>
      </c>
      <c r="E1867" s="1" t="s">
        <v>21</v>
      </c>
      <c r="F1867" s="1" t="s">
        <v>22</v>
      </c>
      <c r="G1867" s="4">
        <v>14</v>
      </c>
      <c r="H1867" s="4">
        <v>987</v>
      </c>
      <c r="I1867" s="6">
        <v>890.96071821870419</v>
      </c>
      <c r="J1867" s="6">
        <f>表1[[#This Row],[销售金额]]-表1[[#This Row],[退款金额]]</f>
        <v>96.039281781295813</v>
      </c>
      <c r="K1867" s="1">
        <v>787</v>
      </c>
      <c r="L1867" s="1">
        <v>678</v>
      </c>
    </row>
    <row r="1868" spans="1:12" x14ac:dyDescent="0.3">
      <c r="A1868" s="2">
        <v>45928</v>
      </c>
      <c r="B1868" s="1" t="s">
        <v>247</v>
      </c>
      <c r="C1868" s="1" t="s">
        <v>19</v>
      </c>
      <c r="D1868" s="1" t="s">
        <v>49</v>
      </c>
      <c r="E1868" s="1" t="s">
        <v>21</v>
      </c>
      <c r="F1868" s="1" t="s">
        <v>22</v>
      </c>
      <c r="G1868" s="4">
        <v>14</v>
      </c>
      <c r="H1868" s="4">
        <v>1302</v>
      </c>
      <c r="I1868" s="6">
        <v>890.96071821870419</v>
      </c>
      <c r="J1868" s="6">
        <f>表1[[#This Row],[销售金额]]-表1[[#This Row],[退款金额]]</f>
        <v>411.03928178129581</v>
      </c>
      <c r="K1868" s="1">
        <v>787</v>
      </c>
      <c r="L1868" s="1">
        <v>678</v>
      </c>
    </row>
    <row r="1869" spans="1:12" x14ac:dyDescent="0.3">
      <c r="A1869" s="2">
        <v>45928</v>
      </c>
      <c r="B1869" s="1" t="s">
        <v>247</v>
      </c>
      <c r="C1869" s="1" t="s">
        <v>19</v>
      </c>
      <c r="D1869" s="1" t="s">
        <v>49</v>
      </c>
      <c r="E1869" s="1" t="s">
        <v>21</v>
      </c>
      <c r="F1869" s="1" t="s">
        <v>22</v>
      </c>
      <c r="G1869" s="4">
        <v>14</v>
      </c>
      <c r="H1869" s="4">
        <v>5761</v>
      </c>
      <c r="I1869" s="6">
        <v>890.96071821870419</v>
      </c>
      <c r="J1869" s="6">
        <f>表1[[#This Row],[销售金额]]-表1[[#This Row],[退款金额]]</f>
        <v>4870.0392817812954</v>
      </c>
      <c r="K1869" s="1">
        <v>787</v>
      </c>
      <c r="L1869" s="1">
        <v>678</v>
      </c>
    </row>
    <row r="1870" spans="1:12" x14ac:dyDescent="0.3">
      <c r="A1870" s="2">
        <v>45928</v>
      </c>
      <c r="B1870" s="1" t="s">
        <v>247</v>
      </c>
      <c r="C1870" s="1" t="s">
        <v>19</v>
      </c>
      <c r="D1870" s="1" t="s">
        <v>49</v>
      </c>
      <c r="E1870" s="1" t="s">
        <v>21</v>
      </c>
      <c r="F1870" s="1" t="s">
        <v>22</v>
      </c>
      <c r="G1870" s="4">
        <v>14</v>
      </c>
      <c r="H1870" s="4">
        <v>4515</v>
      </c>
      <c r="I1870" s="6">
        <v>890.96071821870419</v>
      </c>
      <c r="J1870" s="6">
        <f>表1[[#This Row],[销售金额]]-表1[[#This Row],[退款金额]]</f>
        <v>3624.0392817812958</v>
      </c>
      <c r="K1870" s="1">
        <v>787</v>
      </c>
      <c r="L1870" s="1">
        <v>678</v>
      </c>
    </row>
    <row r="1871" spans="1:12" x14ac:dyDescent="0.3">
      <c r="A1871" s="2">
        <v>45928</v>
      </c>
      <c r="B1871" s="1" t="s">
        <v>247</v>
      </c>
      <c r="C1871" s="1" t="s">
        <v>19</v>
      </c>
      <c r="D1871" s="1" t="s">
        <v>49</v>
      </c>
      <c r="E1871" s="1" t="s">
        <v>21</v>
      </c>
      <c r="F1871" s="1" t="s">
        <v>22</v>
      </c>
      <c r="G1871" s="4">
        <v>14</v>
      </c>
      <c r="H1871" s="4">
        <v>5867</v>
      </c>
      <c r="I1871" s="6">
        <v>890.96071821870419</v>
      </c>
      <c r="J1871" s="6">
        <f>表1[[#This Row],[销售金额]]-表1[[#This Row],[退款金额]]</f>
        <v>4976.0392817812954</v>
      </c>
      <c r="K1871" s="1">
        <v>787</v>
      </c>
      <c r="L1871" s="1">
        <v>678</v>
      </c>
    </row>
    <row r="1872" spans="1:12" x14ac:dyDescent="0.3">
      <c r="A1872" s="2">
        <v>45928</v>
      </c>
      <c r="B1872" s="1" t="s">
        <v>250</v>
      </c>
      <c r="C1872" s="1" t="s">
        <v>10</v>
      </c>
      <c r="D1872" s="1" t="s">
        <v>48</v>
      </c>
      <c r="E1872" s="1" t="s">
        <v>8</v>
      </c>
      <c r="F1872" s="1" t="s">
        <v>9</v>
      </c>
      <c r="G1872" s="4">
        <v>17</v>
      </c>
      <c r="H1872" s="4">
        <v>41448</v>
      </c>
      <c r="I1872" s="6">
        <v>40072.665428832253</v>
      </c>
      <c r="J1872" s="6">
        <f>表1[[#This Row],[销售金额]]-表1[[#This Row],[退款金额]]</f>
        <v>1375.3345711677466</v>
      </c>
      <c r="K1872" s="1">
        <v>427</v>
      </c>
      <c r="L1872" s="1">
        <v>64</v>
      </c>
    </row>
    <row r="1873" spans="1:12" x14ac:dyDescent="0.3">
      <c r="A1873" s="2">
        <v>45928</v>
      </c>
      <c r="B1873" s="1" t="s">
        <v>250</v>
      </c>
      <c r="C1873" s="1" t="s">
        <v>10</v>
      </c>
      <c r="D1873" s="1" t="s">
        <v>48</v>
      </c>
      <c r="E1873" s="1" t="s">
        <v>8</v>
      </c>
      <c r="F1873" s="1" t="s">
        <v>9</v>
      </c>
      <c r="G1873" s="4">
        <v>17</v>
      </c>
      <c r="H1873" s="4">
        <v>43291</v>
      </c>
      <c r="I1873" s="6">
        <v>40072.665428832253</v>
      </c>
      <c r="J1873" s="6">
        <f>表1[[#This Row],[销售金额]]-表1[[#This Row],[退款金额]]</f>
        <v>3218.3345711677466</v>
      </c>
      <c r="K1873" s="1">
        <v>427</v>
      </c>
      <c r="L1873" s="1">
        <v>64</v>
      </c>
    </row>
    <row r="1874" spans="1:12" x14ac:dyDescent="0.3">
      <c r="A1874" s="2">
        <v>45928</v>
      </c>
      <c r="B1874" s="1" t="s">
        <v>250</v>
      </c>
      <c r="C1874" s="1" t="s">
        <v>10</v>
      </c>
      <c r="D1874" s="1" t="s">
        <v>48</v>
      </c>
      <c r="E1874" s="1" t="s">
        <v>8</v>
      </c>
      <c r="F1874" s="1" t="s">
        <v>9</v>
      </c>
      <c r="G1874" s="4">
        <v>17</v>
      </c>
      <c r="H1874" s="4">
        <v>43684</v>
      </c>
      <c r="I1874" s="6">
        <v>40072.665428832253</v>
      </c>
      <c r="J1874" s="6">
        <f>表1[[#This Row],[销售金额]]-表1[[#This Row],[退款金额]]</f>
        <v>3611.3345711677466</v>
      </c>
      <c r="K1874" s="1">
        <v>427</v>
      </c>
      <c r="L1874" s="1">
        <v>64</v>
      </c>
    </row>
    <row r="1875" spans="1:12" x14ac:dyDescent="0.3">
      <c r="A1875" s="2">
        <v>45928</v>
      </c>
      <c r="B1875" s="1" t="s">
        <v>250</v>
      </c>
      <c r="C1875" s="1" t="s">
        <v>10</v>
      </c>
      <c r="D1875" s="1" t="s">
        <v>48</v>
      </c>
      <c r="E1875" s="1" t="s">
        <v>8</v>
      </c>
      <c r="F1875" s="1" t="s">
        <v>9</v>
      </c>
      <c r="G1875" s="4">
        <v>17</v>
      </c>
      <c r="H1875" s="4">
        <v>41938</v>
      </c>
      <c r="I1875" s="6">
        <v>40072.665428832253</v>
      </c>
      <c r="J1875" s="6">
        <f>表1[[#This Row],[销售金额]]-表1[[#This Row],[退款金额]]</f>
        <v>1865.3345711677466</v>
      </c>
      <c r="K1875" s="1">
        <v>427</v>
      </c>
      <c r="L1875" s="1">
        <v>64</v>
      </c>
    </row>
    <row r="1876" spans="1:12" x14ac:dyDescent="0.3">
      <c r="A1876" s="2">
        <v>45928</v>
      </c>
      <c r="B1876" s="1" t="s">
        <v>250</v>
      </c>
      <c r="C1876" s="1" t="s">
        <v>10</v>
      </c>
      <c r="D1876" s="1" t="s">
        <v>48</v>
      </c>
      <c r="E1876" s="1" t="s">
        <v>8</v>
      </c>
      <c r="F1876" s="1" t="s">
        <v>9</v>
      </c>
      <c r="G1876" s="4">
        <v>17</v>
      </c>
      <c r="H1876" s="4">
        <v>43762</v>
      </c>
      <c r="I1876" s="6">
        <v>40072.665428832253</v>
      </c>
      <c r="J1876" s="6">
        <f>表1[[#This Row],[销售金额]]-表1[[#This Row],[退款金额]]</f>
        <v>3689.3345711677466</v>
      </c>
      <c r="K1876" s="1">
        <v>427</v>
      </c>
      <c r="L1876" s="1">
        <v>64</v>
      </c>
    </row>
    <row r="1877" spans="1:12" x14ac:dyDescent="0.3">
      <c r="A1877" s="2">
        <v>45928</v>
      </c>
      <c r="B1877" s="1" t="s">
        <v>250</v>
      </c>
      <c r="C1877" s="1" t="s">
        <v>10</v>
      </c>
      <c r="D1877" s="1" t="s">
        <v>48</v>
      </c>
      <c r="E1877" s="1" t="s">
        <v>8</v>
      </c>
      <c r="F1877" s="1" t="s">
        <v>9</v>
      </c>
      <c r="G1877" s="4">
        <v>17</v>
      </c>
      <c r="H1877" s="4">
        <v>43758</v>
      </c>
      <c r="I1877" s="6">
        <v>40072.665428832253</v>
      </c>
      <c r="J1877" s="6">
        <f>表1[[#This Row],[销售金额]]-表1[[#This Row],[退款金额]]</f>
        <v>3685.3345711677466</v>
      </c>
      <c r="K1877" s="1">
        <v>427</v>
      </c>
      <c r="L1877" s="1">
        <v>64</v>
      </c>
    </row>
    <row r="1878" spans="1:12" x14ac:dyDescent="0.3">
      <c r="A1878" s="2">
        <v>45928</v>
      </c>
      <c r="B1878" s="1" t="s">
        <v>250</v>
      </c>
      <c r="C1878" s="1" t="s">
        <v>10</v>
      </c>
      <c r="D1878" s="1" t="s">
        <v>48</v>
      </c>
      <c r="E1878" s="1" t="s">
        <v>8</v>
      </c>
      <c r="F1878" s="1" t="s">
        <v>9</v>
      </c>
      <c r="G1878" s="4">
        <v>17</v>
      </c>
      <c r="H1878" s="4">
        <v>41698</v>
      </c>
      <c r="I1878" s="6">
        <v>40072.665428832253</v>
      </c>
      <c r="J1878" s="6">
        <f>表1[[#This Row],[销售金额]]-表1[[#This Row],[退款金额]]</f>
        <v>1625.3345711677466</v>
      </c>
      <c r="K1878" s="1">
        <v>427</v>
      </c>
      <c r="L1878" s="1">
        <v>64</v>
      </c>
    </row>
    <row r="1879" spans="1:12" x14ac:dyDescent="0.3">
      <c r="A1879" s="2">
        <v>45928</v>
      </c>
      <c r="B1879" s="1" t="s">
        <v>250</v>
      </c>
      <c r="C1879" s="1" t="s">
        <v>10</v>
      </c>
      <c r="D1879" s="1" t="s">
        <v>48</v>
      </c>
      <c r="E1879" s="1" t="s">
        <v>8</v>
      </c>
      <c r="F1879" s="1" t="s">
        <v>9</v>
      </c>
      <c r="G1879" s="4">
        <v>17</v>
      </c>
      <c r="H1879" s="4">
        <v>43992</v>
      </c>
      <c r="I1879" s="6">
        <v>40072.665428832253</v>
      </c>
      <c r="J1879" s="6">
        <f>表1[[#This Row],[销售金额]]-表1[[#This Row],[退款金额]]</f>
        <v>3919.3345711677466</v>
      </c>
      <c r="K1879" s="1">
        <v>427</v>
      </c>
      <c r="L1879" s="1">
        <v>64</v>
      </c>
    </row>
    <row r="1880" spans="1:12" x14ac:dyDescent="0.3">
      <c r="A1880" s="2">
        <v>45928</v>
      </c>
      <c r="B1880" s="1" t="s">
        <v>248</v>
      </c>
      <c r="C1880" s="1" t="s">
        <v>32</v>
      </c>
      <c r="D1880" s="1" t="s">
        <v>29</v>
      </c>
      <c r="E1880" s="1" t="s">
        <v>30</v>
      </c>
      <c r="F1880" s="1" t="s">
        <v>31</v>
      </c>
      <c r="G1880" s="4">
        <v>19</v>
      </c>
      <c r="H1880" s="4">
        <v>12560</v>
      </c>
      <c r="I1880" s="6">
        <v>9764.3126186009831</v>
      </c>
      <c r="J1880" s="6">
        <f>表1[[#This Row],[销售金额]]-表1[[#This Row],[退款金额]]</f>
        <v>2795.6873813990169</v>
      </c>
      <c r="K1880" s="1">
        <v>896</v>
      </c>
      <c r="L1880" s="1">
        <v>671</v>
      </c>
    </row>
    <row r="1881" spans="1:12" x14ac:dyDescent="0.3">
      <c r="A1881" s="2">
        <v>45928</v>
      </c>
      <c r="B1881" s="1" t="s">
        <v>248</v>
      </c>
      <c r="C1881" s="1" t="s">
        <v>32</v>
      </c>
      <c r="D1881" s="1" t="s">
        <v>29</v>
      </c>
      <c r="E1881" s="1" t="s">
        <v>30</v>
      </c>
      <c r="F1881" s="1" t="s">
        <v>31</v>
      </c>
      <c r="G1881" s="4">
        <v>19</v>
      </c>
      <c r="H1881" s="4">
        <v>14338</v>
      </c>
      <c r="I1881" s="6">
        <v>9764.3126186009831</v>
      </c>
      <c r="J1881" s="6">
        <f>表1[[#This Row],[销售金额]]-表1[[#This Row],[退款金额]]</f>
        <v>4573.6873813990169</v>
      </c>
      <c r="K1881" s="1">
        <v>896</v>
      </c>
      <c r="L1881" s="1">
        <v>671</v>
      </c>
    </row>
    <row r="1882" spans="1:12" x14ac:dyDescent="0.3">
      <c r="A1882" s="2">
        <v>45928</v>
      </c>
      <c r="B1882" s="1" t="s">
        <v>248</v>
      </c>
      <c r="C1882" s="1" t="s">
        <v>32</v>
      </c>
      <c r="D1882" s="1" t="s">
        <v>29</v>
      </c>
      <c r="E1882" s="1" t="s">
        <v>30</v>
      </c>
      <c r="F1882" s="1" t="s">
        <v>31</v>
      </c>
      <c r="G1882" s="4">
        <v>19</v>
      </c>
      <c r="H1882" s="4">
        <v>10356</v>
      </c>
      <c r="I1882" s="6">
        <v>9764.3126186009831</v>
      </c>
      <c r="J1882" s="6">
        <f>表1[[#This Row],[销售金额]]-表1[[#This Row],[退款金额]]</f>
        <v>591.68738139901689</v>
      </c>
      <c r="K1882" s="1">
        <v>896</v>
      </c>
      <c r="L1882" s="1">
        <v>671</v>
      </c>
    </row>
    <row r="1883" spans="1:12" x14ac:dyDescent="0.3">
      <c r="A1883" s="2">
        <v>45928</v>
      </c>
      <c r="B1883" s="1" t="s">
        <v>248</v>
      </c>
      <c r="C1883" s="1" t="s">
        <v>32</v>
      </c>
      <c r="D1883" s="1" t="s">
        <v>29</v>
      </c>
      <c r="E1883" s="1" t="s">
        <v>30</v>
      </c>
      <c r="F1883" s="1" t="s">
        <v>31</v>
      </c>
      <c r="G1883" s="4">
        <v>19</v>
      </c>
      <c r="H1883" s="4">
        <v>12137</v>
      </c>
      <c r="I1883" s="6">
        <v>9764.3126186009831</v>
      </c>
      <c r="J1883" s="6">
        <f>表1[[#This Row],[销售金额]]-表1[[#This Row],[退款金额]]</f>
        <v>2372.6873813990169</v>
      </c>
      <c r="K1883" s="1">
        <v>896</v>
      </c>
      <c r="L1883" s="1">
        <v>671</v>
      </c>
    </row>
    <row r="1884" spans="1:12" x14ac:dyDescent="0.3">
      <c r="A1884" s="2">
        <v>45928</v>
      </c>
      <c r="B1884" s="1" t="s">
        <v>248</v>
      </c>
      <c r="C1884" s="1" t="s">
        <v>32</v>
      </c>
      <c r="D1884" s="1" t="s">
        <v>29</v>
      </c>
      <c r="E1884" s="1" t="s">
        <v>30</v>
      </c>
      <c r="F1884" s="1" t="s">
        <v>31</v>
      </c>
      <c r="G1884" s="4">
        <v>19</v>
      </c>
      <c r="H1884" s="4">
        <v>10815</v>
      </c>
      <c r="I1884" s="6">
        <v>9764.3126186009831</v>
      </c>
      <c r="J1884" s="6">
        <f>表1[[#This Row],[销售金额]]-表1[[#This Row],[退款金额]]</f>
        <v>1050.6873813990169</v>
      </c>
      <c r="K1884" s="1">
        <v>896</v>
      </c>
      <c r="L1884" s="1">
        <v>671</v>
      </c>
    </row>
    <row r="1885" spans="1:12" x14ac:dyDescent="0.3">
      <c r="A1885" s="2">
        <v>45928</v>
      </c>
      <c r="B1885" s="1" t="s">
        <v>248</v>
      </c>
      <c r="C1885" s="1" t="s">
        <v>32</v>
      </c>
      <c r="D1885" s="1" t="s">
        <v>29</v>
      </c>
      <c r="E1885" s="1" t="s">
        <v>30</v>
      </c>
      <c r="F1885" s="1" t="s">
        <v>31</v>
      </c>
      <c r="G1885" s="4">
        <v>19</v>
      </c>
      <c r="H1885" s="4">
        <v>14585</v>
      </c>
      <c r="I1885" s="6">
        <v>9764.3126186009831</v>
      </c>
      <c r="J1885" s="6">
        <f>表1[[#This Row],[销售金额]]-表1[[#This Row],[退款金额]]</f>
        <v>4820.6873813990169</v>
      </c>
      <c r="K1885" s="1">
        <v>896</v>
      </c>
      <c r="L1885" s="1">
        <v>671</v>
      </c>
    </row>
    <row r="1886" spans="1:12" x14ac:dyDescent="0.3">
      <c r="A1886" s="2">
        <v>45928</v>
      </c>
      <c r="B1886" s="1" t="s">
        <v>248</v>
      </c>
      <c r="C1886" s="1" t="s">
        <v>32</v>
      </c>
      <c r="D1886" s="1" t="s">
        <v>29</v>
      </c>
      <c r="E1886" s="1" t="s">
        <v>30</v>
      </c>
      <c r="F1886" s="1" t="s">
        <v>31</v>
      </c>
      <c r="G1886" s="4">
        <v>19</v>
      </c>
      <c r="H1886" s="4">
        <v>11462</v>
      </c>
      <c r="I1886" s="6">
        <v>9764.3126186009831</v>
      </c>
      <c r="J1886" s="6">
        <f>表1[[#This Row],[销售金额]]-表1[[#This Row],[退款金额]]</f>
        <v>1697.6873813990169</v>
      </c>
      <c r="K1886" s="1">
        <v>896</v>
      </c>
      <c r="L1886" s="1">
        <v>671</v>
      </c>
    </row>
    <row r="1887" spans="1:12" x14ac:dyDescent="0.3">
      <c r="A1887" s="2">
        <v>45928</v>
      </c>
      <c r="B1887" s="1" t="s">
        <v>248</v>
      </c>
      <c r="C1887" s="1" t="s">
        <v>32</v>
      </c>
      <c r="D1887" s="1" t="s">
        <v>29</v>
      </c>
      <c r="E1887" s="1" t="s">
        <v>30</v>
      </c>
      <c r="F1887" s="1" t="s">
        <v>31</v>
      </c>
      <c r="G1887" s="4">
        <v>19</v>
      </c>
      <c r="H1887" s="4">
        <v>12187</v>
      </c>
      <c r="I1887" s="6">
        <v>9764.3126186009831</v>
      </c>
      <c r="J1887" s="6">
        <f>表1[[#This Row],[销售金额]]-表1[[#This Row],[退款金额]]</f>
        <v>2422.6873813990169</v>
      </c>
      <c r="K1887" s="1">
        <v>896</v>
      </c>
      <c r="L1887" s="1">
        <v>671</v>
      </c>
    </row>
    <row r="1888" spans="1:12" x14ac:dyDescent="0.3">
      <c r="A1888" s="2">
        <v>45929</v>
      </c>
      <c r="B1888" s="1" t="s">
        <v>250</v>
      </c>
      <c r="C1888" s="1" t="s">
        <v>32</v>
      </c>
      <c r="D1888" s="1" t="s">
        <v>118</v>
      </c>
      <c r="E1888" s="1" t="s">
        <v>30</v>
      </c>
      <c r="F1888" s="1" t="s">
        <v>31</v>
      </c>
      <c r="G1888" s="4">
        <v>1</v>
      </c>
      <c r="H1888" s="4">
        <v>2712</v>
      </c>
      <c r="I1888" s="6">
        <v>225.54576013579623</v>
      </c>
      <c r="J1888" s="6">
        <f>表1[[#This Row],[销售金额]]-表1[[#This Row],[退款金额]]</f>
        <v>2486.4542398642038</v>
      </c>
      <c r="K1888" s="1">
        <v>329</v>
      </c>
      <c r="L1888" s="1">
        <v>696</v>
      </c>
    </row>
    <row r="1889" spans="1:12" x14ac:dyDescent="0.3">
      <c r="A1889" s="2">
        <v>45929</v>
      </c>
      <c r="B1889" s="1" t="s">
        <v>250</v>
      </c>
      <c r="C1889" s="1" t="s">
        <v>32</v>
      </c>
      <c r="D1889" s="1" t="s">
        <v>118</v>
      </c>
      <c r="E1889" s="1" t="s">
        <v>30</v>
      </c>
      <c r="F1889" s="1" t="s">
        <v>31</v>
      </c>
      <c r="G1889" s="4">
        <v>1</v>
      </c>
      <c r="H1889" s="4">
        <v>3233</v>
      </c>
      <c r="I1889" s="6">
        <v>225.54576013579623</v>
      </c>
      <c r="J1889" s="6">
        <f>表1[[#This Row],[销售金额]]-表1[[#This Row],[退款金额]]</f>
        <v>3007.4542398642038</v>
      </c>
      <c r="K1889" s="1">
        <v>329</v>
      </c>
      <c r="L1889" s="1">
        <v>696</v>
      </c>
    </row>
    <row r="1890" spans="1:12" x14ac:dyDescent="0.3">
      <c r="A1890" s="2">
        <v>45929</v>
      </c>
      <c r="B1890" s="1" t="s">
        <v>250</v>
      </c>
      <c r="C1890" s="1" t="s">
        <v>32</v>
      </c>
      <c r="D1890" s="1" t="s">
        <v>118</v>
      </c>
      <c r="E1890" s="1" t="s">
        <v>30</v>
      </c>
      <c r="F1890" s="1" t="s">
        <v>31</v>
      </c>
      <c r="G1890" s="4">
        <v>1</v>
      </c>
      <c r="H1890" s="4">
        <v>1649</v>
      </c>
      <c r="I1890" s="6">
        <v>225.54576013579623</v>
      </c>
      <c r="J1890" s="6">
        <f>表1[[#This Row],[销售金额]]-表1[[#This Row],[退款金额]]</f>
        <v>1423.4542398642038</v>
      </c>
      <c r="K1890" s="1">
        <v>329</v>
      </c>
      <c r="L1890" s="1">
        <v>696</v>
      </c>
    </row>
    <row r="1891" spans="1:12" x14ac:dyDescent="0.3">
      <c r="A1891" s="2">
        <v>45929</v>
      </c>
      <c r="B1891" s="1" t="s">
        <v>250</v>
      </c>
      <c r="C1891" s="1" t="s">
        <v>32</v>
      </c>
      <c r="D1891" s="1" t="s">
        <v>118</v>
      </c>
      <c r="E1891" s="1" t="s">
        <v>30</v>
      </c>
      <c r="F1891" s="1" t="s">
        <v>31</v>
      </c>
      <c r="G1891" s="4">
        <v>1</v>
      </c>
      <c r="H1891" s="4">
        <v>1547</v>
      </c>
      <c r="I1891" s="6">
        <v>225.54576013579623</v>
      </c>
      <c r="J1891" s="6">
        <f>表1[[#This Row],[销售金额]]-表1[[#This Row],[退款金额]]</f>
        <v>1321.4542398642038</v>
      </c>
      <c r="K1891" s="1">
        <v>329</v>
      </c>
      <c r="L1891" s="1">
        <v>696</v>
      </c>
    </row>
    <row r="1892" spans="1:12" x14ac:dyDescent="0.3">
      <c r="A1892" s="2">
        <v>45929</v>
      </c>
      <c r="B1892" s="1" t="s">
        <v>250</v>
      </c>
      <c r="C1892" s="1" t="s">
        <v>32</v>
      </c>
      <c r="D1892" s="1" t="s">
        <v>118</v>
      </c>
      <c r="E1892" s="1" t="s">
        <v>30</v>
      </c>
      <c r="F1892" s="1" t="s">
        <v>31</v>
      </c>
      <c r="G1892" s="4">
        <v>1</v>
      </c>
      <c r="H1892" s="4">
        <v>2399</v>
      </c>
      <c r="I1892" s="6">
        <v>225.54576013579623</v>
      </c>
      <c r="J1892" s="6">
        <f>表1[[#This Row],[销售金额]]-表1[[#This Row],[退款金额]]</f>
        <v>2173.4542398642038</v>
      </c>
      <c r="K1892" s="1">
        <v>329</v>
      </c>
      <c r="L1892" s="1">
        <v>696</v>
      </c>
    </row>
    <row r="1893" spans="1:12" x14ac:dyDescent="0.3">
      <c r="A1893" s="2">
        <v>45929</v>
      </c>
      <c r="B1893" s="1" t="s">
        <v>250</v>
      </c>
      <c r="C1893" s="1" t="s">
        <v>32</v>
      </c>
      <c r="D1893" s="1" t="s">
        <v>118</v>
      </c>
      <c r="E1893" s="1" t="s">
        <v>30</v>
      </c>
      <c r="F1893" s="1" t="s">
        <v>31</v>
      </c>
      <c r="G1893" s="4">
        <v>1</v>
      </c>
      <c r="H1893" s="4">
        <v>1376</v>
      </c>
      <c r="I1893" s="6">
        <v>225.54576013579623</v>
      </c>
      <c r="J1893" s="6">
        <f>表1[[#This Row],[销售金额]]-表1[[#This Row],[退款金额]]</f>
        <v>1150.4542398642038</v>
      </c>
      <c r="K1893" s="1">
        <v>329</v>
      </c>
      <c r="L1893" s="1">
        <v>696</v>
      </c>
    </row>
    <row r="1894" spans="1:12" x14ac:dyDescent="0.3">
      <c r="A1894" s="2">
        <v>45929</v>
      </c>
      <c r="B1894" s="1" t="s">
        <v>250</v>
      </c>
      <c r="C1894" s="1" t="s">
        <v>32</v>
      </c>
      <c r="D1894" s="1" t="s">
        <v>118</v>
      </c>
      <c r="E1894" s="1" t="s">
        <v>30</v>
      </c>
      <c r="F1894" s="1" t="s">
        <v>31</v>
      </c>
      <c r="G1894" s="4">
        <v>1</v>
      </c>
      <c r="H1894" s="4">
        <v>704</v>
      </c>
      <c r="I1894" s="6">
        <v>225.54576013579623</v>
      </c>
      <c r="J1894" s="6">
        <f>表1[[#This Row],[销售金额]]-表1[[#This Row],[退款金额]]</f>
        <v>478.45423986420377</v>
      </c>
      <c r="K1894" s="1">
        <v>329</v>
      </c>
      <c r="L1894" s="1">
        <v>696</v>
      </c>
    </row>
    <row r="1895" spans="1:12" x14ac:dyDescent="0.3">
      <c r="A1895" s="2">
        <v>45929</v>
      </c>
      <c r="B1895" s="1" t="s">
        <v>250</v>
      </c>
      <c r="C1895" s="1" t="s">
        <v>32</v>
      </c>
      <c r="D1895" s="1" t="s">
        <v>118</v>
      </c>
      <c r="E1895" s="1" t="s">
        <v>30</v>
      </c>
      <c r="F1895" s="1" t="s">
        <v>31</v>
      </c>
      <c r="G1895" s="4">
        <v>1</v>
      </c>
      <c r="H1895" s="4">
        <v>4694</v>
      </c>
      <c r="I1895" s="6">
        <v>225.54576013579623</v>
      </c>
      <c r="J1895" s="6">
        <f>表1[[#This Row],[销售金额]]-表1[[#This Row],[退款金额]]</f>
        <v>4468.4542398642034</v>
      </c>
      <c r="K1895" s="1">
        <v>329</v>
      </c>
      <c r="L1895" s="1">
        <v>696</v>
      </c>
    </row>
    <row r="1896" spans="1:12" x14ac:dyDescent="0.3">
      <c r="A1896" s="2">
        <v>45929</v>
      </c>
      <c r="B1896" s="1" t="s">
        <v>250</v>
      </c>
      <c r="C1896" s="1" t="s">
        <v>32</v>
      </c>
      <c r="D1896" s="1" t="s">
        <v>118</v>
      </c>
      <c r="E1896" s="1" t="s">
        <v>30</v>
      </c>
      <c r="F1896" s="1" t="s">
        <v>31</v>
      </c>
      <c r="G1896" s="4">
        <v>1</v>
      </c>
      <c r="H1896" s="4">
        <v>4059</v>
      </c>
      <c r="I1896" s="6">
        <v>225.54576013579623</v>
      </c>
      <c r="J1896" s="6">
        <f>表1[[#This Row],[销售金额]]-表1[[#This Row],[退款金额]]</f>
        <v>3833.4542398642038</v>
      </c>
      <c r="K1896" s="1">
        <v>329</v>
      </c>
      <c r="L1896" s="1">
        <v>696</v>
      </c>
    </row>
    <row r="1897" spans="1:12" x14ac:dyDescent="0.3">
      <c r="A1897" s="2">
        <v>45929</v>
      </c>
      <c r="B1897" s="1" t="s">
        <v>11</v>
      </c>
      <c r="C1897" s="1" t="s">
        <v>32</v>
      </c>
      <c r="D1897" s="1" t="s">
        <v>125</v>
      </c>
      <c r="E1897" s="1" t="s">
        <v>60</v>
      </c>
      <c r="F1897" s="1" t="s">
        <v>61</v>
      </c>
      <c r="G1897" s="4">
        <v>5</v>
      </c>
      <c r="H1897" s="4">
        <v>6098</v>
      </c>
      <c r="I1897" s="6">
        <v>2336.1246648193851</v>
      </c>
      <c r="J1897" s="6">
        <f>表1[[#This Row],[销售金额]]-表1[[#This Row],[退款金额]]</f>
        <v>3761.8753351806149</v>
      </c>
      <c r="K1897" s="1">
        <v>570</v>
      </c>
      <c r="L1897" s="1">
        <v>721</v>
      </c>
    </row>
    <row r="1898" spans="1:12" x14ac:dyDescent="0.3">
      <c r="A1898" s="2">
        <v>45929</v>
      </c>
      <c r="B1898" s="1" t="s">
        <v>11</v>
      </c>
      <c r="C1898" s="1" t="s">
        <v>32</v>
      </c>
      <c r="D1898" s="1" t="s">
        <v>125</v>
      </c>
      <c r="E1898" s="1" t="s">
        <v>60</v>
      </c>
      <c r="F1898" s="1" t="s">
        <v>61</v>
      </c>
      <c r="G1898" s="4">
        <v>5</v>
      </c>
      <c r="H1898" s="4">
        <v>3194</v>
      </c>
      <c r="I1898" s="6">
        <v>2336.1246648193851</v>
      </c>
      <c r="J1898" s="6">
        <f>表1[[#This Row],[销售金额]]-表1[[#This Row],[退款金额]]</f>
        <v>857.87533518061491</v>
      </c>
      <c r="K1898" s="1">
        <v>570</v>
      </c>
      <c r="L1898" s="1">
        <v>721</v>
      </c>
    </row>
    <row r="1899" spans="1:12" x14ac:dyDescent="0.3">
      <c r="A1899" s="2">
        <v>45929</v>
      </c>
      <c r="B1899" s="1" t="s">
        <v>11</v>
      </c>
      <c r="C1899" s="1" t="s">
        <v>32</v>
      </c>
      <c r="D1899" s="1" t="s">
        <v>125</v>
      </c>
      <c r="E1899" s="1" t="s">
        <v>60</v>
      </c>
      <c r="F1899" s="1" t="s">
        <v>61</v>
      </c>
      <c r="G1899" s="4">
        <v>5</v>
      </c>
      <c r="H1899" s="4">
        <v>2821</v>
      </c>
      <c r="I1899" s="6">
        <v>2336.1246648193851</v>
      </c>
      <c r="J1899" s="6">
        <f>表1[[#This Row],[销售金额]]-表1[[#This Row],[退款金额]]</f>
        <v>484.87533518061491</v>
      </c>
      <c r="K1899" s="1">
        <v>570</v>
      </c>
      <c r="L1899" s="1">
        <v>721</v>
      </c>
    </row>
    <row r="1900" spans="1:12" x14ac:dyDescent="0.3">
      <c r="A1900" s="2">
        <v>45929</v>
      </c>
      <c r="B1900" s="1" t="s">
        <v>11</v>
      </c>
      <c r="C1900" s="1" t="s">
        <v>32</v>
      </c>
      <c r="D1900" s="1" t="s">
        <v>125</v>
      </c>
      <c r="E1900" s="1" t="s">
        <v>60</v>
      </c>
      <c r="F1900" s="1" t="s">
        <v>61</v>
      </c>
      <c r="G1900" s="4">
        <v>5</v>
      </c>
      <c r="H1900" s="4">
        <v>4531</v>
      </c>
      <c r="I1900" s="6">
        <v>2336.1246648193851</v>
      </c>
      <c r="J1900" s="6">
        <f>表1[[#This Row],[销售金额]]-表1[[#This Row],[退款金额]]</f>
        <v>2194.8753351806149</v>
      </c>
      <c r="K1900" s="1">
        <v>570</v>
      </c>
      <c r="L1900" s="1">
        <v>721</v>
      </c>
    </row>
    <row r="1901" spans="1:12" x14ac:dyDescent="0.3">
      <c r="A1901" s="2">
        <v>45929</v>
      </c>
      <c r="B1901" s="1" t="s">
        <v>11</v>
      </c>
      <c r="C1901" s="1" t="s">
        <v>32</v>
      </c>
      <c r="D1901" s="1" t="s">
        <v>125</v>
      </c>
      <c r="E1901" s="1" t="s">
        <v>60</v>
      </c>
      <c r="F1901" s="1" t="s">
        <v>61</v>
      </c>
      <c r="G1901" s="4">
        <v>5</v>
      </c>
      <c r="H1901" s="4">
        <v>7260</v>
      </c>
      <c r="I1901" s="6">
        <v>2336.1246648193851</v>
      </c>
      <c r="J1901" s="6">
        <f>表1[[#This Row],[销售金额]]-表1[[#This Row],[退款金额]]</f>
        <v>4923.8753351806154</v>
      </c>
      <c r="K1901" s="1">
        <v>570</v>
      </c>
      <c r="L1901" s="1">
        <v>721</v>
      </c>
    </row>
    <row r="1902" spans="1:12" x14ac:dyDescent="0.3">
      <c r="A1902" s="2">
        <v>45929</v>
      </c>
      <c r="B1902" s="1" t="s">
        <v>11</v>
      </c>
      <c r="C1902" s="1" t="s">
        <v>32</v>
      </c>
      <c r="D1902" s="1" t="s">
        <v>125</v>
      </c>
      <c r="E1902" s="1" t="s">
        <v>60</v>
      </c>
      <c r="F1902" s="1" t="s">
        <v>61</v>
      </c>
      <c r="G1902" s="4">
        <v>5</v>
      </c>
      <c r="H1902" s="4">
        <v>6850</v>
      </c>
      <c r="I1902" s="6">
        <v>2336.1246648193851</v>
      </c>
      <c r="J1902" s="6">
        <f>表1[[#This Row],[销售金额]]-表1[[#This Row],[退款金额]]</f>
        <v>4513.8753351806154</v>
      </c>
      <c r="K1902" s="1">
        <v>570</v>
      </c>
      <c r="L1902" s="1">
        <v>721</v>
      </c>
    </row>
    <row r="1903" spans="1:12" x14ac:dyDescent="0.3">
      <c r="A1903" s="2">
        <v>45929</v>
      </c>
      <c r="B1903" s="1" t="s">
        <v>11</v>
      </c>
      <c r="C1903" s="1" t="s">
        <v>32</v>
      </c>
      <c r="D1903" s="1" t="s">
        <v>125</v>
      </c>
      <c r="E1903" s="1" t="s">
        <v>60</v>
      </c>
      <c r="F1903" s="1" t="s">
        <v>61</v>
      </c>
      <c r="G1903" s="4">
        <v>5</v>
      </c>
      <c r="H1903" s="4">
        <v>2842</v>
      </c>
      <c r="I1903" s="6">
        <v>2336.1246648193851</v>
      </c>
      <c r="J1903" s="6">
        <f>表1[[#This Row],[销售金额]]-表1[[#This Row],[退款金额]]</f>
        <v>505.87533518061491</v>
      </c>
      <c r="K1903" s="1">
        <v>570</v>
      </c>
      <c r="L1903" s="1">
        <v>721</v>
      </c>
    </row>
    <row r="1904" spans="1:12" x14ac:dyDescent="0.3">
      <c r="A1904" s="2">
        <v>45929</v>
      </c>
      <c r="B1904" s="1" t="s">
        <v>11</v>
      </c>
      <c r="C1904" s="1" t="s">
        <v>32</v>
      </c>
      <c r="D1904" s="1" t="s">
        <v>125</v>
      </c>
      <c r="E1904" s="1" t="s">
        <v>60</v>
      </c>
      <c r="F1904" s="1" t="s">
        <v>61</v>
      </c>
      <c r="G1904" s="4">
        <v>5</v>
      </c>
      <c r="H1904" s="4">
        <v>5197</v>
      </c>
      <c r="I1904" s="6">
        <v>2336.1246648193851</v>
      </c>
      <c r="J1904" s="6">
        <f>表1[[#This Row],[销售金额]]-表1[[#This Row],[退款金额]]</f>
        <v>2860.8753351806149</v>
      </c>
      <c r="K1904" s="1">
        <v>570</v>
      </c>
      <c r="L1904" s="1">
        <v>721</v>
      </c>
    </row>
    <row r="1905" spans="1:12" x14ac:dyDescent="0.3">
      <c r="A1905" s="2">
        <v>45929</v>
      </c>
      <c r="B1905" s="1" t="s">
        <v>11</v>
      </c>
      <c r="C1905" s="1" t="s">
        <v>32</v>
      </c>
      <c r="D1905" s="1" t="s">
        <v>125</v>
      </c>
      <c r="E1905" s="1" t="s">
        <v>60</v>
      </c>
      <c r="F1905" s="1" t="s">
        <v>61</v>
      </c>
      <c r="G1905" s="4">
        <v>5</v>
      </c>
      <c r="H1905" s="4">
        <v>5007</v>
      </c>
      <c r="I1905" s="6">
        <v>2336.1246648193851</v>
      </c>
      <c r="J1905" s="6">
        <f>表1[[#This Row],[销售金额]]-表1[[#This Row],[退款金额]]</f>
        <v>2670.8753351806149</v>
      </c>
      <c r="K1905" s="1">
        <v>570</v>
      </c>
      <c r="L1905" s="1">
        <v>721</v>
      </c>
    </row>
    <row r="1906" spans="1:12" x14ac:dyDescent="0.3">
      <c r="A1906" s="2">
        <v>45929</v>
      </c>
      <c r="B1906" s="1" t="s">
        <v>250</v>
      </c>
      <c r="C1906" s="1" t="s">
        <v>32</v>
      </c>
      <c r="D1906" s="1" t="s">
        <v>157</v>
      </c>
      <c r="E1906" s="1" t="s">
        <v>60</v>
      </c>
      <c r="F1906" s="1" t="s">
        <v>61</v>
      </c>
      <c r="G1906" s="4">
        <v>8</v>
      </c>
      <c r="H1906" s="4">
        <v>22086</v>
      </c>
      <c r="I1906" s="6">
        <v>21200.597178755095</v>
      </c>
      <c r="J1906" s="6">
        <f>表1[[#This Row],[销售金额]]-表1[[#This Row],[退款金额]]</f>
        <v>885.40282124490477</v>
      </c>
      <c r="K1906" s="1">
        <v>3</v>
      </c>
      <c r="L1906" s="1">
        <v>663</v>
      </c>
    </row>
    <row r="1907" spans="1:12" x14ac:dyDescent="0.3">
      <c r="A1907" s="2">
        <v>45929</v>
      </c>
      <c r="B1907" s="1" t="s">
        <v>250</v>
      </c>
      <c r="C1907" s="1" t="s">
        <v>32</v>
      </c>
      <c r="D1907" s="1" t="s">
        <v>157</v>
      </c>
      <c r="E1907" s="1" t="s">
        <v>60</v>
      </c>
      <c r="F1907" s="1" t="s">
        <v>61</v>
      </c>
      <c r="G1907" s="4">
        <v>8</v>
      </c>
      <c r="H1907" s="4">
        <v>21681</v>
      </c>
      <c r="I1907" s="6">
        <v>21200.597178755095</v>
      </c>
      <c r="J1907" s="6">
        <f>表1[[#This Row],[销售金额]]-表1[[#This Row],[退款金额]]</f>
        <v>480.40282124490477</v>
      </c>
      <c r="K1907" s="1">
        <v>3</v>
      </c>
      <c r="L1907" s="1">
        <v>663</v>
      </c>
    </row>
    <row r="1908" spans="1:12" x14ac:dyDescent="0.3">
      <c r="A1908" s="2">
        <v>45929</v>
      </c>
      <c r="B1908" s="1" t="s">
        <v>250</v>
      </c>
      <c r="C1908" s="1" t="s">
        <v>32</v>
      </c>
      <c r="D1908" s="1" t="s">
        <v>157</v>
      </c>
      <c r="E1908" s="1" t="s">
        <v>60</v>
      </c>
      <c r="F1908" s="1" t="s">
        <v>61</v>
      </c>
      <c r="G1908" s="4">
        <v>8</v>
      </c>
      <c r="H1908" s="4">
        <v>21532</v>
      </c>
      <c r="I1908" s="6">
        <v>21200.597178755095</v>
      </c>
      <c r="J1908" s="6">
        <f>表1[[#This Row],[销售金额]]-表1[[#This Row],[退款金额]]</f>
        <v>331.40282124490477</v>
      </c>
      <c r="K1908" s="1">
        <v>3</v>
      </c>
      <c r="L1908" s="1">
        <v>663</v>
      </c>
    </row>
    <row r="1909" spans="1:12" x14ac:dyDescent="0.3">
      <c r="A1909" s="2">
        <v>45929</v>
      </c>
      <c r="B1909" s="1" t="s">
        <v>250</v>
      </c>
      <c r="C1909" s="1" t="s">
        <v>32</v>
      </c>
      <c r="D1909" s="1" t="s">
        <v>157</v>
      </c>
      <c r="E1909" s="1" t="s">
        <v>60</v>
      </c>
      <c r="F1909" s="1" t="s">
        <v>61</v>
      </c>
      <c r="G1909" s="4">
        <v>8</v>
      </c>
      <c r="H1909" s="4">
        <v>21689</v>
      </c>
      <c r="I1909" s="6">
        <v>21200.597178755095</v>
      </c>
      <c r="J1909" s="6">
        <f>表1[[#This Row],[销售金额]]-表1[[#This Row],[退款金额]]</f>
        <v>488.40282124490477</v>
      </c>
      <c r="K1909" s="1">
        <v>3</v>
      </c>
      <c r="L1909" s="1">
        <v>663</v>
      </c>
    </row>
    <row r="1910" spans="1:12" x14ac:dyDescent="0.3">
      <c r="A1910" s="2">
        <v>45929</v>
      </c>
      <c r="B1910" s="1" t="s">
        <v>250</v>
      </c>
      <c r="C1910" s="1" t="s">
        <v>32</v>
      </c>
      <c r="D1910" s="1" t="s">
        <v>157</v>
      </c>
      <c r="E1910" s="1" t="s">
        <v>60</v>
      </c>
      <c r="F1910" s="1" t="s">
        <v>61</v>
      </c>
      <c r="G1910" s="4">
        <v>8</v>
      </c>
      <c r="H1910" s="4">
        <v>22724</v>
      </c>
      <c r="I1910" s="6">
        <v>21200.597178755095</v>
      </c>
      <c r="J1910" s="6">
        <f>表1[[#This Row],[销售金额]]-表1[[#This Row],[退款金额]]</f>
        <v>1523.4028212449048</v>
      </c>
      <c r="K1910" s="1">
        <v>3</v>
      </c>
      <c r="L1910" s="1">
        <v>663</v>
      </c>
    </row>
    <row r="1911" spans="1:12" x14ac:dyDescent="0.3">
      <c r="A1911" s="2">
        <v>45929</v>
      </c>
      <c r="B1911" s="1" t="s">
        <v>250</v>
      </c>
      <c r="C1911" s="1" t="s">
        <v>32</v>
      </c>
      <c r="D1911" s="1" t="s">
        <v>157</v>
      </c>
      <c r="E1911" s="1" t="s">
        <v>60</v>
      </c>
      <c r="F1911" s="1" t="s">
        <v>61</v>
      </c>
      <c r="G1911" s="4">
        <v>8</v>
      </c>
      <c r="H1911" s="4">
        <v>23578</v>
      </c>
      <c r="I1911" s="6">
        <v>21200.597178755095</v>
      </c>
      <c r="J1911" s="6">
        <f>表1[[#This Row],[销售金额]]-表1[[#This Row],[退款金额]]</f>
        <v>2377.4028212449048</v>
      </c>
      <c r="K1911" s="1">
        <v>3</v>
      </c>
      <c r="L1911" s="1">
        <v>663</v>
      </c>
    </row>
    <row r="1912" spans="1:12" x14ac:dyDescent="0.3">
      <c r="A1912" s="2">
        <v>45929</v>
      </c>
      <c r="B1912" s="1" t="s">
        <v>250</v>
      </c>
      <c r="C1912" s="1" t="s">
        <v>32</v>
      </c>
      <c r="D1912" s="1" t="s">
        <v>157</v>
      </c>
      <c r="E1912" s="1" t="s">
        <v>60</v>
      </c>
      <c r="F1912" s="1" t="s">
        <v>61</v>
      </c>
      <c r="G1912" s="4">
        <v>8</v>
      </c>
      <c r="H1912" s="4">
        <v>26103</v>
      </c>
      <c r="I1912" s="6">
        <v>21200.597178755095</v>
      </c>
      <c r="J1912" s="6">
        <f>表1[[#This Row],[销售金额]]-表1[[#This Row],[退款金额]]</f>
        <v>4902.4028212449048</v>
      </c>
      <c r="K1912" s="1">
        <v>3</v>
      </c>
      <c r="L1912" s="1">
        <v>663</v>
      </c>
    </row>
    <row r="1913" spans="1:12" x14ac:dyDescent="0.3">
      <c r="A1913" s="2">
        <v>45929</v>
      </c>
      <c r="B1913" s="1" t="s">
        <v>250</v>
      </c>
      <c r="C1913" s="1" t="s">
        <v>32</v>
      </c>
      <c r="D1913" s="1" t="s">
        <v>157</v>
      </c>
      <c r="E1913" s="1" t="s">
        <v>60</v>
      </c>
      <c r="F1913" s="1" t="s">
        <v>61</v>
      </c>
      <c r="G1913" s="4">
        <v>8</v>
      </c>
      <c r="H1913" s="4">
        <v>24547</v>
      </c>
      <c r="I1913" s="6">
        <v>21200.597178755095</v>
      </c>
      <c r="J1913" s="6">
        <f>表1[[#This Row],[销售金额]]-表1[[#This Row],[退款金额]]</f>
        <v>3346.4028212449048</v>
      </c>
      <c r="K1913" s="1">
        <v>3</v>
      </c>
      <c r="L1913" s="1">
        <v>663</v>
      </c>
    </row>
    <row r="1914" spans="1:12" x14ac:dyDescent="0.3">
      <c r="A1914" s="2">
        <v>45929</v>
      </c>
      <c r="B1914" s="1" t="s">
        <v>250</v>
      </c>
      <c r="C1914" s="1" t="s">
        <v>32</v>
      </c>
      <c r="D1914" s="1" t="s">
        <v>157</v>
      </c>
      <c r="E1914" s="1" t="s">
        <v>60</v>
      </c>
      <c r="F1914" s="1" t="s">
        <v>61</v>
      </c>
      <c r="G1914" s="4">
        <v>8</v>
      </c>
      <c r="H1914" s="4">
        <v>24408</v>
      </c>
      <c r="I1914" s="6">
        <v>21200.597178755095</v>
      </c>
      <c r="J1914" s="6">
        <f>表1[[#This Row],[销售金额]]-表1[[#This Row],[退款金额]]</f>
        <v>3207.4028212449048</v>
      </c>
      <c r="K1914" s="1">
        <v>3</v>
      </c>
      <c r="L1914" s="1">
        <v>663</v>
      </c>
    </row>
    <row r="1915" spans="1:12" x14ac:dyDescent="0.3">
      <c r="A1915" s="2">
        <v>45929</v>
      </c>
      <c r="B1915" s="1" t="s">
        <v>11</v>
      </c>
      <c r="C1915" s="1" t="s">
        <v>19</v>
      </c>
      <c r="D1915" s="1" t="s">
        <v>50</v>
      </c>
      <c r="E1915" s="1" t="s">
        <v>51</v>
      </c>
      <c r="F1915" s="1" t="s">
        <v>52</v>
      </c>
      <c r="G1915" s="4">
        <v>11</v>
      </c>
      <c r="H1915" s="4">
        <v>10527</v>
      </c>
      <c r="I1915" s="6">
        <v>6367.0864981239138</v>
      </c>
      <c r="J1915" s="6">
        <f>表1[[#This Row],[销售金额]]-表1[[#This Row],[退款金额]]</f>
        <v>4159.9135018760862</v>
      </c>
      <c r="K1915" s="1">
        <v>652</v>
      </c>
      <c r="L1915" s="1">
        <v>888</v>
      </c>
    </row>
    <row r="1916" spans="1:12" x14ac:dyDescent="0.3">
      <c r="A1916" s="2">
        <v>45929</v>
      </c>
      <c r="B1916" s="1" t="s">
        <v>11</v>
      </c>
      <c r="C1916" s="1" t="s">
        <v>19</v>
      </c>
      <c r="D1916" s="1" t="s">
        <v>50</v>
      </c>
      <c r="E1916" s="1" t="s">
        <v>51</v>
      </c>
      <c r="F1916" s="1" t="s">
        <v>52</v>
      </c>
      <c r="G1916" s="4">
        <v>11</v>
      </c>
      <c r="H1916" s="4">
        <v>10784</v>
      </c>
      <c r="I1916" s="6">
        <v>6367.0864981239138</v>
      </c>
      <c r="J1916" s="6">
        <f>表1[[#This Row],[销售金额]]-表1[[#This Row],[退款金额]]</f>
        <v>4416.9135018760862</v>
      </c>
      <c r="K1916" s="1">
        <v>652</v>
      </c>
      <c r="L1916" s="1">
        <v>888</v>
      </c>
    </row>
    <row r="1917" spans="1:12" x14ac:dyDescent="0.3">
      <c r="A1917" s="2">
        <v>45929</v>
      </c>
      <c r="B1917" s="1" t="s">
        <v>11</v>
      </c>
      <c r="C1917" s="1" t="s">
        <v>19</v>
      </c>
      <c r="D1917" s="1" t="s">
        <v>50</v>
      </c>
      <c r="E1917" s="1" t="s">
        <v>51</v>
      </c>
      <c r="F1917" s="1" t="s">
        <v>52</v>
      </c>
      <c r="G1917" s="4">
        <v>11</v>
      </c>
      <c r="H1917" s="4">
        <v>7522</v>
      </c>
      <c r="I1917" s="6">
        <v>6367.0864981239138</v>
      </c>
      <c r="J1917" s="6">
        <f>表1[[#This Row],[销售金额]]-表1[[#This Row],[退款金额]]</f>
        <v>1154.9135018760862</v>
      </c>
      <c r="K1917" s="1">
        <v>652</v>
      </c>
      <c r="L1917" s="1">
        <v>888</v>
      </c>
    </row>
    <row r="1918" spans="1:12" x14ac:dyDescent="0.3">
      <c r="A1918" s="2">
        <v>45929</v>
      </c>
      <c r="B1918" s="1" t="s">
        <v>11</v>
      </c>
      <c r="C1918" s="1" t="s">
        <v>19</v>
      </c>
      <c r="D1918" s="1" t="s">
        <v>50</v>
      </c>
      <c r="E1918" s="1" t="s">
        <v>51</v>
      </c>
      <c r="F1918" s="1" t="s">
        <v>52</v>
      </c>
      <c r="G1918" s="4">
        <v>11</v>
      </c>
      <c r="H1918" s="4">
        <v>6961</v>
      </c>
      <c r="I1918" s="6">
        <v>6367.0864981239138</v>
      </c>
      <c r="J1918" s="6">
        <f>表1[[#This Row],[销售金额]]-表1[[#This Row],[退款金额]]</f>
        <v>593.91350187608623</v>
      </c>
      <c r="K1918" s="1">
        <v>652</v>
      </c>
      <c r="L1918" s="1">
        <v>888</v>
      </c>
    </row>
    <row r="1919" spans="1:12" x14ac:dyDescent="0.3">
      <c r="A1919" s="2">
        <v>45929</v>
      </c>
      <c r="B1919" s="1" t="s">
        <v>11</v>
      </c>
      <c r="C1919" s="1" t="s">
        <v>19</v>
      </c>
      <c r="D1919" s="1" t="s">
        <v>50</v>
      </c>
      <c r="E1919" s="1" t="s">
        <v>51</v>
      </c>
      <c r="F1919" s="1" t="s">
        <v>52</v>
      </c>
      <c r="G1919" s="4">
        <v>11</v>
      </c>
      <c r="H1919" s="4">
        <v>6916</v>
      </c>
      <c r="I1919" s="6">
        <v>6367.0864981239138</v>
      </c>
      <c r="J1919" s="6">
        <f>表1[[#This Row],[销售金额]]-表1[[#This Row],[退款金额]]</f>
        <v>548.91350187608623</v>
      </c>
      <c r="K1919" s="1">
        <v>652</v>
      </c>
      <c r="L1919" s="1">
        <v>888</v>
      </c>
    </row>
    <row r="1920" spans="1:12" x14ac:dyDescent="0.3">
      <c r="A1920" s="2">
        <v>45929</v>
      </c>
      <c r="B1920" s="1" t="s">
        <v>11</v>
      </c>
      <c r="C1920" s="1" t="s">
        <v>19</v>
      </c>
      <c r="D1920" s="1" t="s">
        <v>50</v>
      </c>
      <c r="E1920" s="1" t="s">
        <v>51</v>
      </c>
      <c r="F1920" s="1" t="s">
        <v>52</v>
      </c>
      <c r="G1920" s="4">
        <v>11</v>
      </c>
      <c r="H1920" s="4">
        <v>9190</v>
      </c>
      <c r="I1920" s="6">
        <v>6367.0864981239138</v>
      </c>
      <c r="J1920" s="6">
        <f>表1[[#This Row],[销售金额]]-表1[[#This Row],[退款金额]]</f>
        <v>2822.9135018760862</v>
      </c>
      <c r="K1920" s="1">
        <v>652</v>
      </c>
      <c r="L1920" s="1">
        <v>888</v>
      </c>
    </row>
    <row r="1921" spans="1:12" x14ac:dyDescent="0.3">
      <c r="A1921" s="2">
        <v>45929</v>
      </c>
      <c r="B1921" s="1" t="s">
        <v>11</v>
      </c>
      <c r="C1921" s="1" t="s">
        <v>19</v>
      </c>
      <c r="D1921" s="1" t="s">
        <v>50</v>
      </c>
      <c r="E1921" s="1" t="s">
        <v>51</v>
      </c>
      <c r="F1921" s="1" t="s">
        <v>52</v>
      </c>
      <c r="G1921" s="4">
        <v>11</v>
      </c>
      <c r="H1921" s="4">
        <v>7590</v>
      </c>
      <c r="I1921" s="6">
        <v>6367.0864981239138</v>
      </c>
      <c r="J1921" s="6">
        <f>表1[[#This Row],[销售金额]]-表1[[#This Row],[退款金额]]</f>
        <v>1222.9135018760862</v>
      </c>
      <c r="K1921" s="1">
        <v>652</v>
      </c>
      <c r="L1921" s="1">
        <v>888</v>
      </c>
    </row>
    <row r="1922" spans="1:12" x14ac:dyDescent="0.3">
      <c r="A1922" s="2">
        <v>45929</v>
      </c>
      <c r="B1922" s="1" t="s">
        <v>11</v>
      </c>
      <c r="C1922" s="1" t="s">
        <v>19</v>
      </c>
      <c r="D1922" s="1" t="s">
        <v>50</v>
      </c>
      <c r="E1922" s="1" t="s">
        <v>51</v>
      </c>
      <c r="F1922" s="1" t="s">
        <v>52</v>
      </c>
      <c r="G1922" s="4">
        <v>11</v>
      </c>
      <c r="H1922" s="4">
        <v>11133</v>
      </c>
      <c r="I1922" s="6">
        <v>6367.0864981239138</v>
      </c>
      <c r="J1922" s="6">
        <f>表1[[#This Row],[销售金额]]-表1[[#This Row],[退款金额]]</f>
        <v>4765.9135018760862</v>
      </c>
      <c r="K1922" s="1">
        <v>652</v>
      </c>
      <c r="L1922" s="1">
        <v>888</v>
      </c>
    </row>
    <row r="1923" spans="1:12" x14ac:dyDescent="0.3">
      <c r="A1923" s="2">
        <v>45929</v>
      </c>
      <c r="B1923" s="1" t="s">
        <v>11</v>
      </c>
      <c r="C1923" s="1" t="s">
        <v>10</v>
      </c>
      <c r="D1923" s="1" t="s">
        <v>217</v>
      </c>
      <c r="E1923" s="1" t="s">
        <v>13</v>
      </c>
      <c r="F1923" s="1" t="s">
        <v>14</v>
      </c>
      <c r="G1923" s="4">
        <v>12</v>
      </c>
      <c r="H1923" s="4">
        <v>16645</v>
      </c>
      <c r="I1923" s="6">
        <v>15601.211991992188</v>
      </c>
      <c r="J1923" s="6">
        <f>表1[[#This Row],[销售金额]]-表1[[#This Row],[退款金额]]</f>
        <v>1043.7880080078121</v>
      </c>
      <c r="K1923" s="1">
        <v>92</v>
      </c>
      <c r="L1923" s="1">
        <v>585</v>
      </c>
    </row>
    <row r="1924" spans="1:12" x14ac:dyDescent="0.3">
      <c r="A1924" s="2">
        <v>45929</v>
      </c>
      <c r="B1924" s="1" t="s">
        <v>15</v>
      </c>
      <c r="C1924" s="1" t="s">
        <v>19</v>
      </c>
      <c r="D1924" s="1" t="s">
        <v>26</v>
      </c>
      <c r="E1924" s="1" t="s">
        <v>27</v>
      </c>
      <c r="F1924" s="1" t="s">
        <v>28</v>
      </c>
      <c r="G1924" s="4">
        <v>12</v>
      </c>
      <c r="H1924" s="4">
        <v>8201</v>
      </c>
      <c r="I1924" s="6">
        <v>3277.8068477639194</v>
      </c>
      <c r="J1924" s="6">
        <f>表1[[#This Row],[销售金额]]-表1[[#This Row],[退款金额]]</f>
        <v>4923.193152236081</v>
      </c>
      <c r="K1924" s="1">
        <v>356</v>
      </c>
      <c r="L1924" s="1">
        <v>483</v>
      </c>
    </row>
    <row r="1925" spans="1:12" x14ac:dyDescent="0.3">
      <c r="A1925" s="2">
        <v>45929</v>
      </c>
      <c r="B1925" s="1" t="s">
        <v>11</v>
      </c>
      <c r="C1925" s="1" t="s">
        <v>10</v>
      </c>
      <c r="D1925" s="1" t="s">
        <v>217</v>
      </c>
      <c r="E1925" s="1" t="s">
        <v>13</v>
      </c>
      <c r="F1925" s="1" t="s">
        <v>14</v>
      </c>
      <c r="G1925" s="4">
        <v>12</v>
      </c>
      <c r="H1925" s="4">
        <v>16409</v>
      </c>
      <c r="I1925" s="6">
        <v>15601.211991992188</v>
      </c>
      <c r="J1925" s="6">
        <f>表1[[#This Row],[销售金额]]-表1[[#This Row],[退款金额]]</f>
        <v>807.7880080078121</v>
      </c>
      <c r="K1925" s="1">
        <v>92</v>
      </c>
      <c r="L1925" s="1">
        <v>585</v>
      </c>
    </row>
    <row r="1926" spans="1:12" x14ac:dyDescent="0.3">
      <c r="A1926" s="2">
        <v>45929</v>
      </c>
      <c r="B1926" s="1" t="s">
        <v>15</v>
      </c>
      <c r="C1926" s="1" t="s">
        <v>19</v>
      </c>
      <c r="D1926" s="1" t="s">
        <v>26</v>
      </c>
      <c r="E1926" s="1" t="s">
        <v>27</v>
      </c>
      <c r="F1926" s="1" t="s">
        <v>28</v>
      </c>
      <c r="G1926" s="4">
        <v>12</v>
      </c>
      <c r="H1926" s="4">
        <v>3406</v>
      </c>
      <c r="I1926" s="6">
        <v>3277.8068477639194</v>
      </c>
      <c r="J1926" s="6">
        <f>表1[[#This Row],[销售金额]]-表1[[#This Row],[退款金额]]</f>
        <v>128.19315223608055</v>
      </c>
      <c r="K1926" s="1">
        <v>356</v>
      </c>
      <c r="L1926" s="1">
        <v>483</v>
      </c>
    </row>
    <row r="1927" spans="1:12" x14ac:dyDescent="0.3">
      <c r="A1927" s="2">
        <v>45929</v>
      </c>
      <c r="B1927" s="1" t="s">
        <v>11</v>
      </c>
      <c r="C1927" s="1" t="s">
        <v>10</v>
      </c>
      <c r="D1927" s="1" t="s">
        <v>217</v>
      </c>
      <c r="E1927" s="1" t="s">
        <v>13</v>
      </c>
      <c r="F1927" s="1" t="s">
        <v>14</v>
      </c>
      <c r="G1927" s="4">
        <v>12</v>
      </c>
      <c r="H1927" s="4">
        <v>17014</v>
      </c>
      <c r="I1927" s="6">
        <v>15601.211991992188</v>
      </c>
      <c r="J1927" s="6">
        <f>表1[[#This Row],[销售金额]]-表1[[#This Row],[退款金额]]</f>
        <v>1412.7880080078121</v>
      </c>
      <c r="K1927" s="1">
        <v>92</v>
      </c>
      <c r="L1927" s="1">
        <v>585</v>
      </c>
    </row>
    <row r="1928" spans="1:12" x14ac:dyDescent="0.3">
      <c r="A1928" s="2">
        <v>45929</v>
      </c>
      <c r="B1928" s="1" t="s">
        <v>15</v>
      </c>
      <c r="C1928" s="1" t="s">
        <v>19</v>
      </c>
      <c r="D1928" s="1" t="s">
        <v>26</v>
      </c>
      <c r="E1928" s="1" t="s">
        <v>27</v>
      </c>
      <c r="F1928" s="1" t="s">
        <v>28</v>
      </c>
      <c r="G1928" s="4">
        <v>12</v>
      </c>
      <c r="H1928" s="4">
        <v>3883</v>
      </c>
      <c r="I1928" s="6">
        <v>3277.8068477639194</v>
      </c>
      <c r="J1928" s="6">
        <f>表1[[#This Row],[销售金额]]-表1[[#This Row],[退款金额]]</f>
        <v>605.19315223608055</v>
      </c>
      <c r="K1928" s="1">
        <v>356</v>
      </c>
      <c r="L1928" s="1">
        <v>483</v>
      </c>
    </row>
    <row r="1929" spans="1:12" x14ac:dyDescent="0.3">
      <c r="A1929" s="2">
        <v>45929</v>
      </c>
      <c r="B1929" s="1" t="s">
        <v>11</v>
      </c>
      <c r="C1929" s="1" t="s">
        <v>10</v>
      </c>
      <c r="D1929" s="1" t="s">
        <v>217</v>
      </c>
      <c r="E1929" s="1" t="s">
        <v>13</v>
      </c>
      <c r="F1929" s="1" t="s">
        <v>14</v>
      </c>
      <c r="G1929" s="4">
        <v>12</v>
      </c>
      <c r="H1929" s="4">
        <v>19814</v>
      </c>
      <c r="I1929" s="6">
        <v>15601.211991992188</v>
      </c>
      <c r="J1929" s="6">
        <f>表1[[#This Row],[销售金额]]-表1[[#This Row],[退款金额]]</f>
        <v>4212.7880080078121</v>
      </c>
      <c r="K1929" s="1">
        <v>92</v>
      </c>
      <c r="L1929" s="1">
        <v>585</v>
      </c>
    </row>
    <row r="1930" spans="1:12" x14ac:dyDescent="0.3">
      <c r="A1930" s="2">
        <v>45929</v>
      </c>
      <c r="B1930" s="1" t="s">
        <v>15</v>
      </c>
      <c r="C1930" s="1" t="s">
        <v>19</v>
      </c>
      <c r="D1930" s="1" t="s">
        <v>26</v>
      </c>
      <c r="E1930" s="1" t="s">
        <v>27</v>
      </c>
      <c r="F1930" s="1" t="s">
        <v>28</v>
      </c>
      <c r="G1930" s="4">
        <v>12</v>
      </c>
      <c r="H1930" s="4">
        <v>3879</v>
      </c>
      <c r="I1930" s="6">
        <v>3277.8068477639194</v>
      </c>
      <c r="J1930" s="6">
        <f>表1[[#This Row],[销售金额]]-表1[[#This Row],[退款金额]]</f>
        <v>601.19315223608055</v>
      </c>
      <c r="K1930" s="1">
        <v>356</v>
      </c>
      <c r="L1930" s="1">
        <v>483</v>
      </c>
    </row>
    <row r="1931" spans="1:12" x14ac:dyDescent="0.3">
      <c r="A1931" s="2">
        <v>45929</v>
      </c>
      <c r="B1931" s="1" t="s">
        <v>11</v>
      </c>
      <c r="C1931" s="1" t="s">
        <v>10</v>
      </c>
      <c r="D1931" s="1" t="s">
        <v>217</v>
      </c>
      <c r="E1931" s="1" t="s">
        <v>13</v>
      </c>
      <c r="F1931" s="1" t="s">
        <v>14</v>
      </c>
      <c r="G1931" s="4">
        <v>12</v>
      </c>
      <c r="H1931" s="4">
        <v>18320</v>
      </c>
      <c r="I1931" s="6">
        <v>15601.211991992188</v>
      </c>
      <c r="J1931" s="6">
        <f>表1[[#This Row],[销售金额]]-表1[[#This Row],[退款金额]]</f>
        <v>2718.7880080078121</v>
      </c>
      <c r="K1931" s="1">
        <v>92</v>
      </c>
      <c r="L1931" s="1">
        <v>585</v>
      </c>
    </row>
    <row r="1932" spans="1:12" x14ac:dyDescent="0.3">
      <c r="A1932" s="2">
        <v>45929</v>
      </c>
      <c r="B1932" s="1" t="s">
        <v>15</v>
      </c>
      <c r="C1932" s="1" t="s">
        <v>19</v>
      </c>
      <c r="D1932" s="1" t="s">
        <v>26</v>
      </c>
      <c r="E1932" s="1" t="s">
        <v>27</v>
      </c>
      <c r="F1932" s="1" t="s">
        <v>28</v>
      </c>
      <c r="G1932" s="4">
        <v>12</v>
      </c>
      <c r="H1932" s="4">
        <v>8070</v>
      </c>
      <c r="I1932" s="6">
        <v>3277.8068477639194</v>
      </c>
      <c r="J1932" s="6">
        <f>表1[[#This Row],[销售金额]]-表1[[#This Row],[退款金额]]</f>
        <v>4792.193152236081</v>
      </c>
      <c r="K1932" s="1">
        <v>356</v>
      </c>
      <c r="L1932" s="1">
        <v>483</v>
      </c>
    </row>
    <row r="1933" spans="1:12" x14ac:dyDescent="0.3">
      <c r="A1933" s="2">
        <v>45929</v>
      </c>
      <c r="B1933" s="1" t="s">
        <v>11</v>
      </c>
      <c r="C1933" s="1" t="s">
        <v>10</v>
      </c>
      <c r="D1933" s="1" t="s">
        <v>217</v>
      </c>
      <c r="E1933" s="1" t="s">
        <v>13</v>
      </c>
      <c r="F1933" s="1" t="s">
        <v>14</v>
      </c>
      <c r="G1933" s="4">
        <v>12</v>
      </c>
      <c r="H1933" s="4">
        <v>19261</v>
      </c>
      <c r="I1933" s="6">
        <v>15601.211991992188</v>
      </c>
      <c r="J1933" s="6">
        <f>表1[[#This Row],[销售金额]]-表1[[#This Row],[退款金额]]</f>
        <v>3659.7880080078121</v>
      </c>
      <c r="K1933" s="1">
        <v>92</v>
      </c>
      <c r="L1933" s="1">
        <v>585</v>
      </c>
    </row>
    <row r="1934" spans="1:12" x14ac:dyDescent="0.3">
      <c r="A1934" s="2">
        <v>45929</v>
      </c>
      <c r="B1934" s="1" t="s">
        <v>15</v>
      </c>
      <c r="C1934" s="1" t="s">
        <v>19</v>
      </c>
      <c r="D1934" s="1" t="s">
        <v>26</v>
      </c>
      <c r="E1934" s="1" t="s">
        <v>27</v>
      </c>
      <c r="F1934" s="1" t="s">
        <v>28</v>
      </c>
      <c r="G1934" s="4">
        <v>12</v>
      </c>
      <c r="H1934" s="4">
        <v>7446</v>
      </c>
      <c r="I1934" s="6">
        <v>3277.8068477639194</v>
      </c>
      <c r="J1934" s="6">
        <f>表1[[#This Row],[销售金额]]-表1[[#This Row],[退款金额]]</f>
        <v>4168.193152236081</v>
      </c>
      <c r="K1934" s="1">
        <v>356</v>
      </c>
      <c r="L1934" s="1">
        <v>483</v>
      </c>
    </row>
    <row r="1935" spans="1:12" x14ac:dyDescent="0.3">
      <c r="A1935" s="2">
        <v>45929</v>
      </c>
      <c r="B1935" s="1" t="s">
        <v>11</v>
      </c>
      <c r="C1935" s="1" t="s">
        <v>10</v>
      </c>
      <c r="D1935" s="1" t="s">
        <v>217</v>
      </c>
      <c r="E1935" s="1" t="s">
        <v>13</v>
      </c>
      <c r="F1935" s="1" t="s">
        <v>14</v>
      </c>
      <c r="G1935" s="4">
        <v>12</v>
      </c>
      <c r="H1935" s="4">
        <v>17690</v>
      </c>
      <c r="I1935" s="6">
        <v>15601.211991992188</v>
      </c>
      <c r="J1935" s="6">
        <f>表1[[#This Row],[销售金额]]-表1[[#This Row],[退款金额]]</f>
        <v>2088.7880080078121</v>
      </c>
      <c r="K1935" s="1">
        <v>92</v>
      </c>
      <c r="L1935" s="1">
        <v>585</v>
      </c>
    </row>
    <row r="1936" spans="1:12" x14ac:dyDescent="0.3">
      <c r="A1936" s="2">
        <v>45929</v>
      </c>
      <c r="B1936" s="1" t="s">
        <v>15</v>
      </c>
      <c r="C1936" s="1" t="s">
        <v>19</v>
      </c>
      <c r="D1936" s="1" t="s">
        <v>26</v>
      </c>
      <c r="E1936" s="1" t="s">
        <v>27</v>
      </c>
      <c r="F1936" s="1" t="s">
        <v>28</v>
      </c>
      <c r="G1936" s="4">
        <v>12</v>
      </c>
      <c r="H1936" s="4">
        <v>6292</v>
      </c>
      <c r="I1936" s="6">
        <v>3277.8068477639194</v>
      </c>
      <c r="J1936" s="6">
        <f>表1[[#This Row],[销售金额]]-表1[[#This Row],[退款金额]]</f>
        <v>3014.1931522360806</v>
      </c>
      <c r="K1936" s="1">
        <v>356</v>
      </c>
      <c r="L1936" s="1">
        <v>483</v>
      </c>
    </row>
    <row r="1937" spans="1:12" x14ac:dyDescent="0.3">
      <c r="A1937" s="2">
        <v>45929</v>
      </c>
      <c r="B1937" s="1" t="s">
        <v>11</v>
      </c>
      <c r="C1937" s="1" t="s">
        <v>10</v>
      </c>
      <c r="D1937" s="1" t="s">
        <v>217</v>
      </c>
      <c r="E1937" s="1" t="s">
        <v>13</v>
      </c>
      <c r="F1937" s="1" t="s">
        <v>14</v>
      </c>
      <c r="G1937" s="4">
        <v>12</v>
      </c>
      <c r="H1937" s="4">
        <v>16650</v>
      </c>
      <c r="I1937" s="6">
        <v>15601.211991992188</v>
      </c>
      <c r="J1937" s="6">
        <f>表1[[#This Row],[销售金额]]-表1[[#This Row],[退款金额]]</f>
        <v>1048.7880080078121</v>
      </c>
      <c r="K1937" s="1">
        <v>92</v>
      </c>
      <c r="L1937" s="1">
        <v>585</v>
      </c>
    </row>
    <row r="1938" spans="1:12" x14ac:dyDescent="0.3">
      <c r="A1938" s="2">
        <v>45929</v>
      </c>
      <c r="B1938" s="1" t="s">
        <v>15</v>
      </c>
      <c r="C1938" s="1" t="s">
        <v>19</v>
      </c>
      <c r="D1938" s="1" t="s">
        <v>26</v>
      </c>
      <c r="E1938" s="1" t="s">
        <v>27</v>
      </c>
      <c r="F1938" s="1" t="s">
        <v>28</v>
      </c>
      <c r="G1938" s="4">
        <v>12</v>
      </c>
      <c r="H1938" s="4">
        <v>6223</v>
      </c>
      <c r="I1938" s="6">
        <v>3277.8068477639194</v>
      </c>
      <c r="J1938" s="6">
        <f>表1[[#This Row],[销售金额]]-表1[[#This Row],[退款金额]]</f>
        <v>2945.1931522360806</v>
      </c>
      <c r="K1938" s="1">
        <v>356</v>
      </c>
      <c r="L1938" s="1">
        <v>483</v>
      </c>
    </row>
    <row r="1939" spans="1:12" x14ac:dyDescent="0.3">
      <c r="A1939" s="2">
        <v>45929</v>
      </c>
      <c r="B1939" s="1" t="s">
        <v>11</v>
      </c>
      <c r="C1939" s="1" t="s">
        <v>10</v>
      </c>
      <c r="D1939" s="1" t="s">
        <v>217</v>
      </c>
      <c r="E1939" s="1" t="s">
        <v>13</v>
      </c>
      <c r="F1939" s="1" t="s">
        <v>14</v>
      </c>
      <c r="G1939" s="4">
        <v>12</v>
      </c>
      <c r="H1939" s="4">
        <v>18851</v>
      </c>
      <c r="I1939" s="6">
        <v>15601.211991992188</v>
      </c>
      <c r="J1939" s="6">
        <f>表1[[#This Row],[销售金额]]-表1[[#This Row],[退款金额]]</f>
        <v>3249.7880080078121</v>
      </c>
      <c r="K1939" s="1">
        <v>92</v>
      </c>
      <c r="L1939" s="1">
        <v>585</v>
      </c>
    </row>
    <row r="1940" spans="1:12" x14ac:dyDescent="0.3">
      <c r="A1940" s="2">
        <v>45929</v>
      </c>
      <c r="B1940" s="1" t="s">
        <v>248</v>
      </c>
      <c r="C1940" s="1" t="s">
        <v>10</v>
      </c>
      <c r="D1940" s="1" t="s">
        <v>93</v>
      </c>
      <c r="E1940" s="1" t="s">
        <v>13</v>
      </c>
      <c r="F1940" s="1" t="s">
        <v>14</v>
      </c>
      <c r="G1940" s="4">
        <v>14</v>
      </c>
      <c r="H1940" s="4">
        <v>17758</v>
      </c>
      <c r="I1940" s="6">
        <v>16593.801905719378</v>
      </c>
      <c r="J1940" s="6">
        <f>表1[[#This Row],[销售金额]]-表1[[#This Row],[退款金额]]</f>
        <v>1164.1980942806222</v>
      </c>
      <c r="K1940" s="1">
        <v>603</v>
      </c>
      <c r="L1940" s="1">
        <v>25</v>
      </c>
    </row>
    <row r="1941" spans="1:12" x14ac:dyDescent="0.3">
      <c r="A1941" s="2">
        <v>45929</v>
      </c>
      <c r="B1941" s="1" t="s">
        <v>248</v>
      </c>
      <c r="C1941" s="1" t="s">
        <v>10</v>
      </c>
      <c r="D1941" s="1" t="s">
        <v>93</v>
      </c>
      <c r="E1941" s="1" t="s">
        <v>13</v>
      </c>
      <c r="F1941" s="1" t="s">
        <v>14</v>
      </c>
      <c r="G1941" s="4">
        <v>14</v>
      </c>
      <c r="H1941" s="4">
        <v>17139</v>
      </c>
      <c r="I1941" s="6">
        <v>16593.801905719378</v>
      </c>
      <c r="J1941" s="6">
        <f>表1[[#This Row],[销售金额]]-表1[[#This Row],[退款金额]]</f>
        <v>545.19809428062217</v>
      </c>
      <c r="K1941" s="1">
        <v>603</v>
      </c>
      <c r="L1941" s="1">
        <v>25</v>
      </c>
    </row>
    <row r="1942" spans="1:12" x14ac:dyDescent="0.3">
      <c r="A1942" s="2">
        <v>45929</v>
      </c>
      <c r="B1942" s="1" t="s">
        <v>248</v>
      </c>
      <c r="C1942" s="1" t="s">
        <v>10</v>
      </c>
      <c r="D1942" s="1" t="s">
        <v>93</v>
      </c>
      <c r="E1942" s="1" t="s">
        <v>13</v>
      </c>
      <c r="F1942" s="1" t="s">
        <v>14</v>
      </c>
      <c r="G1942" s="4">
        <v>14</v>
      </c>
      <c r="H1942" s="4">
        <v>19544</v>
      </c>
      <c r="I1942" s="6">
        <v>16593.801905719378</v>
      </c>
      <c r="J1942" s="6">
        <f>表1[[#This Row],[销售金额]]-表1[[#This Row],[退款金额]]</f>
        <v>2950.1980942806222</v>
      </c>
      <c r="K1942" s="1">
        <v>603</v>
      </c>
      <c r="L1942" s="1">
        <v>25</v>
      </c>
    </row>
    <row r="1943" spans="1:12" x14ac:dyDescent="0.3">
      <c r="A1943" s="2">
        <v>45929</v>
      </c>
      <c r="B1943" s="1" t="s">
        <v>248</v>
      </c>
      <c r="C1943" s="1" t="s">
        <v>10</v>
      </c>
      <c r="D1943" s="1" t="s">
        <v>93</v>
      </c>
      <c r="E1943" s="1" t="s">
        <v>13</v>
      </c>
      <c r="F1943" s="1" t="s">
        <v>14</v>
      </c>
      <c r="G1943" s="4">
        <v>14</v>
      </c>
      <c r="H1943" s="4">
        <v>19752</v>
      </c>
      <c r="I1943" s="6">
        <v>16593.801905719378</v>
      </c>
      <c r="J1943" s="6">
        <f>表1[[#This Row],[销售金额]]-表1[[#This Row],[退款金额]]</f>
        <v>3158.1980942806222</v>
      </c>
      <c r="K1943" s="1">
        <v>603</v>
      </c>
      <c r="L1943" s="1">
        <v>25</v>
      </c>
    </row>
    <row r="1944" spans="1:12" x14ac:dyDescent="0.3">
      <c r="A1944" s="2">
        <v>45929</v>
      </c>
      <c r="B1944" s="1" t="s">
        <v>248</v>
      </c>
      <c r="C1944" s="1" t="s">
        <v>10</v>
      </c>
      <c r="D1944" s="1" t="s">
        <v>93</v>
      </c>
      <c r="E1944" s="1" t="s">
        <v>13</v>
      </c>
      <c r="F1944" s="1" t="s">
        <v>14</v>
      </c>
      <c r="G1944" s="4">
        <v>14</v>
      </c>
      <c r="H1944" s="4">
        <v>21584</v>
      </c>
      <c r="I1944" s="6">
        <v>16593.801905719378</v>
      </c>
      <c r="J1944" s="6">
        <f>表1[[#This Row],[销售金额]]-表1[[#This Row],[退款金额]]</f>
        <v>4990.1980942806222</v>
      </c>
      <c r="K1944" s="1">
        <v>603</v>
      </c>
      <c r="L1944" s="1">
        <v>25</v>
      </c>
    </row>
    <row r="1945" spans="1:12" x14ac:dyDescent="0.3">
      <c r="A1945" s="2">
        <v>45929</v>
      </c>
      <c r="B1945" s="1" t="s">
        <v>248</v>
      </c>
      <c r="C1945" s="1" t="s">
        <v>10</v>
      </c>
      <c r="D1945" s="1" t="s">
        <v>93</v>
      </c>
      <c r="E1945" s="1" t="s">
        <v>13</v>
      </c>
      <c r="F1945" s="1" t="s">
        <v>14</v>
      </c>
      <c r="G1945" s="4">
        <v>14</v>
      </c>
      <c r="H1945" s="4">
        <v>18057</v>
      </c>
      <c r="I1945" s="6">
        <v>16593.801905719378</v>
      </c>
      <c r="J1945" s="6">
        <f>表1[[#This Row],[销售金额]]-表1[[#This Row],[退款金额]]</f>
        <v>1463.1980942806222</v>
      </c>
      <c r="K1945" s="1">
        <v>603</v>
      </c>
      <c r="L1945" s="1">
        <v>25</v>
      </c>
    </row>
    <row r="1946" spans="1:12" x14ac:dyDescent="0.3">
      <c r="A1946" s="2">
        <v>45929</v>
      </c>
      <c r="B1946" s="1" t="s">
        <v>248</v>
      </c>
      <c r="C1946" s="1" t="s">
        <v>10</v>
      </c>
      <c r="D1946" s="1" t="s">
        <v>93</v>
      </c>
      <c r="E1946" s="1" t="s">
        <v>13</v>
      </c>
      <c r="F1946" s="1" t="s">
        <v>14</v>
      </c>
      <c r="G1946" s="4">
        <v>14</v>
      </c>
      <c r="H1946" s="4">
        <v>19997</v>
      </c>
      <c r="I1946" s="6">
        <v>16593.801905719378</v>
      </c>
      <c r="J1946" s="6">
        <f>表1[[#This Row],[销售金额]]-表1[[#This Row],[退款金额]]</f>
        <v>3403.1980942806222</v>
      </c>
      <c r="K1946" s="1">
        <v>603</v>
      </c>
      <c r="L1946" s="1">
        <v>25</v>
      </c>
    </row>
    <row r="1947" spans="1:12" x14ac:dyDescent="0.3">
      <c r="A1947" s="2">
        <v>45929</v>
      </c>
      <c r="B1947" s="1" t="s">
        <v>248</v>
      </c>
      <c r="C1947" s="1" t="s">
        <v>10</v>
      </c>
      <c r="D1947" s="1" t="s">
        <v>93</v>
      </c>
      <c r="E1947" s="1" t="s">
        <v>13</v>
      </c>
      <c r="F1947" s="1" t="s">
        <v>14</v>
      </c>
      <c r="G1947" s="4">
        <v>14</v>
      </c>
      <c r="H1947" s="4">
        <v>17014</v>
      </c>
      <c r="I1947" s="6">
        <v>16593.801905719378</v>
      </c>
      <c r="J1947" s="6">
        <f>表1[[#This Row],[销售金额]]-表1[[#This Row],[退款金额]]</f>
        <v>420.19809428062217</v>
      </c>
      <c r="K1947" s="1">
        <v>603</v>
      </c>
      <c r="L1947" s="1">
        <v>25</v>
      </c>
    </row>
    <row r="1948" spans="1:12" x14ac:dyDescent="0.3">
      <c r="A1948" s="2">
        <v>45929</v>
      </c>
      <c r="B1948" s="1" t="s">
        <v>248</v>
      </c>
      <c r="C1948" s="1" t="s">
        <v>10</v>
      </c>
      <c r="D1948" s="1" t="s">
        <v>93</v>
      </c>
      <c r="E1948" s="1" t="s">
        <v>13</v>
      </c>
      <c r="F1948" s="1" t="s">
        <v>14</v>
      </c>
      <c r="G1948" s="4">
        <v>14</v>
      </c>
      <c r="H1948" s="4">
        <v>17180</v>
      </c>
      <c r="I1948" s="6">
        <v>16593.801905719378</v>
      </c>
      <c r="J1948" s="6">
        <f>表1[[#This Row],[销售金额]]-表1[[#This Row],[退款金额]]</f>
        <v>586.19809428062217</v>
      </c>
      <c r="K1948" s="1">
        <v>603</v>
      </c>
      <c r="L1948" s="1">
        <v>25</v>
      </c>
    </row>
    <row r="1949" spans="1:12" x14ac:dyDescent="0.3">
      <c r="A1949" s="2">
        <v>45929</v>
      </c>
      <c r="B1949" s="1" t="s">
        <v>248</v>
      </c>
      <c r="C1949" s="1" t="s">
        <v>10</v>
      </c>
      <c r="D1949" s="1" t="s">
        <v>93</v>
      </c>
      <c r="E1949" s="1" t="s">
        <v>13</v>
      </c>
      <c r="F1949" s="1" t="s">
        <v>14</v>
      </c>
      <c r="G1949" s="4">
        <v>14</v>
      </c>
      <c r="H1949" s="4">
        <v>16690</v>
      </c>
      <c r="I1949" s="6">
        <v>16593.801905719378</v>
      </c>
      <c r="J1949" s="6">
        <f>表1[[#This Row],[销售金额]]-表1[[#This Row],[退款金额]]</f>
        <v>96.198094280622172</v>
      </c>
      <c r="K1949" s="1">
        <v>603</v>
      </c>
      <c r="L1949" s="1">
        <v>25</v>
      </c>
    </row>
    <row r="1950" spans="1:12" x14ac:dyDescent="0.3">
      <c r="A1950" s="2">
        <v>45929</v>
      </c>
      <c r="B1950" s="1" t="s">
        <v>248</v>
      </c>
      <c r="C1950" s="1" t="s">
        <v>10</v>
      </c>
      <c r="D1950" s="1" t="s">
        <v>93</v>
      </c>
      <c r="E1950" s="1" t="s">
        <v>13</v>
      </c>
      <c r="F1950" s="1" t="s">
        <v>14</v>
      </c>
      <c r="G1950" s="4">
        <v>14</v>
      </c>
      <c r="H1950" s="4">
        <v>18220</v>
      </c>
      <c r="I1950" s="6">
        <v>16593.801905719378</v>
      </c>
      <c r="J1950" s="6">
        <f>表1[[#This Row],[销售金额]]-表1[[#This Row],[退款金额]]</f>
        <v>1626.1980942806222</v>
      </c>
      <c r="K1950" s="1">
        <v>603</v>
      </c>
      <c r="L1950" s="1">
        <v>25</v>
      </c>
    </row>
    <row r="1951" spans="1:12" x14ac:dyDescent="0.3">
      <c r="A1951" s="2">
        <v>45929</v>
      </c>
      <c r="B1951" s="1" t="s">
        <v>248</v>
      </c>
      <c r="C1951" s="1" t="s">
        <v>10</v>
      </c>
      <c r="D1951" s="1" t="s">
        <v>93</v>
      </c>
      <c r="E1951" s="1" t="s">
        <v>13</v>
      </c>
      <c r="F1951" s="1" t="s">
        <v>14</v>
      </c>
      <c r="G1951" s="4">
        <v>14</v>
      </c>
      <c r="H1951" s="4">
        <v>17420</v>
      </c>
      <c r="I1951" s="6">
        <v>16593.801905719378</v>
      </c>
      <c r="J1951" s="6">
        <f>表1[[#This Row],[销售金额]]-表1[[#This Row],[退款金额]]</f>
        <v>826.19809428062217</v>
      </c>
      <c r="K1951" s="1">
        <v>603</v>
      </c>
      <c r="L1951" s="1">
        <v>25</v>
      </c>
    </row>
    <row r="1952" spans="1:12" x14ac:dyDescent="0.3">
      <c r="A1952" s="2">
        <v>45929</v>
      </c>
      <c r="B1952" s="1" t="s">
        <v>248</v>
      </c>
      <c r="C1952" s="1" t="s">
        <v>10</v>
      </c>
      <c r="D1952" s="1" t="s">
        <v>93</v>
      </c>
      <c r="E1952" s="1" t="s">
        <v>13</v>
      </c>
      <c r="F1952" s="1" t="s">
        <v>14</v>
      </c>
      <c r="G1952" s="4">
        <v>14</v>
      </c>
      <c r="H1952" s="4">
        <v>19216</v>
      </c>
      <c r="I1952" s="6">
        <v>16593.801905719378</v>
      </c>
      <c r="J1952" s="6">
        <f>表1[[#This Row],[销售金额]]-表1[[#This Row],[退款金额]]</f>
        <v>2622.1980942806222</v>
      </c>
      <c r="K1952" s="1">
        <v>603</v>
      </c>
      <c r="L1952" s="1">
        <v>25</v>
      </c>
    </row>
    <row r="1953" spans="1:12" x14ac:dyDescent="0.3">
      <c r="A1953" s="2">
        <v>45929</v>
      </c>
      <c r="B1953" s="1" t="s">
        <v>248</v>
      </c>
      <c r="C1953" s="1" t="s">
        <v>10</v>
      </c>
      <c r="D1953" s="1" t="s">
        <v>93</v>
      </c>
      <c r="E1953" s="1" t="s">
        <v>13</v>
      </c>
      <c r="F1953" s="1" t="s">
        <v>14</v>
      </c>
      <c r="G1953" s="4">
        <v>14</v>
      </c>
      <c r="H1953" s="4">
        <v>18016</v>
      </c>
      <c r="I1953" s="6">
        <v>16593.801905719378</v>
      </c>
      <c r="J1953" s="6">
        <f>表1[[#This Row],[销售金额]]-表1[[#This Row],[退款金额]]</f>
        <v>1422.1980942806222</v>
      </c>
      <c r="K1953" s="1">
        <v>603</v>
      </c>
      <c r="L1953" s="1">
        <v>25</v>
      </c>
    </row>
    <row r="1954" spans="1:12" x14ac:dyDescent="0.3">
      <c r="A1954" s="2">
        <v>45929</v>
      </c>
      <c r="B1954" s="1" t="s">
        <v>248</v>
      </c>
      <c r="C1954" s="1" t="s">
        <v>10</v>
      </c>
      <c r="D1954" s="1" t="s">
        <v>93</v>
      </c>
      <c r="E1954" s="1" t="s">
        <v>13</v>
      </c>
      <c r="F1954" s="1" t="s">
        <v>14</v>
      </c>
      <c r="G1954" s="4">
        <v>14</v>
      </c>
      <c r="H1954" s="4">
        <v>20943</v>
      </c>
      <c r="I1954" s="6">
        <v>16593.801905719378</v>
      </c>
      <c r="J1954" s="6">
        <f>表1[[#This Row],[销售金额]]-表1[[#This Row],[退款金额]]</f>
        <v>4349.1980942806222</v>
      </c>
      <c r="K1954" s="1">
        <v>603</v>
      </c>
      <c r="L1954" s="1">
        <v>25</v>
      </c>
    </row>
    <row r="1955" spans="1:12" x14ac:dyDescent="0.3">
      <c r="A1955" s="2">
        <v>45929</v>
      </c>
      <c r="B1955" s="1" t="s">
        <v>248</v>
      </c>
      <c r="C1955" s="1" t="s">
        <v>10</v>
      </c>
      <c r="D1955" s="1" t="s">
        <v>93</v>
      </c>
      <c r="E1955" s="1" t="s">
        <v>13</v>
      </c>
      <c r="F1955" s="1" t="s">
        <v>14</v>
      </c>
      <c r="G1955" s="4">
        <v>14</v>
      </c>
      <c r="H1955" s="4">
        <v>21439</v>
      </c>
      <c r="I1955" s="6">
        <v>16593.801905719378</v>
      </c>
      <c r="J1955" s="6">
        <f>表1[[#This Row],[销售金额]]-表1[[#This Row],[退款金额]]</f>
        <v>4845.1980942806222</v>
      </c>
      <c r="K1955" s="1">
        <v>603</v>
      </c>
      <c r="L1955" s="1">
        <v>25</v>
      </c>
    </row>
    <row r="1956" spans="1:12" x14ac:dyDescent="0.3">
      <c r="A1956" s="2">
        <v>45929</v>
      </c>
      <c r="B1956" s="1" t="s">
        <v>248</v>
      </c>
      <c r="C1956" s="1" t="s">
        <v>10</v>
      </c>
      <c r="D1956" s="1" t="s">
        <v>93</v>
      </c>
      <c r="E1956" s="1" t="s">
        <v>13</v>
      </c>
      <c r="F1956" s="1" t="s">
        <v>14</v>
      </c>
      <c r="G1956" s="4">
        <v>14</v>
      </c>
      <c r="H1956" s="4">
        <v>18773</v>
      </c>
      <c r="I1956" s="6">
        <v>16593.801905719378</v>
      </c>
      <c r="J1956" s="6">
        <f>表1[[#This Row],[销售金额]]-表1[[#This Row],[退款金额]]</f>
        <v>2179.1980942806222</v>
      </c>
      <c r="K1956" s="1">
        <v>603</v>
      </c>
      <c r="L1956" s="1">
        <v>25</v>
      </c>
    </row>
    <row r="1957" spans="1:12" x14ac:dyDescent="0.3">
      <c r="A1957" s="2">
        <v>45929</v>
      </c>
      <c r="B1957" s="1" t="s">
        <v>248</v>
      </c>
      <c r="C1957" s="1" t="s">
        <v>10</v>
      </c>
      <c r="D1957" s="1" t="s">
        <v>93</v>
      </c>
      <c r="E1957" s="1" t="s">
        <v>13</v>
      </c>
      <c r="F1957" s="1" t="s">
        <v>14</v>
      </c>
      <c r="G1957" s="4">
        <v>14</v>
      </c>
      <c r="H1957" s="4">
        <v>20695</v>
      </c>
      <c r="I1957" s="6">
        <v>16593.801905719378</v>
      </c>
      <c r="J1957" s="6">
        <f>表1[[#This Row],[销售金额]]-表1[[#This Row],[退款金额]]</f>
        <v>4101.1980942806222</v>
      </c>
      <c r="K1957" s="1">
        <v>603</v>
      </c>
      <c r="L1957" s="1">
        <v>25</v>
      </c>
    </row>
    <row r="1958" spans="1:12" x14ac:dyDescent="0.3">
      <c r="A1958" s="2">
        <v>45929</v>
      </c>
      <c r="B1958" s="1" t="s">
        <v>15</v>
      </c>
      <c r="C1958" s="1" t="s">
        <v>19</v>
      </c>
      <c r="D1958" s="1" t="s">
        <v>105</v>
      </c>
      <c r="E1958" s="1" t="s">
        <v>21</v>
      </c>
      <c r="F1958" s="1" t="s">
        <v>22</v>
      </c>
      <c r="G1958" s="4">
        <v>16</v>
      </c>
      <c r="H1958" s="4">
        <v>6848</v>
      </c>
      <c r="I1958" s="6">
        <v>5843.2460112459321</v>
      </c>
      <c r="J1958" s="6">
        <f>表1[[#This Row],[销售金额]]-表1[[#This Row],[退款金额]]</f>
        <v>1004.7539887540679</v>
      </c>
      <c r="K1958" s="1">
        <v>2</v>
      </c>
      <c r="L1958" s="1">
        <v>995</v>
      </c>
    </row>
    <row r="1959" spans="1:12" x14ac:dyDescent="0.3">
      <c r="A1959" s="2">
        <v>45929</v>
      </c>
      <c r="B1959" s="1" t="s">
        <v>15</v>
      </c>
      <c r="C1959" s="1" t="s">
        <v>19</v>
      </c>
      <c r="D1959" s="1" t="s">
        <v>105</v>
      </c>
      <c r="E1959" s="1" t="s">
        <v>21</v>
      </c>
      <c r="F1959" s="1" t="s">
        <v>22</v>
      </c>
      <c r="G1959" s="4">
        <v>16</v>
      </c>
      <c r="H1959" s="4">
        <v>6979</v>
      </c>
      <c r="I1959" s="6">
        <v>5843.2460112459321</v>
      </c>
      <c r="J1959" s="6">
        <f>表1[[#This Row],[销售金额]]-表1[[#This Row],[退款金额]]</f>
        <v>1135.7539887540679</v>
      </c>
      <c r="K1959" s="1">
        <v>2</v>
      </c>
      <c r="L1959" s="1">
        <v>995</v>
      </c>
    </row>
    <row r="1960" spans="1:12" x14ac:dyDescent="0.3">
      <c r="A1960" s="2">
        <v>45929</v>
      </c>
      <c r="B1960" s="1" t="s">
        <v>15</v>
      </c>
      <c r="C1960" s="1" t="s">
        <v>19</v>
      </c>
      <c r="D1960" s="1" t="s">
        <v>105</v>
      </c>
      <c r="E1960" s="1" t="s">
        <v>21</v>
      </c>
      <c r="F1960" s="1" t="s">
        <v>22</v>
      </c>
      <c r="G1960" s="4">
        <v>16</v>
      </c>
      <c r="H1960" s="4">
        <v>6082</v>
      </c>
      <c r="I1960" s="6">
        <v>5843.2460112459321</v>
      </c>
      <c r="J1960" s="6">
        <f>表1[[#This Row],[销售金额]]-表1[[#This Row],[退款金额]]</f>
        <v>238.7539887540679</v>
      </c>
      <c r="K1960" s="1">
        <v>2</v>
      </c>
      <c r="L1960" s="1">
        <v>995</v>
      </c>
    </row>
    <row r="1961" spans="1:12" x14ac:dyDescent="0.3">
      <c r="A1961" s="2">
        <v>45929</v>
      </c>
      <c r="B1961" s="1" t="s">
        <v>15</v>
      </c>
      <c r="C1961" s="1" t="s">
        <v>19</v>
      </c>
      <c r="D1961" s="1" t="s">
        <v>105</v>
      </c>
      <c r="E1961" s="1" t="s">
        <v>21</v>
      </c>
      <c r="F1961" s="1" t="s">
        <v>22</v>
      </c>
      <c r="G1961" s="4">
        <v>16</v>
      </c>
      <c r="H1961" s="4">
        <v>8690</v>
      </c>
      <c r="I1961" s="6">
        <v>5843.2460112459321</v>
      </c>
      <c r="J1961" s="6">
        <f>表1[[#This Row],[销售金额]]-表1[[#This Row],[退款金额]]</f>
        <v>2846.7539887540679</v>
      </c>
      <c r="K1961" s="1">
        <v>2</v>
      </c>
      <c r="L1961" s="1">
        <v>995</v>
      </c>
    </row>
    <row r="1962" spans="1:12" x14ac:dyDescent="0.3">
      <c r="A1962" s="2">
        <v>45929</v>
      </c>
      <c r="B1962" s="1" t="s">
        <v>15</v>
      </c>
      <c r="C1962" s="1" t="s">
        <v>19</v>
      </c>
      <c r="D1962" s="1" t="s">
        <v>105</v>
      </c>
      <c r="E1962" s="1" t="s">
        <v>21</v>
      </c>
      <c r="F1962" s="1" t="s">
        <v>22</v>
      </c>
      <c r="G1962" s="4">
        <v>16</v>
      </c>
      <c r="H1962" s="4">
        <v>7578</v>
      </c>
      <c r="I1962" s="6">
        <v>5843.2460112459321</v>
      </c>
      <c r="J1962" s="6">
        <f>表1[[#This Row],[销售金额]]-表1[[#This Row],[退款金额]]</f>
        <v>1734.7539887540679</v>
      </c>
      <c r="K1962" s="1">
        <v>2</v>
      </c>
      <c r="L1962" s="1">
        <v>995</v>
      </c>
    </row>
    <row r="1963" spans="1:12" x14ac:dyDescent="0.3">
      <c r="A1963" s="2">
        <v>45929</v>
      </c>
      <c r="B1963" s="1" t="s">
        <v>15</v>
      </c>
      <c r="C1963" s="1" t="s">
        <v>19</v>
      </c>
      <c r="D1963" s="1" t="s">
        <v>105</v>
      </c>
      <c r="E1963" s="1" t="s">
        <v>21</v>
      </c>
      <c r="F1963" s="1" t="s">
        <v>22</v>
      </c>
      <c r="G1963" s="4">
        <v>16</v>
      </c>
      <c r="H1963" s="4">
        <v>10773</v>
      </c>
      <c r="I1963" s="6">
        <v>5843.2460112459321</v>
      </c>
      <c r="J1963" s="6">
        <f>表1[[#This Row],[销售金额]]-表1[[#This Row],[退款金额]]</f>
        <v>4929.7539887540679</v>
      </c>
      <c r="K1963" s="1">
        <v>2</v>
      </c>
      <c r="L1963" s="1">
        <v>995</v>
      </c>
    </row>
    <row r="1964" spans="1:12" x14ac:dyDescent="0.3">
      <c r="A1964" s="2">
        <v>45929</v>
      </c>
      <c r="B1964" s="1" t="s">
        <v>15</v>
      </c>
      <c r="C1964" s="1" t="s">
        <v>19</v>
      </c>
      <c r="D1964" s="1" t="s">
        <v>105</v>
      </c>
      <c r="E1964" s="1" t="s">
        <v>21</v>
      </c>
      <c r="F1964" s="1" t="s">
        <v>22</v>
      </c>
      <c r="G1964" s="4">
        <v>16</v>
      </c>
      <c r="H1964" s="4">
        <v>8095</v>
      </c>
      <c r="I1964" s="6">
        <v>5843.2460112459321</v>
      </c>
      <c r="J1964" s="6">
        <f>表1[[#This Row],[销售金额]]-表1[[#This Row],[退款金额]]</f>
        <v>2251.7539887540679</v>
      </c>
      <c r="K1964" s="1">
        <v>2</v>
      </c>
      <c r="L1964" s="1">
        <v>995</v>
      </c>
    </row>
    <row r="1965" spans="1:12" x14ac:dyDescent="0.3">
      <c r="A1965" s="2">
        <v>45929</v>
      </c>
      <c r="B1965" s="1" t="s">
        <v>15</v>
      </c>
      <c r="C1965" s="1" t="s">
        <v>19</v>
      </c>
      <c r="D1965" s="1" t="s">
        <v>105</v>
      </c>
      <c r="E1965" s="1" t="s">
        <v>21</v>
      </c>
      <c r="F1965" s="1" t="s">
        <v>22</v>
      </c>
      <c r="G1965" s="4">
        <v>16</v>
      </c>
      <c r="H1965" s="4">
        <v>9327</v>
      </c>
      <c r="I1965" s="6">
        <v>5843.2460112459321</v>
      </c>
      <c r="J1965" s="6">
        <f>表1[[#This Row],[销售金额]]-表1[[#This Row],[退款金额]]</f>
        <v>3483.7539887540679</v>
      </c>
      <c r="K1965" s="1">
        <v>2</v>
      </c>
      <c r="L1965" s="1">
        <v>995</v>
      </c>
    </row>
    <row r="1966" spans="1:12" x14ac:dyDescent="0.3">
      <c r="A1966" s="2">
        <v>45929</v>
      </c>
      <c r="B1966" s="1" t="s">
        <v>15</v>
      </c>
      <c r="C1966" s="1" t="s">
        <v>19</v>
      </c>
      <c r="D1966" s="1" t="s">
        <v>105</v>
      </c>
      <c r="E1966" s="1" t="s">
        <v>21</v>
      </c>
      <c r="F1966" s="1" t="s">
        <v>22</v>
      </c>
      <c r="G1966" s="4">
        <v>16</v>
      </c>
      <c r="H1966" s="4">
        <v>10524</v>
      </c>
      <c r="I1966" s="6">
        <v>5843.2460112459321</v>
      </c>
      <c r="J1966" s="6">
        <f>表1[[#This Row],[销售金额]]-表1[[#This Row],[退款金额]]</f>
        <v>4680.7539887540679</v>
      </c>
      <c r="K1966" s="1">
        <v>2</v>
      </c>
      <c r="L1966" s="1">
        <v>995</v>
      </c>
    </row>
    <row r="1967" spans="1:12" x14ac:dyDescent="0.3">
      <c r="A1967" s="2">
        <v>45929</v>
      </c>
      <c r="B1967" s="1" t="s">
        <v>15</v>
      </c>
      <c r="C1967" s="1" t="s">
        <v>10</v>
      </c>
      <c r="D1967" s="1" t="s">
        <v>41</v>
      </c>
      <c r="E1967" s="1" t="s">
        <v>42</v>
      </c>
      <c r="F1967" s="1" t="s">
        <v>43</v>
      </c>
      <c r="G1967" s="4">
        <v>20</v>
      </c>
      <c r="H1967" s="4">
        <v>16549</v>
      </c>
      <c r="I1967" s="6">
        <v>16360.633482291803</v>
      </c>
      <c r="J1967" s="6">
        <f>表1[[#This Row],[销售金额]]-表1[[#This Row],[退款金额]]</f>
        <v>188.36651770819662</v>
      </c>
      <c r="K1967" s="1">
        <v>746</v>
      </c>
      <c r="L1967" s="1">
        <v>694</v>
      </c>
    </row>
    <row r="1968" spans="1:12" x14ac:dyDescent="0.3">
      <c r="A1968" s="2">
        <v>45929</v>
      </c>
      <c r="B1968" s="1" t="s">
        <v>15</v>
      </c>
      <c r="C1968" s="1" t="s">
        <v>10</v>
      </c>
      <c r="D1968" s="1" t="s">
        <v>41</v>
      </c>
      <c r="E1968" s="1" t="s">
        <v>42</v>
      </c>
      <c r="F1968" s="1" t="s">
        <v>43</v>
      </c>
      <c r="G1968" s="4">
        <v>20</v>
      </c>
      <c r="H1968" s="4">
        <v>19728</v>
      </c>
      <c r="I1968" s="6">
        <v>16360.633482291803</v>
      </c>
      <c r="J1968" s="6">
        <f>表1[[#This Row],[销售金额]]-表1[[#This Row],[退款金额]]</f>
        <v>3367.3665177081966</v>
      </c>
      <c r="K1968" s="1">
        <v>746</v>
      </c>
      <c r="L1968" s="1">
        <v>694</v>
      </c>
    </row>
    <row r="1969" spans="1:12" x14ac:dyDescent="0.3">
      <c r="A1969" s="2">
        <v>45929</v>
      </c>
      <c r="B1969" s="1" t="s">
        <v>15</v>
      </c>
      <c r="C1969" s="1" t="s">
        <v>10</v>
      </c>
      <c r="D1969" s="1" t="s">
        <v>41</v>
      </c>
      <c r="E1969" s="1" t="s">
        <v>42</v>
      </c>
      <c r="F1969" s="1" t="s">
        <v>43</v>
      </c>
      <c r="G1969" s="4">
        <v>20</v>
      </c>
      <c r="H1969" s="4">
        <v>19872</v>
      </c>
      <c r="I1969" s="6">
        <v>16360.633482291803</v>
      </c>
      <c r="J1969" s="6">
        <f>表1[[#This Row],[销售金额]]-表1[[#This Row],[退款金额]]</f>
        <v>3511.3665177081966</v>
      </c>
      <c r="K1969" s="1">
        <v>746</v>
      </c>
      <c r="L1969" s="1">
        <v>694</v>
      </c>
    </row>
    <row r="1970" spans="1:12" x14ac:dyDescent="0.3">
      <c r="A1970" s="2">
        <v>45929</v>
      </c>
      <c r="B1970" s="1" t="s">
        <v>15</v>
      </c>
      <c r="C1970" s="1" t="s">
        <v>10</v>
      </c>
      <c r="D1970" s="1" t="s">
        <v>41</v>
      </c>
      <c r="E1970" s="1" t="s">
        <v>42</v>
      </c>
      <c r="F1970" s="1" t="s">
        <v>43</v>
      </c>
      <c r="G1970" s="4">
        <v>20</v>
      </c>
      <c r="H1970" s="4">
        <v>17077</v>
      </c>
      <c r="I1970" s="6">
        <v>16360.633482291803</v>
      </c>
      <c r="J1970" s="6">
        <f>表1[[#This Row],[销售金额]]-表1[[#This Row],[退款金额]]</f>
        <v>716.36651770819662</v>
      </c>
      <c r="K1970" s="1">
        <v>746</v>
      </c>
      <c r="L1970" s="1">
        <v>694</v>
      </c>
    </row>
    <row r="1971" spans="1:12" x14ac:dyDescent="0.3">
      <c r="A1971" s="2">
        <v>45929</v>
      </c>
      <c r="B1971" s="1" t="s">
        <v>15</v>
      </c>
      <c r="C1971" s="1" t="s">
        <v>10</v>
      </c>
      <c r="D1971" s="1" t="s">
        <v>41</v>
      </c>
      <c r="E1971" s="1" t="s">
        <v>42</v>
      </c>
      <c r="F1971" s="1" t="s">
        <v>43</v>
      </c>
      <c r="G1971" s="4">
        <v>20</v>
      </c>
      <c r="H1971" s="4">
        <v>20299</v>
      </c>
      <c r="I1971" s="6">
        <v>16360.633482291803</v>
      </c>
      <c r="J1971" s="6">
        <f>表1[[#This Row],[销售金额]]-表1[[#This Row],[退款金额]]</f>
        <v>3938.3665177081966</v>
      </c>
      <c r="K1971" s="1">
        <v>746</v>
      </c>
      <c r="L1971" s="1">
        <v>694</v>
      </c>
    </row>
    <row r="1972" spans="1:12" x14ac:dyDescent="0.3">
      <c r="A1972" s="2">
        <v>45929</v>
      </c>
      <c r="B1972" s="1" t="s">
        <v>15</v>
      </c>
      <c r="C1972" s="1" t="s">
        <v>10</v>
      </c>
      <c r="D1972" s="1" t="s">
        <v>41</v>
      </c>
      <c r="E1972" s="1" t="s">
        <v>42</v>
      </c>
      <c r="F1972" s="1" t="s">
        <v>43</v>
      </c>
      <c r="G1972" s="4">
        <v>20</v>
      </c>
      <c r="H1972" s="4">
        <v>18072</v>
      </c>
      <c r="I1972" s="6">
        <v>16360.633482291803</v>
      </c>
      <c r="J1972" s="6">
        <f>表1[[#This Row],[销售金额]]-表1[[#This Row],[退款金额]]</f>
        <v>1711.3665177081966</v>
      </c>
      <c r="K1972" s="1">
        <v>746</v>
      </c>
      <c r="L1972" s="1">
        <v>694</v>
      </c>
    </row>
    <row r="1973" spans="1:12" x14ac:dyDescent="0.3">
      <c r="A1973" s="2">
        <v>45929</v>
      </c>
      <c r="B1973" s="1" t="s">
        <v>15</v>
      </c>
      <c r="C1973" s="1" t="s">
        <v>10</v>
      </c>
      <c r="D1973" s="1" t="s">
        <v>41</v>
      </c>
      <c r="E1973" s="1" t="s">
        <v>42</v>
      </c>
      <c r="F1973" s="1" t="s">
        <v>43</v>
      </c>
      <c r="G1973" s="4">
        <v>20</v>
      </c>
      <c r="H1973" s="4">
        <v>21212</v>
      </c>
      <c r="I1973" s="6">
        <v>16360.633482291803</v>
      </c>
      <c r="J1973" s="6">
        <f>表1[[#This Row],[销售金额]]-表1[[#This Row],[退款金额]]</f>
        <v>4851.3665177081966</v>
      </c>
      <c r="K1973" s="1">
        <v>746</v>
      </c>
      <c r="L1973" s="1">
        <v>694</v>
      </c>
    </row>
    <row r="1974" spans="1:12" x14ac:dyDescent="0.3">
      <c r="A1974" s="2">
        <v>45929</v>
      </c>
      <c r="B1974" s="1" t="s">
        <v>15</v>
      </c>
      <c r="C1974" s="1" t="s">
        <v>10</v>
      </c>
      <c r="D1974" s="1" t="s">
        <v>41</v>
      </c>
      <c r="E1974" s="1" t="s">
        <v>42</v>
      </c>
      <c r="F1974" s="1" t="s">
        <v>43</v>
      </c>
      <c r="G1974" s="4">
        <v>20</v>
      </c>
      <c r="H1974" s="4">
        <v>21359</v>
      </c>
      <c r="I1974" s="6">
        <v>16360.633482291803</v>
      </c>
      <c r="J1974" s="6">
        <f>表1[[#This Row],[销售金额]]-表1[[#This Row],[退款金额]]</f>
        <v>4998.3665177081966</v>
      </c>
      <c r="K1974" s="1">
        <v>746</v>
      </c>
      <c r="L1974" s="1">
        <v>694</v>
      </c>
    </row>
    <row r="1975" spans="1:12" x14ac:dyDescent="0.3">
      <c r="A1975" s="2">
        <v>45930</v>
      </c>
      <c r="B1975" s="1" t="s">
        <v>15</v>
      </c>
      <c r="C1975" s="1" t="s">
        <v>10</v>
      </c>
      <c r="D1975" s="1" t="s">
        <v>127</v>
      </c>
      <c r="E1975" s="1" t="s">
        <v>42</v>
      </c>
      <c r="F1975" s="1" t="s">
        <v>43</v>
      </c>
      <c r="G1975" s="4">
        <v>4</v>
      </c>
      <c r="H1975" s="4">
        <v>8125</v>
      </c>
      <c r="I1975" s="6">
        <v>3585.5787426053312</v>
      </c>
      <c r="J1975" s="6">
        <f>表1[[#This Row],[销售金额]]-表1[[#This Row],[退款金额]]</f>
        <v>4539.4212573946688</v>
      </c>
      <c r="K1975" s="1">
        <v>71</v>
      </c>
      <c r="L1975" s="1">
        <v>677</v>
      </c>
    </row>
    <row r="1976" spans="1:12" x14ac:dyDescent="0.3">
      <c r="A1976" s="2">
        <v>45930</v>
      </c>
      <c r="B1976" s="1" t="s">
        <v>15</v>
      </c>
      <c r="C1976" s="1" t="s">
        <v>19</v>
      </c>
      <c r="D1976" s="1" t="s">
        <v>204</v>
      </c>
      <c r="E1976" s="1" t="s">
        <v>75</v>
      </c>
      <c r="F1976" s="1" t="s">
        <v>76</v>
      </c>
      <c r="G1976" s="4">
        <v>4</v>
      </c>
      <c r="H1976" s="4">
        <v>925</v>
      </c>
      <c r="I1976" s="6">
        <v>707.61145470236659</v>
      </c>
      <c r="J1976" s="6">
        <f>表1[[#This Row],[销售金额]]-表1[[#This Row],[退款金额]]</f>
        <v>217.38854529763341</v>
      </c>
      <c r="K1976" s="1">
        <v>344</v>
      </c>
      <c r="L1976" s="1">
        <v>230</v>
      </c>
    </row>
    <row r="1977" spans="1:12" x14ac:dyDescent="0.3">
      <c r="A1977" s="2">
        <v>45930</v>
      </c>
      <c r="B1977" s="1" t="s">
        <v>15</v>
      </c>
      <c r="C1977" s="1" t="s">
        <v>10</v>
      </c>
      <c r="D1977" s="1" t="s">
        <v>127</v>
      </c>
      <c r="E1977" s="1" t="s">
        <v>42</v>
      </c>
      <c r="F1977" s="1" t="s">
        <v>43</v>
      </c>
      <c r="G1977" s="4">
        <v>4</v>
      </c>
      <c r="H1977" s="4">
        <v>6568</v>
      </c>
      <c r="I1977" s="6">
        <v>3585.5787426053312</v>
      </c>
      <c r="J1977" s="6">
        <f>表1[[#This Row],[销售金额]]-表1[[#This Row],[退款金额]]</f>
        <v>2982.4212573946688</v>
      </c>
      <c r="K1977" s="1">
        <v>71</v>
      </c>
      <c r="L1977" s="1">
        <v>677</v>
      </c>
    </row>
    <row r="1978" spans="1:12" x14ac:dyDescent="0.3">
      <c r="A1978" s="2">
        <v>45930</v>
      </c>
      <c r="B1978" s="1" t="s">
        <v>15</v>
      </c>
      <c r="C1978" s="1" t="s">
        <v>19</v>
      </c>
      <c r="D1978" s="1" t="s">
        <v>204</v>
      </c>
      <c r="E1978" s="1" t="s">
        <v>75</v>
      </c>
      <c r="F1978" s="1" t="s">
        <v>76</v>
      </c>
      <c r="G1978" s="4">
        <v>4</v>
      </c>
      <c r="H1978" s="4">
        <v>1250</v>
      </c>
      <c r="I1978" s="6">
        <v>707.61145470236659</v>
      </c>
      <c r="J1978" s="6">
        <f>表1[[#This Row],[销售金额]]-表1[[#This Row],[退款金额]]</f>
        <v>542.38854529763341</v>
      </c>
      <c r="K1978" s="1">
        <v>344</v>
      </c>
      <c r="L1978" s="1">
        <v>230</v>
      </c>
    </row>
    <row r="1979" spans="1:12" x14ac:dyDescent="0.3">
      <c r="A1979" s="2">
        <v>45930</v>
      </c>
      <c r="B1979" s="1" t="s">
        <v>15</v>
      </c>
      <c r="C1979" s="1" t="s">
        <v>10</v>
      </c>
      <c r="D1979" s="1" t="s">
        <v>127</v>
      </c>
      <c r="E1979" s="1" t="s">
        <v>42</v>
      </c>
      <c r="F1979" s="1" t="s">
        <v>43</v>
      </c>
      <c r="G1979" s="4">
        <v>4</v>
      </c>
      <c r="H1979" s="4">
        <v>5894</v>
      </c>
      <c r="I1979" s="6">
        <v>3585.5787426053312</v>
      </c>
      <c r="J1979" s="6">
        <f>表1[[#This Row],[销售金额]]-表1[[#This Row],[退款金额]]</f>
        <v>2308.4212573946688</v>
      </c>
      <c r="K1979" s="1">
        <v>71</v>
      </c>
      <c r="L1979" s="1">
        <v>677</v>
      </c>
    </row>
    <row r="1980" spans="1:12" x14ac:dyDescent="0.3">
      <c r="A1980" s="2">
        <v>45930</v>
      </c>
      <c r="B1980" s="1" t="s">
        <v>15</v>
      </c>
      <c r="C1980" s="1" t="s">
        <v>19</v>
      </c>
      <c r="D1980" s="1" t="s">
        <v>204</v>
      </c>
      <c r="E1980" s="1" t="s">
        <v>75</v>
      </c>
      <c r="F1980" s="1" t="s">
        <v>76</v>
      </c>
      <c r="G1980" s="4">
        <v>4</v>
      </c>
      <c r="H1980" s="4">
        <v>1645</v>
      </c>
      <c r="I1980" s="6">
        <v>707.61145470236659</v>
      </c>
      <c r="J1980" s="6">
        <f>表1[[#This Row],[销售金额]]-表1[[#This Row],[退款金额]]</f>
        <v>937.38854529763341</v>
      </c>
      <c r="K1980" s="1">
        <v>344</v>
      </c>
      <c r="L1980" s="1">
        <v>230</v>
      </c>
    </row>
    <row r="1981" spans="1:12" x14ac:dyDescent="0.3">
      <c r="A1981" s="2">
        <v>45930</v>
      </c>
      <c r="B1981" s="1" t="s">
        <v>15</v>
      </c>
      <c r="C1981" s="1" t="s">
        <v>10</v>
      </c>
      <c r="D1981" s="1" t="s">
        <v>127</v>
      </c>
      <c r="E1981" s="1" t="s">
        <v>42</v>
      </c>
      <c r="F1981" s="1" t="s">
        <v>43</v>
      </c>
      <c r="G1981" s="4">
        <v>4</v>
      </c>
      <c r="H1981" s="4">
        <v>8090</v>
      </c>
      <c r="I1981" s="6">
        <v>3585.5787426053312</v>
      </c>
      <c r="J1981" s="6">
        <f>表1[[#This Row],[销售金额]]-表1[[#This Row],[退款金额]]</f>
        <v>4504.4212573946688</v>
      </c>
      <c r="K1981" s="1">
        <v>71</v>
      </c>
      <c r="L1981" s="1">
        <v>677</v>
      </c>
    </row>
    <row r="1982" spans="1:12" x14ac:dyDescent="0.3">
      <c r="A1982" s="2">
        <v>45930</v>
      </c>
      <c r="B1982" s="1" t="s">
        <v>15</v>
      </c>
      <c r="C1982" s="1" t="s">
        <v>19</v>
      </c>
      <c r="D1982" s="1" t="s">
        <v>204</v>
      </c>
      <c r="E1982" s="1" t="s">
        <v>75</v>
      </c>
      <c r="F1982" s="1" t="s">
        <v>76</v>
      </c>
      <c r="G1982" s="4">
        <v>4</v>
      </c>
      <c r="H1982" s="4">
        <v>3912</v>
      </c>
      <c r="I1982" s="6">
        <v>707.61145470236659</v>
      </c>
      <c r="J1982" s="6">
        <f>表1[[#This Row],[销售金额]]-表1[[#This Row],[退款金额]]</f>
        <v>3204.3885452976333</v>
      </c>
      <c r="K1982" s="1">
        <v>344</v>
      </c>
      <c r="L1982" s="1">
        <v>230</v>
      </c>
    </row>
    <row r="1983" spans="1:12" x14ac:dyDescent="0.3">
      <c r="A1983" s="2">
        <v>45930</v>
      </c>
      <c r="B1983" s="1" t="s">
        <v>15</v>
      </c>
      <c r="C1983" s="1" t="s">
        <v>10</v>
      </c>
      <c r="D1983" s="1" t="s">
        <v>127</v>
      </c>
      <c r="E1983" s="1" t="s">
        <v>42</v>
      </c>
      <c r="F1983" s="1" t="s">
        <v>43</v>
      </c>
      <c r="G1983" s="4">
        <v>4</v>
      </c>
      <c r="H1983" s="4">
        <v>7068</v>
      </c>
      <c r="I1983" s="6">
        <v>3585.5787426053312</v>
      </c>
      <c r="J1983" s="6">
        <f>表1[[#This Row],[销售金额]]-表1[[#This Row],[退款金额]]</f>
        <v>3482.4212573946688</v>
      </c>
      <c r="K1983" s="1">
        <v>71</v>
      </c>
      <c r="L1983" s="1">
        <v>677</v>
      </c>
    </row>
    <row r="1984" spans="1:12" x14ac:dyDescent="0.3">
      <c r="A1984" s="2">
        <v>45930</v>
      </c>
      <c r="B1984" s="1" t="s">
        <v>15</v>
      </c>
      <c r="C1984" s="1" t="s">
        <v>19</v>
      </c>
      <c r="D1984" s="1" t="s">
        <v>204</v>
      </c>
      <c r="E1984" s="1" t="s">
        <v>75</v>
      </c>
      <c r="F1984" s="1" t="s">
        <v>76</v>
      </c>
      <c r="G1984" s="4">
        <v>4</v>
      </c>
      <c r="H1984" s="4">
        <v>2309</v>
      </c>
      <c r="I1984" s="6">
        <v>707.61145470236659</v>
      </c>
      <c r="J1984" s="6">
        <f>表1[[#This Row],[销售金额]]-表1[[#This Row],[退款金额]]</f>
        <v>1601.3885452976333</v>
      </c>
      <c r="K1984" s="1">
        <v>344</v>
      </c>
      <c r="L1984" s="1">
        <v>230</v>
      </c>
    </row>
    <row r="1985" spans="1:12" x14ac:dyDescent="0.3">
      <c r="A1985" s="2">
        <v>45930</v>
      </c>
      <c r="B1985" s="1" t="s">
        <v>15</v>
      </c>
      <c r="C1985" s="1" t="s">
        <v>10</v>
      </c>
      <c r="D1985" s="1" t="s">
        <v>127</v>
      </c>
      <c r="E1985" s="1" t="s">
        <v>42</v>
      </c>
      <c r="F1985" s="1" t="s">
        <v>43</v>
      </c>
      <c r="G1985" s="4">
        <v>4</v>
      </c>
      <c r="H1985" s="4">
        <v>4896</v>
      </c>
      <c r="I1985" s="6">
        <v>3585.5787426053312</v>
      </c>
      <c r="J1985" s="6">
        <f>表1[[#This Row],[销售金额]]-表1[[#This Row],[退款金额]]</f>
        <v>1310.4212573946688</v>
      </c>
      <c r="K1985" s="1">
        <v>71</v>
      </c>
      <c r="L1985" s="1">
        <v>677</v>
      </c>
    </row>
    <row r="1986" spans="1:12" x14ac:dyDescent="0.3">
      <c r="A1986" s="2">
        <v>45930</v>
      </c>
      <c r="B1986" s="1" t="s">
        <v>15</v>
      </c>
      <c r="C1986" s="1" t="s">
        <v>19</v>
      </c>
      <c r="D1986" s="1" t="s">
        <v>204</v>
      </c>
      <c r="E1986" s="1" t="s">
        <v>75</v>
      </c>
      <c r="F1986" s="1" t="s">
        <v>76</v>
      </c>
      <c r="G1986" s="4">
        <v>4</v>
      </c>
      <c r="H1986" s="4">
        <v>2177</v>
      </c>
      <c r="I1986" s="6">
        <v>707.61145470236659</v>
      </c>
      <c r="J1986" s="6">
        <f>表1[[#This Row],[销售金额]]-表1[[#This Row],[退款金额]]</f>
        <v>1469.3885452976333</v>
      </c>
      <c r="K1986" s="1">
        <v>344</v>
      </c>
      <c r="L1986" s="1">
        <v>230</v>
      </c>
    </row>
    <row r="1987" spans="1:12" x14ac:dyDescent="0.3">
      <c r="A1987" s="2">
        <v>45930</v>
      </c>
      <c r="B1987" s="1" t="s">
        <v>15</v>
      </c>
      <c r="C1987" s="1" t="s">
        <v>10</v>
      </c>
      <c r="D1987" s="1" t="s">
        <v>127</v>
      </c>
      <c r="E1987" s="1" t="s">
        <v>42</v>
      </c>
      <c r="F1987" s="1" t="s">
        <v>43</v>
      </c>
      <c r="G1987" s="4">
        <v>4</v>
      </c>
      <c r="H1987" s="4">
        <v>5831</v>
      </c>
      <c r="I1987" s="6">
        <v>3585.5787426053312</v>
      </c>
      <c r="J1987" s="6">
        <f>表1[[#This Row],[销售金额]]-表1[[#This Row],[退款金额]]</f>
        <v>2245.4212573946688</v>
      </c>
      <c r="K1987" s="1">
        <v>71</v>
      </c>
      <c r="L1987" s="1">
        <v>677</v>
      </c>
    </row>
    <row r="1988" spans="1:12" x14ac:dyDescent="0.3">
      <c r="A1988" s="2">
        <v>45930</v>
      </c>
      <c r="B1988" s="1" t="s">
        <v>15</v>
      </c>
      <c r="C1988" s="1" t="s">
        <v>19</v>
      </c>
      <c r="D1988" s="1" t="s">
        <v>204</v>
      </c>
      <c r="E1988" s="1" t="s">
        <v>75</v>
      </c>
      <c r="F1988" s="1" t="s">
        <v>76</v>
      </c>
      <c r="G1988" s="4">
        <v>4</v>
      </c>
      <c r="H1988" s="4">
        <v>2703</v>
      </c>
      <c r="I1988" s="6">
        <v>707.61145470236659</v>
      </c>
      <c r="J1988" s="6">
        <f>表1[[#This Row],[销售金额]]-表1[[#This Row],[退款金额]]</f>
        <v>1995.3885452976333</v>
      </c>
      <c r="K1988" s="1">
        <v>344</v>
      </c>
      <c r="L1988" s="1">
        <v>230</v>
      </c>
    </row>
    <row r="1989" spans="1:12" x14ac:dyDescent="0.3">
      <c r="A1989" s="2">
        <v>45930</v>
      </c>
      <c r="B1989" s="1" t="s">
        <v>15</v>
      </c>
      <c r="C1989" s="1" t="s">
        <v>10</v>
      </c>
      <c r="D1989" s="1" t="s">
        <v>127</v>
      </c>
      <c r="E1989" s="1" t="s">
        <v>42</v>
      </c>
      <c r="F1989" s="1" t="s">
        <v>43</v>
      </c>
      <c r="G1989" s="4">
        <v>4</v>
      </c>
      <c r="H1989" s="4">
        <v>3911</v>
      </c>
      <c r="I1989" s="6">
        <v>3585.5787426053312</v>
      </c>
      <c r="J1989" s="6">
        <f>表1[[#This Row],[销售金额]]-表1[[#This Row],[退款金额]]</f>
        <v>325.42125739466883</v>
      </c>
      <c r="K1989" s="1">
        <v>71</v>
      </c>
      <c r="L1989" s="1">
        <v>677</v>
      </c>
    </row>
    <row r="1990" spans="1:12" x14ac:dyDescent="0.3">
      <c r="A1990" s="2">
        <v>45930</v>
      </c>
      <c r="B1990" s="1" t="s">
        <v>15</v>
      </c>
      <c r="C1990" s="1" t="s">
        <v>19</v>
      </c>
      <c r="D1990" s="1" t="s">
        <v>204</v>
      </c>
      <c r="E1990" s="1" t="s">
        <v>75</v>
      </c>
      <c r="F1990" s="1" t="s">
        <v>76</v>
      </c>
      <c r="G1990" s="4">
        <v>4</v>
      </c>
      <c r="H1990" s="4">
        <v>1888</v>
      </c>
      <c r="I1990" s="6">
        <v>707.61145470236659</v>
      </c>
      <c r="J1990" s="6">
        <f>表1[[#This Row],[销售金额]]-表1[[#This Row],[退款金额]]</f>
        <v>1180.3885452976333</v>
      </c>
      <c r="K1990" s="1">
        <v>344</v>
      </c>
      <c r="L1990" s="1">
        <v>230</v>
      </c>
    </row>
    <row r="1991" spans="1:12" x14ac:dyDescent="0.3">
      <c r="A1991" s="2">
        <v>45930</v>
      </c>
      <c r="B1991" s="1" t="s">
        <v>15</v>
      </c>
      <c r="C1991" s="1" t="s">
        <v>10</v>
      </c>
      <c r="D1991" s="1" t="s">
        <v>127</v>
      </c>
      <c r="E1991" s="1" t="s">
        <v>42</v>
      </c>
      <c r="F1991" s="1" t="s">
        <v>43</v>
      </c>
      <c r="G1991" s="4">
        <v>4</v>
      </c>
      <c r="H1991" s="4">
        <v>5722</v>
      </c>
      <c r="I1991" s="6">
        <v>3585.5787426053312</v>
      </c>
      <c r="J1991" s="6">
        <f>表1[[#This Row],[销售金额]]-表1[[#This Row],[退款金额]]</f>
        <v>2136.4212573946688</v>
      </c>
      <c r="K1991" s="1">
        <v>71</v>
      </c>
      <c r="L1991" s="1">
        <v>677</v>
      </c>
    </row>
    <row r="1992" spans="1:12" x14ac:dyDescent="0.3">
      <c r="A1992" s="2">
        <v>45930</v>
      </c>
      <c r="B1992" s="1" t="s">
        <v>15</v>
      </c>
      <c r="C1992" s="1" t="s">
        <v>19</v>
      </c>
      <c r="D1992" s="1" t="s">
        <v>204</v>
      </c>
      <c r="E1992" s="1" t="s">
        <v>75</v>
      </c>
      <c r="F1992" s="1" t="s">
        <v>76</v>
      </c>
      <c r="G1992" s="4">
        <v>4</v>
      </c>
      <c r="H1992" s="4">
        <v>1081</v>
      </c>
      <c r="I1992" s="6">
        <v>707.61145470236659</v>
      </c>
      <c r="J1992" s="6">
        <f>表1[[#This Row],[销售金额]]-表1[[#This Row],[退款金额]]</f>
        <v>373.38854529763341</v>
      </c>
      <c r="K1992" s="1">
        <v>344</v>
      </c>
      <c r="L1992" s="1">
        <v>230</v>
      </c>
    </row>
    <row r="1993" spans="1:12" x14ac:dyDescent="0.3">
      <c r="A1993" s="2">
        <v>45930</v>
      </c>
      <c r="B1993" s="1" t="s">
        <v>25</v>
      </c>
      <c r="C1993" s="1" t="s">
        <v>32</v>
      </c>
      <c r="D1993" s="1" t="s">
        <v>205</v>
      </c>
      <c r="E1993" s="1" t="s">
        <v>30</v>
      </c>
      <c r="F1993" s="1" t="s">
        <v>31</v>
      </c>
      <c r="G1993" s="4">
        <v>15</v>
      </c>
      <c r="H1993" s="4">
        <v>5736</v>
      </c>
      <c r="I1993" s="6">
        <v>4946.7933001275787</v>
      </c>
      <c r="J1993" s="6">
        <f>表1[[#This Row],[销售金额]]-表1[[#This Row],[退款金额]]</f>
        <v>789.20669987242127</v>
      </c>
      <c r="K1993" s="1">
        <v>692</v>
      </c>
      <c r="L1993" s="1">
        <v>318</v>
      </c>
    </row>
    <row r="1994" spans="1:12" x14ac:dyDescent="0.3">
      <c r="A1994" s="2">
        <v>45930</v>
      </c>
      <c r="B1994" s="1" t="s">
        <v>25</v>
      </c>
      <c r="C1994" s="1" t="s">
        <v>32</v>
      </c>
      <c r="D1994" s="1" t="s">
        <v>205</v>
      </c>
      <c r="E1994" s="1" t="s">
        <v>30</v>
      </c>
      <c r="F1994" s="1" t="s">
        <v>31</v>
      </c>
      <c r="G1994" s="4">
        <v>15</v>
      </c>
      <c r="H1994" s="4">
        <v>8924</v>
      </c>
      <c r="I1994" s="6">
        <v>4946.7933001275787</v>
      </c>
      <c r="J1994" s="6">
        <f>表1[[#This Row],[销售金额]]-表1[[#This Row],[退款金额]]</f>
        <v>3977.2066998724213</v>
      </c>
      <c r="K1994" s="1">
        <v>692</v>
      </c>
      <c r="L1994" s="1">
        <v>318</v>
      </c>
    </row>
    <row r="1995" spans="1:12" x14ac:dyDescent="0.3">
      <c r="A1995" s="2">
        <v>45930</v>
      </c>
      <c r="B1995" s="1" t="s">
        <v>25</v>
      </c>
      <c r="C1995" s="1" t="s">
        <v>32</v>
      </c>
      <c r="D1995" s="1" t="s">
        <v>205</v>
      </c>
      <c r="E1995" s="1" t="s">
        <v>30</v>
      </c>
      <c r="F1995" s="1" t="s">
        <v>31</v>
      </c>
      <c r="G1995" s="4">
        <v>15</v>
      </c>
      <c r="H1995" s="4">
        <v>5108</v>
      </c>
      <c r="I1995" s="6">
        <v>4946.7933001275787</v>
      </c>
      <c r="J1995" s="6">
        <f>表1[[#This Row],[销售金额]]-表1[[#This Row],[退款金额]]</f>
        <v>161.20669987242127</v>
      </c>
      <c r="K1995" s="1">
        <v>692</v>
      </c>
      <c r="L1995" s="1">
        <v>318</v>
      </c>
    </row>
    <row r="1996" spans="1:12" x14ac:dyDescent="0.3">
      <c r="A1996" s="2">
        <v>45930</v>
      </c>
      <c r="B1996" s="1" t="s">
        <v>25</v>
      </c>
      <c r="C1996" s="1" t="s">
        <v>32</v>
      </c>
      <c r="D1996" s="1" t="s">
        <v>205</v>
      </c>
      <c r="E1996" s="1" t="s">
        <v>30</v>
      </c>
      <c r="F1996" s="1" t="s">
        <v>31</v>
      </c>
      <c r="G1996" s="4">
        <v>15</v>
      </c>
      <c r="H1996" s="4">
        <v>8229</v>
      </c>
      <c r="I1996" s="6">
        <v>4946.7933001275787</v>
      </c>
      <c r="J1996" s="6">
        <f>表1[[#This Row],[销售金额]]-表1[[#This Row],[退款金额]]</f>
        <v>3282.2066998724213</v>
      </c>
      <c r="K1996" s="1">
        <v>692</v>
      </c>
      <c r="L1996" s="1">
        <v>318</v>
      </c>
    </row>
    <row r="1997" spans="1:12" x14ac:dyDescent="0.3">
      <c r="A1997" s="2">
        <v>45930</v>
      </c>
      <c r="B1997" s="1" t="s">
        <v>25</v>
      </c>
      <c r="C1997" s="1" t="s">
        <v>32</v>
      </c>
      <c r="D1997" s="1" t="s">
        <v>205</v>
      </c>
      <c r="E1997" s="1" t="s">
        <v>30</v>
      </c>
      <c r="F1997" s="1" t="s">
        <v>31</v>
      </c>
      <c r="G1997" s="4">
        <v>15</v>
      </c>
      <c r="H1997" s="4">
        <v>7236</v>
      </c>
      <c r="I1997" s="6">
        <v>4946.7933001275787</v>
      </c>
      <c r="J1997" s="6">
        <f>表1[[#This Row],[销售金额]]-表1[[#This Row],[退款金额]]</f>
        <v>2289.2066998724213</v>
      </c>
      <c r="K1997" s="1">
        <v>692</v>
      </c>
      <c r="L1997" s="1">
        <v>318</v>
      </c>
    </row>
    <row r="1998" spans="1:12" x14ac:dyDescent="0.3">
      <c r="A1998" s="2">
        <v>45930</v>
      </c>
      <c r="B1998" s="1" t="s">
        <v>25</v>
      </c>
      <c r="C1998" s="1" t="s">
        <v>32</v>
      </c>
      <c r="D1998" s="1" t="s">
        <v>205</v>
      </c>
      <c r="E1998" s="1" t="s">
        <v>30</v>
      </c>
      <c r="F1998" s="1" t="s">
        <v>31</v>
      </c>
      <c r="G1998" s="4">
        <v>15</v>
      </c>
      <c r="H1998" s="4">
        <v>5200</v>
      </c>
      <c r="I1998" s="6">
        <v>4946.7933001275787</v>
      </c>
      <c r="J1998" s="6">
        <f>表1[[#This Row],[销售金额]]-表1[[#This Row],[退款金额]]</f>
        <v>253.20669987242127</v>
      </c>
      <c r="K1998" s="1">
        <v>692</v>
      </c>
      <c r="L1998" s="1">
        <v>318</v>
      </c>
    </row>
    <row r="1999" spans="1:12" x14ac:dyDescent="0.3">
      <c r="A1999" s="2">
        <v>45930</v>
      </c>
      <c r="B1999" s="1" t="s">
        <v>25</v>
      </c>
      <c r="C1999" s="1" t="s">
        <v>32</v>
      </c>
      <c r="D1999" s="1" t="s">
        <v>205</v>
      </c>
      <c r="E1999" s="1" t="s">
        <v>30</v>
      </c>
      <c r="F1999" s="1" t="s">
        <v>31</v>
      </c>
      <c r="G1999" s="4">
        <v>15</v>
      </c>
      <c r="H1999" s="4">
        <v>6042</v>
      </c>
      <c r="I1999" s="6">
        <v>4946.7933001275787</v>
      </c>
      <c r="J1999" s="6">
        <f>表1[[#This Row],[销售金额]]-表1[[#This Row],[退款金额]]</f>
        <v>1095.2066998724213</v>
      </c>
      <c r="K1999" s="1">
        <v>692</v>
      </c>
      <c r="L1999" s="1">
        <v>318</v>
      </c>
    </row>
    <row r="2000" spans="1:12" x14ac:dyDescent="0.3">
      <c r="A2000" s="2">
        <v>45930</v>
      </c>
      <c r="B2000" s="1" t="s">
        <v>25</v>
      </c>
      <c r="C2000" s="1" t="s">
        <v>32</v>
      </c>
      <c r="D2000" s="1" t="s">
        <v>205</v>
      </c>
      <c r="E2000" s="1" t="s">
        <v>30</v>
      </c>
      <c r="F2000" s="1" t="s">
        <v>31</v>
      </c>
      <c r="G2000" s="4">
        <v>15</v>
      </c>
      <c r="H2000" s="4">
        <v>5302</v>
      </c>
      <c r="I2000" s="6">
        <v>4946.7933001275787</v>
      </c>
      <c r="J2000" s="6">
        <f>表1[[#This Row],[销售金额]]-表1[[#This Row],[退款金额]]</f>
        <v>355.20669987242127</v>
      </c>
      <c r="K2000" s="1">
        <v>692</v>
      </c>
      <c r="L2000" s="1">
        <v>318</v>
      </c>
    </row>
    <row r="2001" spans="1:12" x14ac:dyDescent="0.3">
      <c r="A2001" s="2">
        <v>45930</v>
      </c>
      <c r="B2001" s="1" t="s">
        <v>25</v>
      </c>
      <c r="C2001" s="1" t="s">
        <v>32</v>
      </c>
      <c r="D2001" s="1" t="s">
        <v>205</v>
      </c>
      <c r="E2001" s="1" t="s">
        <v>30</v>
      </c>
      <c r="F2001" s="1" t="s">
        <v>31</v>
      </c>
      <c r="G2001" s="4">
        <v>15</v>
      </c>
      <c r="H2001" s="4">
        <v>5189</v>
      </c>
      <c r="I2001" s="6">
        <v>4946.7933001275787</v>
      </c>
      <c r="J2001" s="6">
        <f>表1[[#This Row],[销售金额]]-表1[[#This Row],[退款金额]]</f>
        <v>242.20669987242127</v>
      </c>
      <c r="K2001" s="1">
        <v>692</v>
      </c>
      <c r="L2001" s="1">
        <v>318</v>
      </c>
    </row>
    <row r="2002" spans="1:12" x14ac:dyDescent="0.3">
      <c r="B2002" s="1"/>
    </row>
  </sheetData>
  <dataConsolidate/>
  <phoneticPr fontId="1" type="noConversion"/>
  <dataValidations xWindow="2315" yWindow="449" count="2">
    <dataValidation type="custom" errorStyle="warning" allowBlank="1" showInputMessage="1" showErrorMessage="1" errorTitle="请判断是否输入正确平台名称" error="如想更改，请选中B列至数据的数据验证更改" sqref="B2002:C1048576 B1:C1" xr:uid="{DCC9538A-DD80-475D-A617-E5053A43D187}">
      <formula1>"官网,京东,天猫,拼多多,线下门店,淘宝,抖音,苏宁"</formula1>
    </dataValidation>
    <dataValidation type="whole" allowBlank="1" showInputMessage="1" showErrorMessage="1" sqref="G1:G1048576" xr:uid="{40A818E8-7C45-4DA5-999C-97ACBECD5473}">
      <formula1>0</formula1>
      <formula2>9.99999999999999E+48</formula2>
    </dataValidation>
  </dataValidations>
  <pageMargins left="0.7" right="0.7" top="0.75" bottom="0.75" header="0.3" footer="0.3"/>
  <ignoredErrors>
    <ignoredError sqref="C1 B1 G1 B2002:B1048576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2199-E2FE-48F0-8AB4-1F8C2C5A2BCC}">
  <dimension ref="A3:P28"/>
  <sheetViews>
    <sheetView showGridLines="0" zoomScale="115" zoomScaleNormal="115" workbookViewId="0">
      <selection activeCell="K12" sqref="K12:L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7" customHeight="1" x14ac:dyDescent="0.3"/>
  <cols>
    <col min="1" max="1" width="8.6640625" style="8"/>
    <col min="2" max="2" width="17.83203125" style="8" customWidth="1"/>
    <col min="3" max="3" width="8.6640625" style="8"/>
    <col min="4" max="4" width="12.58203125" style="8" customWidth="1"/>
    <col min="5" max="5" width="8.6640625" style="8"/>
    <col min="6" max="6" width="9.5" style="8" bestFit="1" customWidth="1"/>
    <col min="7" max="7" width="8.6640625" style="8"/>
    <col min="8" max="8" width="9.1640625" style="8" bestFit="1" customWidth="1"/>
    <col min="9" max="16384" width="8.6640625" style="8"/>
  </cols>
  <sheetData>
    <row r="3" spans="1:12" ht="17" customHeight="1" x14ac:dyDescent="0.3">
      <c r="C3" s="57" t="s">
        <v>244</v>
      </c>
      <c r="D3" s="57"/>
      <c r="E3" s="57"/>
      <c r="F3" s="57"/>
      <c r="G3" s="57"/>
    </row>
    <row r="4" spans="1:12" ht="17" customHeight="1" x14ac:dyDescent="0.3">
      <c r="C4" s="57"/>
      <c r="D4" s="57"/>
      <c r="E4" s="57"/>
      <c r="F4" s="57"/>
      <c r="G4" s="57"/>
    </row>
    <row r="5" spans="1:12" ht="17" customHeight="1" x14ac:dyDescent="0.3">
      <c r="A5" s="9"/>
      <c r="B5" s="10"/>
      <c r="C5" s="57"/>
      <c r="D5" s="57"/>
      <c r="E5" s="57"/>
      <c r="F5" s="57"/>
      <c r="G5" s="57"/>
    </row>
    <row r="7" spans="1:12" ht="17" customHeight="1" thickBot="1" x14ac:dyDescent="0.35">
      <c r="B7" s="58" t="s">
        <v>246</v>
      </c>
      <c r="C7" s="59"/>
      <c r="D7" s="59"/>
    </row>
    <row r="8" spans="1:12" ht="17" customHeight="1" thickTop="1" thickBot="1" x14ac:dyDescent="0.35">
      <c r="A8" s="9"/>
      <c r="B8" s="54" t="s">
        <v>249</v>
      </c>
      <c r="C8" s="55"/>
      <c r="D8" s="33">
        <f>SUMIF(原始数据!B2:B2001,"微信小店",原始数据!H2:H2001)</f>
        <v>2061949</v>
      </c>
    </row>
    <row r="9" spans="1:12" ht="17" customHeight="1" thickBot="1" x14ac:dyDescent="0.35">
      <c r="A9" s="9"/>
      <c r="B9" s="54" t="s">
        <v>264</v>
      </c>
      <c r="C9" s="55"/>
      <c r="D9" s="32">
        <f>SUMIF(原始数据!B2:B2001,"官网",原始数据!H2:H2001)</f>
        <v>5783272</v>
      </c>
    </row>
    <row r="10" spans="1:12" ht="17" customHeight="1" thickBot="1" x14ac:dyDescent="0.35">
      <c r="B10" s="50" t="s">
        <v>254</v>
      </c>
      <c r="C10" s="51"/>
      <c r="D10" s="32">
        <f>SUMIF(原始数据!B2:B2001,"抖音",原始数据!H2:H2001)</f>
        <v>5323629</v>
      </c>
    </row>
    <row r="11" spans="1:12" ht="17" customHeight="1" thickBot="1" x14ac:dyDescent="0.35">
      <c r="B11" s="50" t="s">
        <v>251</v>
      </c>
      <c r="C11" s="51"/>
      <c r="D11" s="32">
        <f>SUMIF(原始数据!B2:B2001,"淘宝",原始数据!H2:H2001)</f>
        <v>6513651</v>
      </c>
    </row>
    <row r="12" spans="1:12" ht="17" customHeight="1" thickBot="1" x14ac:dyDescent="0.35">
      <c r="B12" s="50" t="s">
        <v>243</v>
      </c>
      <c r="C12" s="51"/>
      <c r="D12" s="32">
        <f>SUMIF(原始数据!B2:B2001,"京东",原始数据!H2:H2001)</f>
        <v>3900258</v>
      </c>
      <c r="G12" s="18" t="s">
        <v>257</v>
      </c>
      <c r="H12" s="17"/>
      <c r="I12" s="17"/>
      <c r="J12" s="17"/>
      <c r="K12" s="63">
        <f>SUM(原始数据!$G$2:$G$2001)/SUM(原始数据!$L$2:$L$2001)</f>
        <v>2.0671605973720936E-2</v>
      </c>
      <c r="L12" s="64"/>
    </row>
    <row r="13" spans="1:12" ht="17" customHeight="1" thickBot="1" x14ac:dyDescent="0.35">
      <c r="B13" s="50" t="s">
        <v>252</v>
      </c>
      <c r="C13" s="51"/>
      <c r="D13" s="32">
        <f>SUMIF(原始数据!B2:B2001,"拼多多",原始数据!H2:H2001)</f>
        <v>5703255</v>
      </c>
      <c r="G13" s="19" t="s">
        <v>261</v>
      </c>
      <c r="H13" s="17"/>
      <c r="I13" s="17"/>
      <c r="J13" s="17"/>
      <c r="K13" s="64"/>
      <c r="L13" s="64"/>
    </row>
    <row r="14" spans="1:12" ht="17" customHeight="1" thickBot="1" x14ac:dyDescent="0.35">
      <c r="B14" s="52" t="s">
        <v>238</v>
      </c>
      <c r="C14" s="56"/>
      <c r="D14" s="35">
        <f>SUM(原始数据!H2:H2001)</f>
        <v>29286014</v>
      </c>
      <c r="G14" s="20" t="s">
        <v>255</v>
      </c>
      <c r="H14" s="15"/>
      <c r="I14" s="15"/>
      <c r="J14" s="15"/>
      <c r="K14" s="62">
        <f>$D$14-$D$22</f>
        <v>24273776.181920137</v>
      </c>
      <c r="L14" s="62"/>
    </row>
    <row r="15" spans="1:12" ht="17" customHeight="1" x14ac:dyDescent="0.3">
      <c r="G15" s="21" t="s">
        <v>256</v>
      </c>
      <c r="H15" s="15"/>
      <c r="I15" s="15"/>
      <c r="J15" s="15"/>
      <c r="K15" s="62"/>
      <c r="L15" s="62"/>
    </row>
    <row r="16" spans="1:12" ht="17" customHeight="1" thickBot="1" x14ac:dyDescent="0.35">
      <c r="B16" s="12" t="s">
        <v>253</v>
      </c>
      <c r="C16" s="13"/>
      <c r="D16" s="13"/>
      <c r="G16" s="22" t="s">
        <v>258</v>
      </c>
      <c r="H16" s="16"/>
      <c r="I16" s="16"/>
      <c r="J16" s="16"/>
      <c r="K16" s="60">
        <f>$D$22/SUM(原始数据!$G$2:$G$2001)</f>
        <v>233.21411772193662</v>
      </c>
      <c r="L16" s="61"/>
    </row>
    <row r="17" spans="2:16" ht="17" customHeight="1" thickTop="1" thickBot="1" x14ac:dyDescent="0.35">
      <c r="B17" s="54" t="s">
        <v>249</v>
      </c>
      <c r="C17" s="55"/>
      <c r="D17" s="33">
        <f>SUMIF(原始数据!B2:B2001,"微信小店",原始数据!J2:J2001)</f>
        <v>550467.42650803039</v>
      </c>
      <c r="G17" s="23" t="s">
        <v>262</v>
      </c>
      <c r="H17" s="16"/>
      <c r="I17" s="16"/>
      <c r="J17" s="16"/>
      <c r="K17" s="61"/>
      <c r="L17" s="61"/>
    </row>
    <row r="18" spans="2:16" ht="17" customHeight="1" thickBot="1" x14ac:dyDescent="0.35">
      <c r="B18" s="50" t="s">
        <v>254</v>
      </c>
      <c r="C18" s="51"/>
      <c r="D18" s="32">
        <f>SUMIF(原始数据!B2:B2001,"抖音",原始数据!J2:J2001)</f>
        <v>840306.72115325509</v>
      </c>
    </row>
    <row r="19" spans="2:16" ht="17" customHeight="1" thickBot="1" x14ac:dyDescent="0.35">
      <c r="B19" s="50" t="s">
        <v>251</v>
      </c>
      <c r="C19" s="51"/>
      <c r="D19" s="32">
        <f>SUMIF(原始数据!B2:B2001,"淘宝",原始数据!J2:J2001)</f>
        <v>1002590.4495468112</v>
      </c>
    </row>
    <row r="20" spans="2:16" ht="17" customHeight="1" thickBot="1" x14ac:dyDescent="0.35">
      <c r="B20" s="50" t="s">
        <v>243</v>
      </c>
      <c r="C20" s="51"/>
      <c r="D20" s="32">
        <f>SUMIF(原始数据!B2:B2001,"京东",原始数据!J2:J2001)</f>
        <v>632235.51278740878</v>
      </c>
    </row>
    <row r="21" spans="2:16" ht="17" customHeight="1" thickBot="1" x14ac:dyDescent="0.35">
      <c r="B21" s="50" t="s">
        <v>252</v>
      </c>
      <c r="C21" s="51"/>
      <c r="D21" s="32">
        <f>SUMIF(原始数据!B2:B2001,"拼多多",原始数据!J2:J2001)</f>
        <v>1067317.8212541651</v>
      </c>
      <c r="K21" s="9"/>
      <c r="L21" s="10"/>
    </row>
    <row r="22" spans="2:16" ht="17" customHeight="1" thickBot="1" x14ac:dyDescent="0.35">
      <c r="B22" s="52" t="s">
        <v>238</v>
      </c>
      <c r="C22" s="53"/>
      <c r="D22" s="35">
        <f>SUM(原始数据!J2:J2001)</f>
        <v>5012237.8180798618</v>
      </c>
      <c r="K22" s="9"/>
      <c r="L22" s="11"/>
    </row>
    <row r="23" spans="2:16" ht="17" customHeight="1" x14ac:dyDescent="0.3">
      <c r="O23" s="9"/>
      <c r="P23" s="10"/>
    </row>
    <row r="24" spans="2:16" ht="17" customHeight="1" thickBot="1" x14ac:dyDescent="0.35">
      <c r="B24" s="24" t="s">
        <v>259</v>
      </c>
      <c r="C24" s="25"/>
      <c r="D24" s="25"/>
      <c r="O24" s="9"/>
      <c r="P24" s="10"/>
    </row>
    <row r="25" spans="2:16" ht="17" customHeight="1" thickTop="1" thickBot="1" x14ac:dyDescent="0.35">
      <c r="B25" s="54" t="s">
        <v>239</v>
      </c>
      <c r="C25" s="55"/>
      <c r="D25" s="26">
        <v>45901</v>
      </c>
      <c r="O25" s="9"/>
      <c r="P25" s="10"/>
    </row>
    <row r="26" spans="2:16" ht="17" customHeight="1" thickBot="1" x14ac:dyDescent="0.35">
      <c r="B26" s="49" t="s">
        <v>240</v>
      </c>
      <c r="C26" s="50"/>
      <c r="D26" s="27">
        <v>45930</v>
      </c>
    </row>
    <row r="27" spans="2:16" ht="17" customHeight="1" thickBot="1" x14ac:dyDescent="0.35">
      <c r="B27" s="50" t="s">
        <v>241</v>
      </c>
      <c r="C27" s="51"/>
      <c r="D27" s="14" t="s">
        <v>250</v>
      </c>
    </row>
    <row r="28" spans="2:16" ht="17" customHeight="1" thickBot="1" x14ac:dyDescent="0.35">
      <c r="B28" s="52" t="s">
        <v>242</v>
      </c>
      <c r="C28" s="53"/>
      <c r="D28" s="34">
        <f>IFERROR(SUMIFS(原始数据!$G$2:$G$2001, 原始数据!$A$2:$A$2001, "&gt;="&amp;$D$25, 原始数据!$A$2:$A$2001, "&lt;="&amp;$D$26, 原始数据!$B$2:$B$2001, $D$27), 0)</f>
        <v>3990</v>
      </c>
    </row>
  </sheetData>
  <mergeCells count="22">
    <mergeCell ref="C3:G5"/>
    <mergeCell ref="B7:D7"/>
    <mergeCell ref="B8:C8"/>
    <mergeCell ref="K16:L17"/>
    <mergeCell ref="K14:L15"/>
    <mergeCell ref="K12:L13"/>
    <mergeCell ref="B26:C26"/>
    <mergeCell ref="B27:C27"/>
    <mergeCell ref="B28:C28"/>
    <mergeCell ref="B25:C25"/>
    <mergeCell ref="B9:C9"/>
    <mergeCell ref="B20:C20"/>
    <mergeCell ref="B21:C21"/>
    <mergeCell ref="B22:C22"/>
    <mergeCell ref="B11:C11"/>
    <mergeCell ref="B10:C10"/>
    <mergeCell ref="B18:C18"/>
    <mergeCell ref="B19:C19"/>
    <mergeCell ref="B13:C13"/>
    <mergeCell ref="B12:C12"/>
    <mergeCell ref="B14:C14"/>
    <mergeCell ref="B17:C17"/>
  </mergeCells>
  <phoneticPr fontId="1" type="noConversion"/>
  <dataValidations xWindow="201" yWindow="399" count="2">
    <dataValidation type="date" operator="greaterThanOrEqual" allowBlank="1" showInputMessage="1" showErrorMessage="1" sqref="D26" xr:uid="{1D7BA7D4-5098-4790-B55C-B3AF21C675DB}">
      <formula1>$D$25</formula1>
    </dataValidation>
    <dataValidation type="date" allowBlank="1" showInputMessage="1" showErrorMessage="1" errorTitle="输入无效" error="请输入有效日期，格式为 yyyy-mm-dd，例：2025-09-01" promptTitle="yyyy/mm/dd" prompt="例：2025/09/01" sqref="D25" xr:uid="{0C3158BA-259E-4611-B16C-F80AEEB372A5}">
      <formula1>1</formula1>
      <formula2>2958465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201" yWindow="399" count="1">
        <x14:dataValidation type="list" allowBlank="1" showInputMessage="1" showErrorMessage="1" xr:uid="{7FF70057-7A87-4E3A-91A1-C8BC54A26E5D}">
          <x14:formula1>
            <xm:f>原始数据!$B$2:$B$2001</xm:f>
          </x14:formula1>
          <xm:sqref>D27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2676C-44CC-4EC1-AC23-1954B27584C8}">
  <dimension ref="A1:J2001"/>
  <sheetViews>
    <sheetView zoomScaleNormal="100" workbookViewId="0">
      <selection activeCell="H11" sqref="H11"/>
    </sheetView>
  </sheetViews>
  <sheetFormatPr defaultRowHeight="18" customHeight="1" x14ac:dyDescent="0.3"/>
  <cols>
    <col min="1" max="1" width="10.58203125" style="3" bestFit="1" customWidth="1"/>
    <col min="5" max="5" width="14.4140625" bestFit="1" customWidth="1"/>
    <col min="6" max="6" width="10.58203125" bestFit="1" customWidth="1"/>
    <col min="8" max="8" width="10.58203125" style="44" bestFit="1" customWidth="1"/>
    <col min="9" max="9" width="8.6640625" style="46"/>
  </cols>
  <sheetData>
    <row r="1" spans="1:10" ht="18" customHeight="1" x14ac:dyDescent="0.3">
      <c r="A1" s="40" t="s">
        <v>263</v>
      </c>
      <c r="B1" s="36" t="s">
        <v>265</v>
      </c>
      <c r="C1" s="36" t="s">
        <v>245</v>
      </c>
      <c r="E1" s="65" t="s">
        <v>266</v>
      </c>
      <c r="F1" s="65"/>
      <c r="G1" s="48" t="s">
        <v>270</v>
      </c>
      <c r="H1" s="43" t="s">
        <v>263</v>
      </c>
      <c r="I1" s="45" t="s">
        <v>265</v>
      </c>
      <c r="J1" s="36" t="s">
        <v>245</v>
      </c>
    </row>
    <row r="2" spans="1:10" ht="18" customHeight="1" x14ac:dyDescent="0.3">
      <c r="A2" s="41">
        <f>表1[[#This Row],[订单日期]]</f>
        <v>45901</v>
      </c>
      <c r="B2" s="42">
        <f>原始数据!G2/(原始数据!G$2/100)</f>
        <v>100</v>
      </c>
      <c r="C2" s="42">
        <f>原始数据!J2/(原始数据!J$2/100)</f>
        <v>100.00000000000001</v>
      </c>
      <c r="E2" s="37" t="s">
        <v>267</v>
      </c>
      <c r="F2" s="38">
        <f>A2</f>
        <v>45901</v>
      </c>
      <c r="H2" s="44" cm="1">
        <f t="array" ref="H2:H31">_xlfn.UNIQUE(A3:A2001)</f>
        <v>45901</v>
      </c>
      <c r="I2" s="46">
        <f>AVERAGEIF(A:A, H2, B:B)</f>
        <v>425</v>
      </c>
      <c r="J2" s="46">
        <f>AVERAGEIF(A:A, H2, C:C)</f>
        <v>276.34232796112258</v>
      </c>
    </row>
    <row r="3" spans="1:10" ht="18" customHeight="1" x14ac:dyDescent="0.3">
      <c r="A3" s="41">
        <f>表1[[#This Row],[订单日期]]</f>
        <v>45901</v>
      </c>
      <c r="B3" s="42">
        <f>原始数据!G3/(原始数据!G$2/100)</f>
        <v>100</v>
      </c>
      <c r="C3" s="42">
        <f>原始数据!J3/(原始数据!J$2/100)</f>
        <v>152.96802632526948</v>
      </c>
      <c r="E3" s="37" t="s">
        <v>268</v>
      </c>
      <c r="F3" s="39">
        <v>100</v>
      </c>
      <c r="G3" s="47"/>
      <c r="H3" s="44">
        <v>45902</v>
      </c>
      <c r="I3" s="46">
        <f t="shared" ref="I3:I31" si="0">AVERAGEIF(A:A, H3, B:B)</f>
        <v>787.09677419354841</v>
      </c>
      <c r="J3" s="46">
        <f t="shared" ref="J3:J31" si="1">AVERAGEIF(A:A, H3, C:C)</f>
        <v>293.25119497899948</v>
      </c>
    </row>
    <row r="4" spans="1:10" ht="18" customHeight="1" x14ac:dyDescent="0.3">
      <c r="A4" s="41">
        <f>表1[[#This Row],[订单日期]]</f>
        <v>45901</v>
      </c>
      <c r="B4" s="42">
        <f>原始数据!G4/(原始数据!G$2/100)</f>
        <v>100</v>
      </c>
      <c r="C4" s="42">
        <f>原始数据!J4/(原始数据!J$2/100)</f>
        <v>132.46784877260242</v>
      </c>
      <c r="E4" s="37" t="s">
        <v>269</v>
      </c>
      <c r="F4">
        <v>50</v>
      </c>
      <c r="H4" s="44">
        <v>45903</v>
      </c>
      <c r="I4" s="46">
        <f t="shared" si="0"/>
        <v>340</v>
      </c>
      <c r="J4" s="46">
        <f t="shared" si="1"/>
        <v>289.21486808120011</v>
      </c>
    </row>
    <row r="5" spans="1:10" ht="18" customHeight="1" x14ac:dyDescent="0.3">
      <c r="A5" s="41">
        <f>表1[[#This Row],[订单日期]]</f>
        <v>45901</v>
      </c>
      <c r="B5" s="42">
        <f>原始数据!G5/(原始数据!G$2/100)</f>
        <v>100</v>
      </c>
      <c r="C5" s="42">
        <f>原始数据!J5/(原始数据!J$2/100)</f>
        <v>507.89812741279678</v>
      </c>
      <c r="H5" s="44">
        <v>45904</v>
      </c>
      <c r="I5" s="46">
        <f t="shared" si="0"/>
        <v>640</v>
      </c>
      <c r="J5" s="46">
        <f t="shared" si="1"/>
        <v>286.32709829794385</v>
      </c>
    </row>
    <row r="6" spans="1:10" ht="18" customHeight="1" x14ac:dyDescent="0.3">
      <c r="A6" s="41">
        <f>表1[[#This Row],[订单日期]]</f>
        <v>45901</v>
      </c>
      <c r="B6" s="42">
        <f>原始数据!G6/(原始数据!G$2/100)</f>
        <v>100</v>
      </c>
      <c r="C6" s="42">
        <f>原始数据!J6/(原始数据!J$2/100)</f>
        <v>36.726479013119551</v>
      </c>
      <c r="H6" s="44">
        <v>45905</v>
      </c>
      <c r="I6" s="46">
        <f t="shared" si="0"/>
        <v>590.71428571428567</v>
      </c>
      <c r="J6" s="46">
        <f t="shared" si="1"/>
        <v>306.48176662243537</v>
      </c>
    </row>
    <row r="7" spans="1:10" ht="18" customHeight="1" x14ac:dyDescent="0.3">
      <c r="A7" s="41">
        <f>表1[[#This Row],[订单日期]]</f>
        <v>45901</v>
      </c>
      <c r="B7" s="42">
        <f>原始数据!G7/(原始数据!G$2/100)</f>
        <v>100</v>
      </c>
      <c r="C7" s="42">
        <f>原始数据!J7/(原始数据!J$2/100)</f>
        <v>521.97122227327634</v>
      </c>
      <c r="H7" s="44">
        <v>45906</v>
      </c>
      <c r="I7" s="46">
        <f t="shared" si="0"/>
        <v>675</v>
      </c>
      <c r="J7" s="46">
        <f t="shared" si="1"/>
        <v>281.31590339633664</v>
      </c>
    </row>
    <row r="8" spans="1:10" ht="18" customHeight="1" x14ac:dyDescent="0.3">
      <c r="A8" s="41">
        <f>表1[[#This Row],[订单日期]]</f>
        <v>45901</v>
      </c>
      <c r="B8" s="42">
        <f>原始数据!G8/(原始数据!G$2/100)</f>
        <v>100</v>
      </c>
      <c r="C8" s="42">
        <f>原始数据!J8/(原始数据!J$2/100)</f>
        <v>437.31102956928919</v>
      </c>
      <c r="H8" s="44">
        <v>45907</v>
      </c>
      <c r="I8" s="46">
        <f t="shared" si="0"/>
        <v>417.14285714285717</v>
      </c>
      <c r="J8" s="46">
        <f t="shared" si="1"/>
        <v>294.21770246422079</v>
      </c>
    </row>
    <row r="9" spans="1:10" ht="18" customHeight="1" x14ac:dyDescent="0.3">
      <c r="A9" s="41">
        <f>表1[[#This Row],[订单日期]]</f>
        <v>45901</v>
      </c>
      <c r="B9" s="42">
        <f>原始数据!G9/(原始数据!G$2/100)</f>
        <v>100</v>
      </c>
      <c r="C9" s="42">
        <f>原始数据!J9/(原始数据!J$2/100)</f>
        <v>400.07827466282362</v>
      </c>
      <c r="H9" s="44">
        <v>45908</v>
      </c>
      <c r="I9" s="46">
        <f t="shared" si="0"/>
        <v>492.25352112676057</v>
      </c>
      <c r="J9" s="46">
        <f t="shared" si="1"/>
        <v>300.36520684837495</v>
      </c>
    </row>
    <row r="10" spans="1:10" ht="18" customHeight="1" x14ac:dyDescent="0.3">
      <c r="A10" s="41">
        <f>表1[[#This Row],[订单日期]]</f>
        <v>45901</v>
      </c>
      <c r="B10" s="42">
        <f>原始数据!G10/(原始数据!G$2/100)</f>
        <v>100</v>
      </c>
      <c r="C10" s="42">
        <f>原始数据!J10/(原始数据!J$2/100)</f>
        <v>366.39149641411666</v>
      </c>
      <c r="H10" s="44">
        <v>45909</v>
      </c>
      <c r="I10" s="46">
        <f t="shared" si="0"/>
        <v>150</v>
      </c>
      <c r="J10" s="46">
        <f t="shared" si="1"/>
        <v>300.88947465940123</v>
      </c>
    </row>
    <row r="11" spans="1:10" ht="18" customHeight="1" x14ac:dyDescent="0.3">
      <c r="A11" s="41">
        <f>表1[[#This Row],[订单日期]]</f>
        <v>45901</v>
      </c>
      <c r="B11" s="42">
        <f>原始数据!G11/(原始数据!G$2/100)</f>
        <v>200</v>
      </c>
      <c r="C11" s="42">
        <f>原始数据!J11/(原始数据!J$2/100)</f>
        <v>314.03326331236917</v>
      </c>
      <c r="H11" s="44">
        <v>45910</v>
      </c>
      <c r="I11" s="46">
        <f t="shared" si="0"/>
        <v>587.5</v>
      </c>
      <c r="J11" s="46">
        <f t="shared" si="1"/>
        <v>241.52313703637734</v>
      </c>
    </row>
    <row r="12" spans="1:10" ht="18" customHeight="1" x14ac:dyDescent="0.3">
      <c r="A12" s="41">
        <f>表1[[#This Row],[订单日期]]</f>
        <v>45901</v>
      </c>
      <c r="B12" s="42">
        <f>原始数据!G12/(原始数据!G$2/100)</f>
        <v>200</v>
      </c>
      <c r="C12" s="42">
        <f>原始数据!J12/(原始数据!J$2/100)</f>
        <v>517.26205051016041</v>
      </c>
      <c r="H12" s="44">
        <v>45911</v>
      </c>
      <c r="I12" s="46">
        <f t="shared" si="0"/>
        <v>622.72727272727275</v>
      </c>
      <c r="J12" s="46">
        <f t="shared" si="1"/>
        <v>268.97331765343091</v>
      </c>
    </row>
    <row r="13" spans="1:10" ht="18" customHeight="1" x14ac:dyDescent="0.3">
      <c r="A13" s="41">
        <f>表1[[#This Row],[订单日期]]</f>
        <v>45901</v>
      </c>
      <c r="B13" s="42">
        <f>原始数据!G13/(原始数据!G$2/100)</f>
        <v>200</v>
      </c>
      <c r="C13" s="42">
        <f>原始数据!J13/(原始数据!J$2/100)</f>
        <v>282.8951557864263</v>
      </c>
      <c r="H13" s="44">
        <v>45912</v>
      </c>
      <c r="I13" s="46">
        <f t="shared" si="0"/>
        <v>575</v>
      </c>
      <c r="J13" s="46">
        <f t="shared" si="1"/>
        <v>270.7732055004862</v>
      </c>
    </row>
    <row r="14" spans="1:10" ht="18" customHeight="1" x14ac:dyDescent="0.3">
      <c r="A14" s="41">
        <f>表1[[#This Row],[订单日期]]</f>
        <v>45901</v>
      </c>
      <c r="B14" s="42">
        <f>原始数据!G14/(原始数据!G$2/100)</f>
        <v>200</v>
      </c>
      <c r="C14" s="42">
        <f>原始数据!J14/(原始数据!J$2/100)</f>
        <v>255.30302491824199</v>
      </c>
      <c r="H14" s="44">
        <v>45913</v>
      </c>
      <c r="I14" s="46">
        <f t="shared" si="0"/>
        <v>468</v>
      </c>
      <c r="J14" s="46">
        <f t="shared" si="1"/>
        <v>308.62356162844287</v>
      </c>
    </row>
    <row r="15" spans="1:10" ht="18" customHeight="1" x14ac:dyDescent="0.3">
      <c r="A15" s="41">
        <f>表1[[#This Row],[订单日期]]</f>
        <v>45901</v>
      </c>
      <c r="B15" s="42">
        <f>原始数据!G15/(原始数据!G$2/100)</f>
        <v>200</v>
      </c>
      <c r="C15" s="42">
        <f>原始数据!J15/(原始数据!J$2/100)</f>
        <v>462.74265939712154</v>
      </c>
      <c r="H15" s="44">
        <v>45914</v>
      </c>
      <c r="I15" s="46">
        <f t="shared" si="0"/>
        <v>750</v>
      </c>
      <c r="J15" s="46">
        <f t="shared" si="1"/>
        <v>272.30614590086742</v>
      </c>
    </row>
    <row r="16" spans="1:10" ht="18" customHeight="1" x14ac:dyDescent="0.3">
      <c r="A16" s="41">
        <f>表1[[#This Row],[订单日期]]</f>
        <v>45901</v>
      </c>
      <c r="B16" s="42">
        <f>原始数据!G16/(原始数据!G$2/100)</f>
        <v>200</v>
      </c>
      <c r="C16" s="42">
        <f>原始数据!J16/(原始数据!J$2/100)</f>
        <v>32.571366102778391</v>
      </c>
      <c r="H16" s="44">
        <v>45915</v>
      </c>
      <c r="I16" s="46">
        <f t="shared" si="0"/>
        <v>1100</v>
      </c>
      <c r="J16" s="46">
        <f t="shared" si="1"/>
        <v>251.47007102362161</v>
      </c>
    </row>
    <row r="17" spans="1:10" ht="18" customHeight="1" x14ac:dyDescent="0.3">
      <c r="A17" s="41">
        <f>表1[[#This Row],[订单日期]]</f>
        <v>45901</v>
      </c>
      <c r="B17" s="42">
        <f>原始数据!G17/(原始数据!G$2/100)</f>
        <v>200</v>
      </c>
      <c r="C17" s="42">
        <f>原始数据!J17/(原始数据!J$2/100)</f>
        <v>330.21178181339292</v>
      </c>
      <c r="H17" s="44">
        <v>45916</v>
      </c>
      <c r="I17" s="46">
        <f t="shared" si="0"/>
        <v>588.06818181818187</v>
      </c>
      <c r="J17" s="46">
        <f t="shared" si="1"/>
        <v>271.20324638222797</v>
      </c>
    </row>
    <row r="18" spans="1:10" ht="18" customHeight="1" x14ac:dyDescent="0.3">
      <c r="A18" s="41">
        <f>表1[[#This Row],[订单日期]]</f>
        <v>45901</v>
      </c>
      <c r="B18" s="42">
        <f>原始数据!G18/(原始数据!G$2/100)</f>
        <v>200</v>
      </c>
      <c r="C18" s="42">
        <f>原始数据!J18/(原始数据!J$2/100)</f>
        <v>191.14300976692189</v>
      </c>
      <c r="H18" s="44">
        <v>45917</v>
      </c>
      <c r="I18" s="46">
        <f t="shared" si="0"/>
        <v>150</v>
      </c>
      <c r="J18" s="46">
        <f t="shared" si="1"/>
        <v>388.84724287507004</v>
      </c>
    </row>
    <row r="19" spans="1:10" ht="18" customHeight="1" x14ac:dyDescent="0.3">
      <c r="A19" s="41">
        <f>表1[[#This Row],[订单日期]]</f>
        <v>45901</v>
      </c>
      <c r="B19" s="42">
        <f>原始数据!G19/(原始数据!G$2/100)</f>
        <v>200</v>
      </c>
      <c r="C19" s="42">
        <f>原始数据!J19/(原始数据!J$2/100)</f>
        <v>191.14300976692189</v>
      </c>
      <c r="H19" s="44">
        <v>45918</v>
      </c>
      <c r="I19" s="46">
        <f t="shared" si="0"/>
        <v>688.20224719101122</v>
      </c>
      <c r="J19" s="46">
        <f t="shared" si="1"/>
        <v>263.9708583842654</v>
      </c>
    </row>
    <row r="20" spans="1:10" ht="18" customHeight="1" x14ac:dyDescent="0.3">
      <c r="A20" s="41">
        <f>表1[[#This Row],[订单日期]]</f>
        <v>45901</v>
      </c>
      <c r="B20" s="42">
        <f>原始数据!G20/(原始数据!G$2/100)</f>
        <v>550</v>
      </c>
      <c r="C20" s="42">
        <f>原始数据!J20/(原始数据!J$2/100)</f>
        <v>134.40921719096136</v>
      </c>
      <c r="H20" s="44">
        <v>45919</v>
      </c>
      <c r="I20" s="46">
        <f t="shared" si="0"/>
        <v>687.39130434782612</v>
      </c>
      <c r="J20" s="46">
        <f t="shared" si="1"/>
        <v>247.52841933230997</v>
      </c>
    </row>
    <row r="21" spans="1:10" ht="18" customHeight="1" x14ac:dyDescent="0.3">
      <c r="A21" s="41">
        <f>表1[[#This Row],[订单日期]]</f>
        <v>45901</v>
      </c>
      <c r="B21" s="42">
        <f>原始数据!G21/(原始数据!G$2/100)</f>
        <v>550</v>
      </c>
      <c r="C21" s="42">
        <f>原始数据!J21/(原始数据!J$2/100)</f>
        <v>237.13172849540652</v>
      </c>
      <c r="H21" s="44">
        <v>45920</v>
      </c>
      <c r="I21" s="46">
        <f t="shared" si="0"/>
        <v>240</v>
      </c>
      <c r="J21" s="46">
        <f t="shared" si="1"/>
        <v>258.26483062088391</v>
      </c>
    </row>
    <row r="22" spans="1:10" ht="18" customHeight="1" x14ac:dyDescent="0.3">
      <c r="A22" s="41">
        <f>表1[[#This Row],[订单日期]]</f>
        <v>45901</v>
      </c>
      <c r="B22" s="42">
        <f>原始数据!G22/(原始数据!G$2/100)</f>
        <v>550</v>
      </c>
      <c r="C22" s="42">
        <f>原始数据!J22/(原始数据!J$2/100)</f>
        <v>152.36072402086438</v>
      </c>
      <c r="H22" s="44">
        <v>45921</v>
      </c>
      <c r="I22" s="46">
        <f t="shared" si="0"/>
        <v>462.09677419354841</v>
      </c>
      <c r="J22" s="46">
        <f t="shared" si="1"/>
        <v>261.81917522620705</v>
      </c>
    </row>
    <row r="23" spans="1:10" ht="18" customHeight="1" x14ac:dyDescent="0.3">
      <c r="A23" s="41">
        <f>表1[[#This Row],[订单日期]]</f>
        <v>45901</v>
      </c>
      <c r="B23" s="42">
        <f>原始数据!G23/(原始数据!G$2/100)</f>
        <v>550</v>
      </c>
      <c r="C23" s="42">
        <f>原始数据!J23/(原始数据!J$2/100)</f>
        <v>365.78419410971162</v>
      </c>
      <c r="H23" s="44">
        <v>45922</v>
      </c>
      <c r="I23" s="46">
        <f t="shared" si="0"/>
        <v>641.66666666666663</v>
      </c>
      <c r="J23" s="46">
        <f t="shared" si="1"/>
        <v>304.0719879082643</v>
      </c>
    </row>
    <row r="24" spans="1:10" ht="18" customHeight="1" x14ac:dyDescent="0.3">
      <c r="A24" s="41">
        <f>表1[[#This Row],[订单日期]]</f>
        <v>45901</v>
      </c>
      <c r="B24" s="42">
        <f>原始数据!G24/(原始数据!G$2/100)</f>
        <v>550</v>
      </c>
      <c r="C24" s="42">
        <f>原始数据!J24/(原始数据!J$2/100)</f>
        <v>241.56419931760479</v>
      </c>
      <c r="H24" s="44">
        <v>45923</v>
      </c>
      <c r="I24" s="46">
        <f t="shared" si="0"/>
        <v>411.93181818181819</v>
      </c>
      <c r="J24" s="46">
        <f t="shared" si="1"/>
        <v>276.00360631528343</v>
      </c>
    </row>
    <row r="25" spans="1:10" ht="18" customHeight="1" x14ac:dyDescent="0.3">
      <c r="A25" s="41">
        <f>表1[[#This Row],[订单日期]]</f>
        <v>45901</v>
      </c>
      <c r="B25" s="42">
        <f>原始数据!G25/(原始数据!G$2/100)</f>
        <v>550</v>
      </c>
      <c r="C25" s="42">
        <f>原始数据!J25/(原始数据!J$2/100)</f>
        <v>125.32265200545488</v>
      </c>
      <c r="H25" s="44">
        <v>45924</v>
      </c>
      <c r="I25" s="46">
        <f t="shared" si="0"/>
        <v>454.83870967741933</v>
      </c>
      <c r="J25" s="46">
        <f t="shared" si="1"/>
        <v>266.23527045370275</v>
      </c>
    </row>
    <row r="26" spans="1:10" ht="18" customHeight="1" x14ac:dyDescent="0.3">
      <c r="A26" s="41">
        <f>表1[[#This Row],[订单日期]]</f>
        <v>45901</v>
      </c>
      <c r="B26" s="42">
        <f>原始数据!G26/(原始数据!G$2/100)</f>
        <v>550</v>
      </c>
      <c r="C26" s="42">
        <f>原始数据!J26/(原始数据!J$2/100)</f>
        <v>433.26856237768044</v>
      </c>
      <c r="H26" s="44">
        <v>45925</v>
      </c>
      <c r="I26" s="46">
        <f t="shared" si="0"/>
        <v>397.14285714285717</v>
      </c>
      <c r="J26" s="46">
        <f t="shared" si="1"/>
        <v>287.54478089868445</v>
      </c>
    </row>
    <row r="27" spans="1:10" ht="18" customHeight="1" x14ac:dyDescent="0.3">
      <c r="A27" s="41">
        <f>表1[[#This Row],[订单日期]]</f>
        <v>45901</v>
      </c>
      <c r="B27" s="42">
        <f>原始数据!G27/(原始数据!G$2/100)</f>
        <v>550</v>
      </c>
      <c r="C27" s="42">
        <f>原始数据!J27/(原始数据!J$2/100)</f>
        <v>123.77128721768548</v>
      </c>
      <c r="H27" s="44">
        <v>45926</v>
      </c>
      <c r="I27" s="46">
        <f t="shared" si="0"/>
        <v>465.82278481012656</v>
      </c>
      <c r="J27" s="46">
        <f t="shared" si="1"/>
        <v>267.5344970800802</v>
      </c>
    </row>
    <row r="28" spans="1:10" ht="18" customHeight="1" x14ac:dyDescent="0.3">
      <c r="A28" s="41">
        <f>表1[[#This Row],[订单日期]]</f>
        <v>45901</v>
      </c>
      <c r="B28" s="42">
        <f>原始数据!G28/(原始数据!G$2/100)</f>
        <v>550</v>
      </c>
      <c r="C28" s="42">
        <f>原始数据!J28/(原始数据!J$2/100)</f>
        <v>90.195320739533514</v>
      </c>
      <c r="H28" s="44">
        <v>45927</v>
      </c>
      <c r="I28" s="46">
        <f t="shared" si="0"/>
        <v>617.1875</v>
      </c>
      <c r="J28" s="46">
        <f t="shared" si="1"/>
        <v>284.99654264599309</v>
      </c>
    </row>
    <row r="29" spans="1:10" ht="18" customHeight="1" x14ac:dyDescent="0.3">
      <c r="A29" s="41">
        <f>表1[[#This Row],[订单日期]]</f>
        <v>45901</v>
      </c>
      <c r="B29" s="42">
        <f>原始数据!G29/(原始数据!G$2/100)</f>
        <v>850</v>
      </c>
      <c r="C29" s="42">
        <f>原始数据!J29/(原始数据!J$2/100)</f>
        <v>358.29057641192378</v>
      </c>
      <c r="H29" s="44">
        <v>45928</v>
      </c>
      <c r="I29" s="46">
        <f t="shared" si="0"/>
        <v>630.39215686274508</v>
      </c>
      <c r="J29" s="46">
        <f t="shared" si="1"/>
        <v>289.76151996929735</v>
      </c>
    </row>
    <row r="30" spans="1:10" ht="18" customHeight="1" x14ac:dyDescent="0.3">
      <c r="A30" s="41">
        <f>表1[[#This Row],[订单日期]]</f>
        <v>45901</v>
      </c>
      <c r="B30" s="42">
        <f>原始数据!G30/(原始数据!G$2/100)</f>
        <v>850</v>
      </c>
      <c r="C30" s="42">
        <f>原始数据!J30/(原始数据!J$2/100)</f>
        <v>228.97324017428895</v>
      </c>
      <c r="H30" s="44">
        <v>45929</v>
      </c>
      <c r="I30" s="46">
        <f t="shared" si="0"/>
        <v>559.77011494252872</v>
      </c>
      <c r="J30" s="46">
        <f t="shared" si="1"/>
        <v>265.06407407453173</v>
      </c>
    </row>
    <row r="31" spans="1:10" ht="18" customHeight="1" x14ac:dyDescent="0.3">
      <c r="A31" s="41">
        <f>表1[[#This Row],[订单日期]]</f>
        <v>45901</v>
      </c>
      <c r="B31" s="42">
        <f>原始数据!G31/(原始数据!G$2/100)</f>
        <v>850</v>
      </c>
      <c r="C31" s="42">
        <f>原始数据!J31/(原始数据!J$2/100)</f>
        <v>289.36565512674053</v>
      </c>
      <c r="H31" s="44">
        <v>45930</v>
      </c>
      <c r="I31" s="46">
        <f t="shared" si="0"/>
        <v>383.33333333333331</v>
      </c>
      <c r="J31" s="46">
        <f t="shared" si="1"/>
        <v>196.18258897789786</v>
      </c>
    </row>
    <row r="32" spans="1:10" ht="18" customHeight="1" x14ac:dyDescent="0.3">
      <c r="A32" s="41">
        <f>表1[[#This Row],[订单日期]]</f>
        <v>45901</v>
      </c>
      <c r="B32" s="42">
        <f>原始数据!G32/(原始数据!G$2/100)</f>
        <v>850</v>
      </c>
      <c r="C32" s="42">
        <f>原始数据!J32/(原始数据!J$2/100)</f>
        <v>267.53573632741399</v>
      </c>
    </row>
    <row r="33" spans="1:3" ht="18" customHeight="1" x14ac:dyDescent="0.3">
      <c r="A33" s="41">
        <f>表1[[#This Row],[订单日期]]</f>
        <v>45901</v>
      </c>
      <c r="B33" s="42">
        <f>原始数据!G33/(原始数据!G$2/100)</f>
        <v>850</v>
      </c>
      <c r="C33" s="42">
        <f>原始数据!J33/(原始数据!J$2/100)</f>
        <v>372.91773012517808</v>
      </c>
    </row>
    <row r="34" spans="1:3" ht="18" customHeight="1" x14ac:dyDescent="0.3">
      <c r="A34" s="41">
        <f>表1[[#This Row],[订单日期]]</f>
        <v>45901</v>
      </c>
      <c r="B34" s="42">
        <f>原始数据!G34/(原始数据!G$2/100)</f>
        <v>850</v>
      </c>
      <c r="C34" s="42">
        <f>原始数据!J34/(原始数据!J$2/100)</f>
        <v>509.99189030165996</v>
      </c>
    </row>
    <row r="35" spans="1:3" ht="18" customHeight="1" x14ac:dyDescent="0.3">
      <c r="A35" s="41">
        <f>表1[[#This Row],[订单日期]]</f>
        <v>45901</v>
      </c>
      <c r="B35" s="42">
        <f>原始数据!G35/(原始数据!G$2/100)</f>
        <v>850</v>
      </c>
      <c r="C35" s="42">
        <f>原始数据!J35/(原始数据!J$2/100)</f>
        <v>118.49390493099679</v>
      </c>
    </row>
    <row r="36" spans="1:3" ht="18" customHeight="1" x14ac:dyDescent="0.3">
      <c r="A36" s="41">
        <f>表1[[#This Row],[订单日期]]</f>
        <v>45901</v>
      </c>
      <c r="B36" s="42">
        <f>原始数据!G36/(原始数据!G$2/100)</f>
        <v>850</v>
      </c>
      <c r="C36" s="42">
        <f>原始数据!J36/(原始数据!J$2/100)</f>
        <v>488.38359504344334</v>
      </c>
    </row>
    <row r="37" spans="1:3" ht="18" customHeight="1" x14ac:dyDescent="0.3">
      <c r="A37" s="41">
        <f>表1[[#This Row],[订单日期]]</f>
        <v>45901</v>
      </c>
      <c r="B37" s="42">
        <f>原始数据!G37/(原始数据!G$2/100)</f>
        <v>850</v>
      </c>
      <c r="C37" s="42">
        <f>原始数据!J37/(原始数据!J$2/100)</f>
        <v>177.44576686623392</v>
      </c>
    </row>
    <row r="38" spans="1:3" ht="18" customHeight="1" x14ac:dyDescent="0.3">
      <c r="A38" s="41">
        <f>表1[[#This Row],[订单日期]]</f>
        <v>45902</v>
      </c>
      <c r="B38" s="42">
        <f>原始数据!G38/(原始数据!G$2/100)</f>
        <v>250</v>
      </c>
      <c r="C38" s="42">
        <f>原始数据!J38/(原始数据!J$2/100)</f>
        <v>473.54431332169992</v>
      </c>
    </row>
    <row r="39" spans="1:3" ht="18" customHeight="1" x14ac:dyDescent="0.3">
      <c r="A39" s="41">
        <f>表1[[#This Row],[订单日期]]</f>
        <v>45902</v>
      </c>
      <c r="B39" s="42">
        <f>原始数据!G39/(原始数据!G$2/100)</f>
        <v>250</v>
      </c>
      <c r="C39" s="42">
        <f>原始数据!J39/(原始数据!J$2/100)</f>
        <v>286.82647993659731</v>
      </c>
    </row>
    <row r="40" spans="1:3" ht="18" customHeight="1" x14ac:dyDescent="0.3">
      <c r="A40" s="41">
        <f>表1[[#This Row],[订单日期]]</f>
        <v>45902</v>
      </c>
      <c r="B40" s="42">
        <f>原始数据!G40/(原始数据!G$2/100)</f>
        <v>250</v>
      </c>
      <c r="C40" s="42">
        <f>原始数据!J40/(原始数据!J$2/100)</f>
        <v>302.11850427318143</v>
      </c>
    </row>
    <row r="41" spans="1:3" ht="18" customHeight="1" x14ac:dyDescent="0.3">
      <c r="A41" s="41">
        <f>表1[[#This Row],[订单日期]]</f>
        <v>45902</v>
      </c>
      <c r="B41" s="42">
        <f>原始数据!G41/(原始数据!G$2/100)</f>
        <v>250</v>
      </c>
      <c r="C41" s="42">
        <f>原始数据!J41/(原始数据!J$2/100)</f>
        <v>426.67093437695308</v>
      </c>
    </row>
    <row r="42" spans="1:3" ht="18" customHeight="1" x14ac:dyDescent="0.3">
      <c r="A42" s="41">
        <f>表1[[#This Row],[订单日期]]</f>
        <v>45902</v>
      </c>
      <c r="B42" s="42">
        <f>原始数据!G42/(原始数据!G$2/100)</f>
        <v>250</v>
      </c>
      <c r="C42" s="42">
        <f>原始数据!J42/(原始数据!J$2/100)</f>
        <v>514.32304488592411</v>
      </c>
    </row>
    <row r="43" spans="1:3" ht="18" customHeight="1" x14ac:dyDescent="0.3">
      <c r="A43" s="41">
        <f>表1[[#This Row],[订单日期]]</f>
        <v>45902</v>
      </c>
      <c r="B43" s="42">
        <f>原始数据!G43/(原始数据!G$2/100)</f>
        <v>250</v>
      </c>
      <c r="C43" s="42">
        <f>原始数据!J43/(原始数据!J$2/100)</f>
        <v>78.389539522723183</v>
      </c>
    </row>
    <row r="44" spans="1:3" ht="18" customHeight="1" x14ac:dyDescent="0.3">
      <c r="A44" s="41">
        <f>表1[[#This Row],[订单日期]]</f>
        <v>45902</v>
      </c>
      <c r="B44" s="42">
        <f>原始数据!G44/(原始数据!G$2/100)</f>
        <v>250</v>
      </c>
      <c r="C44" s="42">
        <f>原始数据!J44/(原始数据!J$2/100)</f>
        <v>118.0601533813978</v>
      </c>
    </row>
    <row r="45" spans="1:3" ht="18" customHeight="1" x14ac:dyDescent="0.3">
      <c r="A45" s="41">
        <f>表1[[#This Row],[订单日期]]</f>
        <v>45902</v>
      </c>
      <c r="B45" s="42">
        <f>原始数据!G45/(原始数据!G$2/100)</f>
        <v>250</v>
      </c>
      <c r="C45" s="42">
        <f>原始数据!J45/(原始数据!J$2/100)</f>
        <v>447.39273547073003</v>
      </c>
    </row>
    <row r="46" spans="1:3" ht="18" customHeight="1" x14ac:dyDescent="0.3">
      <c r="A46" s="41">
        <f>表1[[#This Row],[订单日期]]</f>
        <v>45902</v>
      </c>
      <c r="B46" s="42">
        <f>原始数据!G46/(原始数据!G$2/100)</f>
        <v>550</v>
      </c>
      <c r="C46" s="42">
        <f>原始数据!J46/(原始数据!J$2/100)</f>
        <v>361.08690842462403</v>
      </c>
    </row>
    <row r="47" spans="1:3" ht="18" customHeight="1" x14ac:dyDescent="0.3">
      <c r="A47" s="41">
        <f>表1[[#This Row],[订单日期]]</f>
        <v>45902</v>
      </c>
      <c r="B47" s="42">
        <f>原始数据!G47/(原始数据!G$2/100)</f>
        <v>550</v>
      </c>
      <c r="C47" s="42">
        <f>原始数据!J47/(原始数据!J$2/100)</f>
        <v>141.5687909552542</v>
      </c>
    </row>
    <row r="48" spans="1:3" ht="18" customHeight="1" x14ac:dyDescent="0.3">
      <c r="A48" s="41">
        <f>表1[[#This Row],[订单日期]]</f>
        <v>45902</v>
      </c>
      <c r="B48" s="42">
        <f>原始数据!G48/(原始数据!G$2/100)</f>
        <v>550</v>
      </c>
      <c r="C48" s="42">
        <f>原始数据!J48/(原始数据!J$2/100)</f>
        <v>50.592327329634479</v>
      </c>
    </row>
    <row r="49" spans="1:3" ht="18" customHeight="1" x14ac:dyDescent="0.3">
      <c r="A49" s="41">
        <f>表1[[#This Row],[订单日期]]</f>
        <v>45902</v>
      </c>
      <c r="B49" s="42">
        <f>原始数据!G49/(原始数据!G$2/100)</f>
        <v>550</v>
      </c>
      <c r="C49" s="42">
        <f>原始数据!J49/(原始数据!J$2/100)</f>
        <v>132.14979045808283</v>
      </c>
    </row>
    <row r="50" spans="1:3" ht="18" customHeight="1" x14ac:dyDescent="0.3">
      <c r="A50" s="41">
        <f>表1[[#This Row],[订单日期]]</f>
        <v>45902</v>
      </c>
      <c r="B50" s="42">
        <f>原始数据!G50/(原始数据!G$2/100)</f>
        <v>550</v>
      </c>
      <c r="C50" s="42">
        <f>原始数据!J50/(原始数据!J$2/100)</f>
        <v>492.39885653224809</v>
      </c>
    </row>
    <row r="51" spans="1:3" ht="18" customHeight="1" x14ac:dyDescent="0.3">
      <c r="A51" s="41">
        <f>表1[[#This Row],[订单日期]]</f>
        <v>45902</v>
      </c>
      <c r="B51" s="42">
        <f>原始数据!G51/(原始数据!G$2/100)</f>
        <v>550</v>
      </c>
      <c r="C51" s="42">
        <f>原始数据!J51/(原始数据!J$2/100)</f>
        <v>170.82309838176283</v>
      </c>
    </row>
    <row r="52" spans="1:3" ht="18" customHeight="1" x14ac:dyDescent="0.3">
      <c r="A52" s="41">
        <f>表1[[#This Row],[订单日期]]</f>
        <v>45902</v>
      </c>
      <c r="B52" s="42">
        <f>原始数据!G52/(原始数据!G$2/100)</f>
        <v>550</v>
      </c>
      <c r="C52" s="42">
        <f>原始数据!J52/(原始数据!J$2/100)</f>
        <v>128.60381380032422</v>
      </c>
    </row>
    <row r="53" spans="1:3" ht="18" customHeight="1" x14ac:dyDescent="0.3">
      <c r="A53" s="41">
        <f>表1[[#This Row],[订单日期]]</f>
        <v>45902</v>
      </c>
      <c r="B53" s="42">
        <f>原始数据!G53/(原始数据!G$2/100)</f>
        <v>550</v>
      </c>
      <c r="C53" s="42">
        <f>原始数据!J53/(原始数据!J$2/100)</f>
        <v>62.559998549569833</v>
      </c>
    </row>
    <row r="54" spans="1:3" ht="18" customHeight="1" x14ac:dyDescent="0.3">
      <c r="A54" s="41">
        <f>表1[[#This Row],[订单日期]]</f>
        <v>45902</v>
      </c>
      <c r="B54" s="42">
        <f>原始数据!G54/(原始数据!G$2/100)</f>
        <v>550</v>
      </c>
      <c r="C54" s="42">
        <f>原始数据!J54/(原始数据!J$2/100)</f>
        <v>550.24260076193559</v>
      </c>
    </row>
    <row r="55" spans="1:3" ht="18" customHeight="1" x14ac:dyDescent="0.3">
      <c r="A55" s="41">
        <f>表1[[#This Row],[订单日期]]</f>
        <v>45902</v>
      </c>
      <c r="B55" s="42">
        <f>原始数据!G55/(原始数据!G$2/100)</f>
        <v>650</v>
      </c>
      <c r="C55" s="42">
        <f>原始数据!J55/(原始数据!J$2/100)</f>
        <v>369.13881032243216</v>
      </c>
    </row>
    <row r="56" spans="1:3" ht="18" customHeight="1" x14ac:dyDescent="0.3">
      <c r="A56" s="41">
        <f>表1[[#This Row],[订单日期]]</f>
        <v>45902</v>
      </c>
      <c r="B56" s="42">
        <f>原始数据!G56/(原始数据!G$2/100)</f>
        <v>650</v>
      </c>
      <c r="C56" s="42">
        <f>原始数据!J56/(原始数据!J$2/100)</f>
        <v>441.72052003592904</v>
      </c>
    </row>
    <row r="57" spans="1:3" ht="18" customHeight="1" x14ac:dyDescent="0.3">
      <c r="A57" s="41">
        <f>表1[[#This Row],[订单日期]]</f>
        <v>45902</v>
      </c>
      <c r="B57" s="42">
        <f>原始数据!G57/(原始数据!G$2/100)</f>
        <v>650</v>
      </c>
      <c r="C57" s="42">
        <f>原始数据!J57/(原始数据!J$2/100)</f>
        <v>117.37446762156983</v>
      </c>
    </row>
    <row r="58" spans="1:3" ht="18" customHeight="1" x14ac:dyDescent="0.3">
      <c r="A58" s="41">
        <f>表1[[#This Row],[订单日期]]</f>
        <v>45902</v>
      </c>
      <c r="B58" s="42">
        <f>原始数据!G58/(原始数据!G$2/100)</f>
        <v>650</v>
      </c>
      <c r="C58" s="42">
        <f>原始数据!J58/(原始数据!J$2/100)</f>
        <v>183.19665933121431</v>
      </c>
    </row>
    <row r="59" spans="1:3" ht="18" customHeight="1" x14ac:dyDescent="0.3">
      <c r="A59" s="41">
        <f>表1[[#This Row],[订单日期]]</f>
        <v>45902</v>
      </c>
      <c r="B59" s="42">
        <f>原始数据!G59/(原始数据!G$2/100)</f>
        <v>650</v>
      </c>
      <c r="C59" s="42">
        <f>原始数据!J59/(原始数据!J$2/100)</f>
        <v>457.23416791362303</v>
      </c>
    </row>
    <row r="60" spans="1:3" ht="18" customHeight="1" x14ac:dyDescent="0.3">
      <c r="A60" s="41">
        <f>表1[[#This Row],[订单日期]]</f>
        <v>45902</v>
      </c>
      <c r="B60" s="42">
        <f>原始数据!G60/(原始数据!G$2/100)</f>
        <v>650</v>
      </c>
      <c r="C60" s="42">
        <f>原始数据!J60/(原始数据!J$2/100)</f>
        <v>524.49691264048192</v>
      </c>
    </row>
    <row r="61" spans="1:3" ht="18" customHeight="1" x14ac:dyDescent="0.3">
      <c r="A61" s="41">
        <f>表1[[#This Row],[订单日期]]</f>
        <v>45902</v>
      </c>
      <c r="B61" s="42">
        <f>原始数据!G61/(原始数据!G$2/100)</f>
        <v>650</v>
      </c>
      <c r="C61" s="42">
        <f>原始数据!J61/(原始数据!J$2/100)</f>
        <v>519.73200650661875</v>
      </c>
    </row>
    <row r="62" spans="1:3" ht="18" customHeight="1" x14ac:dyDescent="0.3">
      <c r="A62" s="41">
        <f>表1[[#This Row],[订单日期]]</f>
        <v>45902</v>
      </c>
      <c r="B62" s="42">
        <f>原始数据!G62/(原始数据!G$2/100)</f>
        <v>650</v>
      </c>
      <c r="C62" s="42">
        <f>原始数据!J62/(原始数据!J$2/100)</f>
        <v>408.92023595166177</v>
      </c>
    </row>
    <row r="63" spans="1:3" ht="18" customHeight="1" x14ac:dyDescent="0.3">
      <c r="A63" s="41">
        <f>表1[[#This Row],[订单日期]]</f>
        <v>45902</v>
      </c>
      <c r="B63" s="42">
        <f>原始数据!G63/(原始数据!G$2/100)</f>
        <v>650</v>
      </c>
      <c r="C63" s="42">
        <f>原始数据!J63/(原始数据!J$2/100)</f>
        <v>11.438414971030928</v>
      </c>
    </row>
    <row r="64" spans="1:3" ht="18" customHeight="1" x14ac:dyDescent="0.3">
      <c r="A64" s="41">
        <f>表1[[#This Row],[订单日期]]</f>
        <v>45902</v>
      </c>
      <c r="B64" s="42">
        <f>原始数据!G64/(原始数据!G$2/100)</f>
        <v>1000</v>
      </c>
      <c r="C64" s="42">
        <f>原始数据!J64/(原始数据!J$2/100)</f>
        <v>316.82034306353097</v>
      </c>
    </row>
    <row r="65" spans="1:3" ht="18" customHeight="1" x14ac:dyDescent="0.3">
      <c r="A65" s="41">
        <f>表1[[#This Row],[订单日期]]</f>
        <v>45902</v>
      </c>
      <c r="B65" s="42">
        <f>原始数据!G65/(原始数据!G$2/100)</f>
        <v>1000</v>
      </c>
      <c r="C65" s="42">
        <f>原始数据!J65/(原始数据!J$2/100)</f>
        <v>118.68889731126781</v>
      </c>
    </row>
    <row r="66" spans="1:3" ht="18" customHeight="1" x14ac:dyDescent="0.3">
      <c r="A66" s="41">
        <f>表1[[#This Row],[订单日期]]</f>
        <v>45902</v>
      </c>
      <c r="B66" s="42">
        <f>原始数据!G66/(原始数据!G$2/100)</f>
        <v>1000</v>
      </c>
      <c r="C66" s="42">
        <f>原始数据!J66/(原始数据!J$2/100)</f>
        <v>174.75965321207605</v>
      </c>
    </row>
    <row r="67" spans="1:3" ht="18" customHeight="1" x14ac:dyDescent="0.3">
      <c r="A67" s="41">
        <f>表1[[#This Row],[订单日期]]</f>
        <v>45902</v>
      </c>
      <c r="B67" s="42">
        <f>原始数据!G67/(原始数据!G$2/100)</f>
        <v>1000</v>
      </c>
      <c r="C67" s="42">
        <f>原始数据!J67/(原始数据!J$2/100)</f>
        <v>389.44833506220647</v>
      </c>
    </row>
    <row r="68" spans="1:3" ht="18" customHeight="1" x14ac:dyDescent="0.3">
      <c r="A68" s="41">
        <f>表1[[#This Row],[订单日期]]</f>
        <v>45902</v>
      </c>
      <c r="B68" s="42">
        <f>原始数据!G68/(原始数据!G$2/100)</f>
        <v>1000</v>
      </c>
      <c r="C68" s="42">
        <f>原始数据!J68/(原始数据!J$2/100)</f>
        <v>128.66195666121394</v>
      </c>
    </row>
    <row r="69" spans="1:3" ht="18" customHeight="1" x14ac:dyDescent="0.3">
      <c r="A69" s="41">
        <f>表1[[#This Row],[订单日期]]</f>
        <v>45902</v>
      </c>
      <c r="B69" s="42">
        <f>原始数据!G69/(原始数据!G$2/100)</f>
        <v>1000</v>
      </c>
      <c r="C69" s="42">
        <f>原始数据!J69/(原始数据!J$2/100)</f>
        <v>175.42452383540581</v>
      </c>
    </row>
    <row r="70" spans="1:3" ht="18" customHeight="1" x14ac:dyDescent="0.3">
      <c r="A70" s="41">
        <f>表1[[#This Row],[订单日期]]</f>
        <v>45902</v>
      </c>
      <c r="B70" s="42">
        <f>原始数据!G70/(原始数据!G$2/100)</f>
        <v>1000</v>
      </c>
      <c r="C70" s="42">
        <f>原始数据!J70/(原始数据!J$2/100)</f>
        <v>371.45054594712479</v>
      </c>
    </row>
    <row r="71" spans="1:3" ht="18" customHeight="1" x14ac:dyDescent="0.3">
      <c r="A71" s="41">
        <f>表1[[#This Row],[订单日期]]</f>
        <v>45902</v>
      </c>
      <c r="B71" s="42">
        <f>原始数据!G71/(原始数据!G$2/100)</f>
        <v>1000</v>
      </c>
      <c r="C71" s="42">
        <f>原始数据!J71/(原始数据!J$2/100)</f>
        <v>144.11107505353161</v>
      </c>
    </row>
    <row r="72" spans="1:3" ht="18" customHeight="1" x14ac:dyDescent="0.3">
      <c r="A72" s="41">
        <f>表1[[#This Row],[订单日期]]</f>
        <v>45902</v>
      </c>
      <c r="B72" s="42">
        <f>原始数据!G72/(原始数据!G$2/100)</f>
        <v>1000</v>
      </c>
      <c r="C72" s="42">
        <f>原始数据!J72/(原始数据!J$2/100)</f>
        <v>19.179927352916398</v>
      </c>
    </row>
    <row r="73" spans="1:3" ht="18" customHeight="1" x14ac:dyDescent="0.3">
      <c r="A73" s="41">
        <f>表1[[#This Row],[订单日期]]</f>
        <v>45902</v>
      </c>
      <c r="B73" s="42">
        <f>原始数据!G73/(原始数据!G$2/100)</f>
        <v>1000</v>
      </c>
      <c r="C73" s="42">
        <f>原始数据!J73/(原始数据!J$2/100)</f>
        <v>69.820906496531762</v>
      </c>
    </row>
    <row r="74" spans="1:3" ht="18" customHeight="1" x14ac:dyDescent="0.3">
      <c r="A74" s="41">
        <f>表1[[#This Row],[订单日期]]</f>
        <v>45902</v>
      </c>
      <c r="B74" s="42">
        <f>原始数据!G74/(原始数据!G$2/100)</f>
        <v>1000</v>
      </c>
      <c r="C74" s="42">
        <f>原始数据!J74/(原始数据!J$2/100)</f>
        <v>337.76376769841784</v>
      </c>
    </row>
    <row r="75" spans="1:3" ht="18" customHeight="1" x14ac:dyDescent="0.3">
      <c r="A75" s="41">
        <f>表1[[#This Row],[订单日期]]</f>
        <v>45902</v>
      </c>
      <c r="B75" s="42">
        <f>原始数据!G75/(原始数据!G$2/100)</f>
        <v>1000</v>
      </c>
      <c r="C75" s="42">
        <f>原始数据!J75/(原始数据!J$2/100)</f>
        <v>346.01012100466329</v>
      </c>
    </row>
    <row r="76" spans="1:3" ht="18" customHeight="1" x14ac:dyDescent="0.3">
      <c r="A76" s="41">
        <f>表1[[#This Row],[订单日期]]</f>
        <v>45902</v>
      </c>
      <c r="B76" s="42">
        <f>原始数据!G76/(原始数据!G$2/100)</f>
        <v>1000</v>
      </c>
      <c r="C76" s="42">
        <f>原始数据!J76/(原始数据!J$2/100)</f>
        <v>406.13463013082634</v>
      </c>
    </row>
    <row r="77" spans="1:3" ht="18" customHeight="1" x14ac:dyDescent="0.3">
      <c r="A77" s="41">
        <f>表1[[#This Row],[订单日期]]</f>
        <v>45902</v>
      </c>
      <c r="B77" s="42">
        <f>原始数据!G77/(原始数据!G$2/100)</f>
        <v>1000</v>
      </c>
      <c r="C77" s="42">
        <f>原始数据!J77/(原始数据!J$2/100)</f>
        <v>485.58666961873053</v>
      </c>
    </row>
    <row r="78" spans="1:3" ht="18" customHeight="1" x14ac:dyDescent="0.3">
      <c r="A78" s="41">
        <f>表1[[#This Row],[订单日期]]</f>
        <v>45902</v>
      </c>
      <c r="B78" s="42">
        <f>原始数据!G78/(原始数据!G$2/100)</f>
        <v>1000</v>
      </c>
      <c r="C78" s="42">
        <f>原始数据!J78/(原始数据!J$2/100)</f>
        <v>465.7513626893932</v>
      </c>
    </row>
    <row r="79" spans="1:3" ht="18" customHeight="1" x14ac:dyDescent="0.3">
      <c r="A79" s="41">
        <f>表1[[#This Row],[订单日期]]</f>
        <v>45902</v>
      </c>
      <c r="B79" s="42">
        <f>原始数据!G79/(原始数据!G$2/100)</f>
        <v>1000</v>
      </c>
      <c r="C79" s="42">
        <f>原始数据!J79/(原始数据!J$2/100)</f>
        <v>530.17928366700187</v>
      </c>
    </row>
    <row r="80" spans="1:3" ht="18" customHeight="1" x14ac:dyDescent="0.3">
      <c r="A80" s="41">
        <f>表1[[#This Row],[订单日期]]</f>
        <v>45902</v>
      </c>
      <c r="B80" s="42">
        <f>原始数据!G80/(原始数据!G$2/100)</f>
        <v>1000</v>
      </c>
      <c r="C80" s="42">
        <f>原始数据!J80/(原始数据!J$2/100)</f>
        <v>182.95972423314288</v>
      </c>
    </row>
    <row r="81" spans="1:3" ht="18" customHeight="1" x14ac:dyDescent="0.3">
      <c r="A81" s="41">
        <f>表1[[#This Row],[订单日期]]</f>
        <v>45902</v>
      </c>
      <c r="B81" s="42">
        <f>原始数据!G81/(原始数据!G$2/100)</f>
        <v>1000</v>
      </c>
      <c r="C81" s="42">
        <f>原始数据!J81/(原始数据!J$2/100)</f>
        <v>232.49258567120867</v>
      </c>
    </row>
    <row r="82" spans="1:3" ht="18" customHeight="1" x14ac:dyDescent="0.3">
      <c r="A82" s="41">
        <f>表1[[#This Row],[订单日期]]</f>
        <v>45902</v>
      </c>
      <c r="B82" s="42">
        <f>原始数据!G82/(原始数据!G$2/100)</f>
        <v>1000</v>
      </c>
      <c r="C82" s="42">
        <f>原始数据!J82/(原始数据!J$2/100)</f>
        <v>16.96369194181726</v>
      </c>
    </row>
    <row r="83" spans="1:3" ht="18" customHeight="1" x14ac:dyDescent="0.3">
      <c r="A83" s="41">
        <f>表1[[#This Row],[订单日期]]</f>
        <v>45902</v>
      </c>
      <c r="B83" s="42">
        <f>原始数据!G83/(原始数据!G$2/100)</f>
        <v>1000</v>
      </c>
      <c r="C83" s="42">
        <f>原始数据!J83/(原始数据!J$2/100)</f>
        <v>77.624012720557388</v>
      </c>
    </row>
    <row r="84" spans="1:3" ht="18" customHeight="1" x14ac:dyDescent="0.3">
      <c r="A84" s="41">
        <f>表1[[#This Row],[订单日期]]</f>
        <v>45902</v>
      </c>
      <c r="B84" s="42">
        <f>原始数据!G84/(原始数据!G$2/100)</f>
        <v>1000</v>
      </c>
      <c r="C84" s="42">
        <f>原始数据!J84/(原始数据!J$2/100)</f>
        <v>379.87224050930149</v>
      </c>
    </row>
    <row r="85" spans="1:3" ht="18" customHeight="1" x14ac:dyDescent="0.3">
      <c r="A85" s="41">
        <f>表1[[#This Row],[订单日期]]</f>
        <v>45902</v>
      </c>
      <c r="B85" s="42">
        <f>原始数据!G85/(原始数据!G$2/100)</f>
        <v>1000</v>
      </c>
      <c r="C85" s="42">
        <f>原始数据!J85/(原始数据!J$2/100)</f>
        <v>374.66408729321853</v>
      </c>
    </row>
    <row r="86" spans="1:3" ht="18" customHeight="1" x14ac:dyDescent="0.3">
      <c r="A86" s="41">
        <f>表1[[#This Row],[订单日期]]</f>
        <v>45902</v>
      </c>
      <c r="B86" s="42">
        <f>原始数据!G86/(原始数据!G$2/100)</f>
        <v>1000</v>
      </c>
      <c r="C86" s="42">
        <f>原始数据!J86/(原始数据!J$2/100)</f>
        <v>521.04643619631679</v>
      </c>
    </row>
    <row r="87" spans="1:3" ht="18" customHeight="1" x14ac:dyDescent="0.3">
      <c r="A87" s="41">
        <f>表1[[#This Row],[订单日期]]</f>
        <v>45902</v>
      </c>
      <c r="B87" s="42">
        <f>原始数据!G87/(原始数据!G$2/100)</f>
        <v>1000</v>
      </c>
      <c r="C87" s="42">
        <f>原始数据!J87/(原始数据!J$2/100)</f>
        <v>322.18559033534751</v>
      </c>
    </row>
    <row r="88" spans="1:3" ht="18" customHeight="1" x14ac:dyDescent="0.3">
      <c r="A88" s="41">
        <f>表1[[#This Row],[订单日期]]</f>
        <v>45902</v>
      </c>
      <c r="B88" s="42">
        <f>原始数据!G88/(原始数据!G$2/100)</f>
        <v>1000</v>
      </c>
      <c r="C88" s="42">
        <f>原始数据!J88/(原始数据!J$2/100)</f>
        <v>352.94498026444694</v>
      </c>
    </row>
    <row r="89" spans="1:3" ht="18" customHeight="1" x14ac:dyDescent="0.3">
      <c r="A89" s="41">
        <f>表1[[#This Row],[订单日期]]</f>
        <v>45902</v>
      </c>
      <c r="B89" s="42">
        <f>原始数据!G89/(原始数据!G$2/100)</f>
        <v>1000</v>
      </c>
      <c r="C89" s="42">
        <f>原始数据!J89/(原始数据!J$2/100)</f>
        <v>265.40368152603088</v>
      </c>
    </row>
    <row r="90" spans="1:3" ht="18" customHeight="1" x14ac:dyDescent="0.3">
      <c r="A90" s="41">
        <f>表1[[#This Row],[订单日期]]</f>
        <v>45902</v>
      </c>
      <c r="B90" s="42">
        <f>原始数据!G90/(原始数据!G$2/100)</f>
        <v>1000</v>
      </c>
      <c r="C90" s="42">
        <f>原始数据!J90/(原始数据!J$2/100)</f>
        <v>467.52435101827251</v>
      </c>
    </row>
    <row r="91" spans="1:3" ht="18" customHeight="1" x14ac:dyDescent="0.3">
      <c r="A91" s="41">
        <f>表1[[#This Row],[订单日期]]</f>
        <v>45902</v>
      </c>
      <c r="B91" s="42">
        <f>原始数据!G91/(原始数据!G$2/100)</f>
        <v>1000</v>
      </c>
      <c r="C91" s="42">
        <f>原始数据!J91/(原始数据!J$2/100)</f>
        <v>110.97835565759945</v>
      </c>
    </row>
    <row r="92" spans="1:3" ht="18" customHeight="1" x14ac:dyDescent="0.3">
      <c r="A92" s="41">
        <f>表1[[#This Row],[订单日期]]</f>
        <v>45902</v>
      </c>
      <c r="B92" s="42">
        <f>原始数据!G92/(原始数据!G$2/100)</f>
        <v>1000</v>
      </c>
      <c r="C92" s="42">
        <f>原始数据!J92/(原始数据!J$2/100)</f>
        <v>541.10336666676392</v>
      </c>
    </row>
    <row r="93" spans="1:3" ht="18" customHeight="1" x14ac:dyDescent="0.3">
      <c r="A93" s="41">
        <f>表1[[#This Row],[订单日期]]</f>
        <v>45902</v>
      </c>
      <c r="B93" s="42">
        <f>原始数据!G93/(原始数据!G$2/100)</f>
        <v>1000</v>
      </c>
      <c r="C93" s="42">
        <f>原始数据!J93/(原始数据!J$2/100)</f>
        <v>339.86919133896203</v>
      </c>
    </row>
    <row r="94" spans="1:3" ht="18" customHeight="1" x14ac:dyDescent="0.3">
      <c r="A94" s="41">
        <f>表1[[#This Row],[订单日期]]</f>
        <v>45902</v>
      </c>
      <c r="B94" s="42">
        <f>原始数据!G94/(原始数据!G$2/100)</f>
        <v>1000</v>
      </c>
      <c r="C94" s="42">
        <f>原始数据!J94/(原始数据!J$2/100)</f>
        <v>515.39503589801393</v>
      </c>
    </row>
    <row r="95" spans="1:3" ht="18" customHeight="1" x14ac:dyDescent="0.3">
      <c r="A95" s="41">
        <f>表1[[#This Row],[订单日期]]</f>
        <v>45902</v>
      </c>
      <c r="B95" s="42">
        <f>原始数据!G95/(原始数据!G$2/100)</f>
        <v>1000</v>
      </c>
      <c r="C95" s="42">
        <f>原始数据!J95/(原始数据!J$2/100)</f>
        <v>313.65308400261586</v>
      </c>
    </row>
    <row r="96" spans="1:3" ht="18" customHeight="1" x14ac:dyDescent="0.3">
      <c r="A96" s="41">
        <f>表1[[#This Row],[订单日期]]</f>
        <v>45902</v>
      </c>
      <c r="B96" s="42">
        <f>原始数据!G96/(原始数据!G$2/100)</f>
        <v>1000</v>
      </c>
      <c r="C96" s="42">
        <f>原始数据!J96/(原始数据!J$2/100)</f>
        <v>443.81063211951169</v>
      </c>
    </row>
    <row r="97" spans="1:3" ht="18" customHeight="1" x14ac:dyDescent="0.3">
      <c r="A97" s="41">
        <f>表1[[#This Row],[订单日期]]</f>
        <v>45902</v>
      </c>
      <c r="B97" s="42">
        <f>原始数据!G97/(原始数据!G$2/100)</f>
        <v>1000</v>
      </c>
      <c r="C97" s="42">
        <f>原始数据!J97/(原始数据!J$2/100)</f>
        <v>348.95575652446848</v>
      </c>
    </row>
    <row r="98" spans="1:3" ht="18" customHeight="1" x14ac:dyDescent="0.3">
      <c r="A98" s="41">
        <f>表1[[#This Row],[订单日期]]</f>
        <v>45902</v>
      </c>
      <c r="B98" s="42">
        <f>原始数据!G98/(原始数据!G$2/100)</f>
        <v>1000</v>
      </c>
      <c r="C98" s="42">
        <f>原始数据!J98/(原始数据!J$2/100)</f>
        <v>28.709739620642704</v>
      </c>
    </row>
    <row r="99" spans="1:3" ht="18" customHeight="1" x14ac:dyDescent="0.3">
      <c r="A99" s="41">
        <f>表1[[#This Row],[订单日期]]</f>
        <v>45902</v>
      </c>
      <c r="B99" s="42">
        <f>原始数据!G99/(原始数据!G$2/100)</f>
        <v>1000</v>
      </c>
      <c r="C99" s="42">
        <f>原始数据!J99/(原始数据!J$2/100)</f>
        <v>95.02146069768564</v>
      </c>
    </row>
    <row r="100" spans="1:3" ht="18" customHeight="1" x14ac:dyDescent="0.3">
      <c r="A100" s="41">
        <f>表1[[#This Row],[订单日期]]</f>
        <v>45903</v>
      </c>
      <c r="B100" s="42">
        <f>原始数据!G100/(原始数据!G$2/100)</f>
        <v>50</v>
      </c>
      <c r="C100" s="42">
        <f>原始数据!J100/(原始数据!J$2/100)</f>
        <v>527.77308316194922</v>
      </c>
    </row>
    <row r="101" spans="1:3" ht="18" customHeight="1" x14ac:dyDescent="0.3">
      <c r="A101" s="41">
        <f>表1[[#This Row],[订单日期]]</f>
        <v>45903</v>
      </c>
      <c r="B101" s="42">
        <f>原始数据!G101/(原始数据!G$2/100)</f>
        <v>50</v>
      </c>
      <c r="C101" s="42">
        <f>原始数据!J101/(原始数据!J$2/100)</f>
        <v>481.01051598775734</v>
      </c>
    </row>
    <row r="102" spans="1:3" ht="18" customHeight="1" x14ac:dyDescent="0.3">
      <c r="A102" s="41">
        <f>表1[[#This Row],[订单日期]]</f>
        <v>45903</v>
      </c>
      <c r="B102" s="42">
        <f>原始数据!G102/(原始数据!G$2/100)</f>
        <v>50</v>
      </c>
      <c r="C102" s="42">
        <f>原始数据!J102/(原始数据!J$2/100)</f>
        <v>211.9595370803217</v>
      </c>
    </row>
    <row r="103" spans="1:3" ht="18" customHeight="1" x14ac:dyDescent="0.3">
      <c r="A103" s="41">
        <f>表1[[#This Row],[订单日期]]</f>
        <v>45903</v>
      </c>
      <c r="B103" s="42">
        <f>原始数据!G103/(原始数据!G$2/100)</f>
        <v>50</v>
      </c>
      <c r="C103" s="42">
        <f>原始数据!J103/(原始数据!J$2/100)</f>
        <v>281.88176430049958</v>
      </c>
    </row>
    <row r="104" spans="1:3" ht="18" customHeight="1" x14ac:dyDescent="0.3">
      <c r="A104" s="41">
        <f>表1[[#This Row],[订单日期]]</f>
        <v>45903</v>
      </c>
      <c r="B104" s="42">
        <f>原始数据!G104/(原始数据!G$2/100)</f>
        <v>50</v>
      </c>
      <c r="C104" s="42">
        <f>原始数据!J104/(原始数据!J$2/100)</f>
        <v>12.94159716361886</v>
      </c>
    </row>
    <row r="105" spans="1:3" ht="18" customHeight="1" x14ac:dyDescent="0.3">
      <c r="A105" s="41">
        <f>表1[[#This Row],[订单日期]]</f>
        <v>45903</v>
      </c>
      <c r="B105" s="42">
        <f>原始数据!G105/(原始数据!G$2/100)</f>
        <v>50</v>
      </c>
      <c r="C105" s="42">
        <f>原始数据!J105/(原始数据!J$2/100)</f>
        <v>517.35677672978318</v>
      </c>
    </row>
    <row r="106" spans="1:3" ht="18" customHeight="1" x14ac:dyDescent="0.3">
      <c r="A106" s="41">
        <f>表1[[#This Row],[订单日期]]</f>
        <v>45903</v>
      </c>
      <c r="B106" s="42">
        <f>原始数据!G106/(原始数据!G$2/100)</f>
        <v>50</v>
      </c>
      <c r="C106" s="42">
        <f>原始数据!J106/(原始数据!J$2/100)</f>
        <v>22.582221201900122</v>
      </c>
    </row>
    <row r="107" spans="1:3" ht="18" customHeight="1" x14ac:dyDescent="0.3">
      <c r="A107" s="41">
        <f>表1[[#This Row],[订单日期]]</f>
        <v>45903</v>
      </c>
      <c r="B107" s="42">
        <f>原始数据!G107/(原始数据!G$2/100)</f>
        <v>50</v>
      </c>
      <c r="C107" s="42">
        <f>原始数据!J107/(原始数据!J$2/100)</f>
        <v>305.92791851092522</v>
      </c>
    </row>
    <row r="108" spans="1:3" ht="18" customHeight="1" x14ac:dyDescent="0.3">
      <c r="A108" s="41">
        <f>表1[[#This Row],[订单日期]]</f>
        <v>45903</v>
      </c>
      <c r="B108" s="42">
        <f>原始数据!G108/(原始数据!G$2/100)</f>
        <v>50</v>
      </c>
      <c r="C108" s="42">
        <f>原始数据!J108/(原始数据!J$2/100)</f>
        <v>364.32572159338758</v>
      </c>
    </row>
    <row r="109" spans="1:3" ht="18" customHeight="1" x14ac:dyDescent="0.3">
      <c r="A109" s="41">
        <f>表1[[#This Row],[订单日期]]</f>
        <v>45903</v>
      </c>
      <c r="B109" s="42">
        <f>原始数据!G109/(原始数据!G$2/100)</f>
        <v>150</v>
      </c>
      <c r="C109" s="42">
        <f>原始数据!J109/(原始数据!J$2/100)</f>
        <v>267.77279837735938</v>
      </c>
    </row>
    <row r="110" spans="1:3" ht="18" customHeight="1" x14ac:dyDescent="0.3">
      <c r="A110" s="41">
        <f>表1[[#This Row],[订单日期]]</f>
        <v>45903</v>
      </c>
      <c r="B110" s="42">
        <f>原始数据!G110/(原始数据!G$2/100)</f>
        <v>150</v>
      </c>
      <c r="C110" s="42">
        <f>原始数据!J110/(原始数据!J$2/100)</f>
        <v>19.332808793145762</v>
      </c>
    </row>
    <row r="111" spans="1:3" ht="18" customHeight="1" x14ac:dyDescent="0.3">
      <c r="A111" s="41">
        <f>表1[[#This Row],[订单日期]]</f>
        <v>45903</v>
      </c>
      <c r="B111" s="42">
        <f>原始数据!G111/(原始数据!G$2/100)</f>
        <v>150</v>
      </c>
      <c r="C111" s="42">
        <f>原始数据!J111/(原始数据!J$2/100)</f>
        <v>517.43171743767755</v>
      </c>
    </row>
    <row r="112" spans="1:3" ht="18" customHeight="1" x14ac:dyDescent="0.3">
      <c r="A112" s="41">
        <f>表1[[#This Row],[订单日期]]</f>
        <v>45903</v>
      </c>
      <c r="B112" s="42">
        <f>原始数据!G112/(原始数据!G$2/100)</f>
        <v>150</v>
      </c>
      <c r="C112" s="42">
        <f>原始数据!J112/(原始数据!J$2/100)</f>
        <v>149.9798862774401</v>
      </c>
    </row>
    <row r="113" spans="1:3" ht="18" customHeight="1" x14ac:dyDescent="0.3">
      <c r="A113" s="41">
        <f>表1[[#This Row],[订单日期]]</f>
        <v>45903</v>
      </c>
      <c r="B113" s="42">
        <f>原始数据!G113/(原始数据!G$2/100)</f>
        <v>150</v>
      </c>
      <c r="C113" s="42">
        <f>原始数据!J113/(原始数据!J$2/100)</f>
        <v>271.8728338878928</v>
      </c>
    </row>
    <row r="114" spans="1:3" ht="18" customHeight="1" x14ac:dyDescent="0.3">
      <c r="A114" s="41">
        <f>表1[[#This Row],[订单日期]]</f>
        <v>45903</v>
      </c>
      <c r="B114" s="42">
        <f>原始数据!G114/(原始数据!G$2/100)</f>
        <v>150</v>
      </c>
      <c r="C114" s="42">
        <f>原始数据!J114/(原始数据!J$2/100)</f>
        <v>265.77818650737015</v>
      </c>
    </row>
    <row r="115" spans="1:3" ht="18" customHeight="1" x14ac:dyDescent="0.3">
      <c r="A115" s="41">
        <f>表1[[#This Row],[订单日期]]</f>
        <v>45903</v>
      </c>
      <c r="B115" s="42">
        <f>原始数据!G115/(原始数据!G$2/100)</f>
        <v>150</v>
      </c>
      <c r="C115" s="42">
        <f>原始数据!J115/(原始数据!J$2/100)</f>
        <v>477.65029180844795</v>
      </c>
    </row>
    <row r="116" spans="1:3" ht="18" customHeight="1" x14ac:dyDescent="0.3">
      <c r="A116" s="41">
        <f>表1[[#This Row],[订单日期]]</f>
        <v>45903</v>
      </c>
      <c r="B116" s="42">
        <f>原始数据!G116/(原始数据!G$2/100)</f>
        <v>150</v>
      </c>
      <c r="C116" s="42">
        <f>原始数据!J116/(原始数据!J$2/100)</f>
        <v>197.6289476160716</v>
      </c>
    </row>
    <row r="117" spans="1:3" ht="18" customHeight="1" x14ac:dyDescent="0.3">
      <c r="A117" s="41">
        <f>表1[[#This Row],[订单日期]]</f>
        <v>45903</v>
      </c>
      <c r="B117" s="42">
        <f>原始数据!G117/(原始数据!G$2/100)</f>
        <v>150</v>
      </c>
      <c r="C117" s="42">
        <f>原始数据!J117/(原始数据!J$2/100)</f>
        <v>74.627882300069317</v>
      </c>
    </row>
    <row r="118" spans="1:3" ht="18" customHeight="1" x14ac:dyDescent="0.3">
      <c r="A118" s="41">
        <f>表1[[#This Row],[订单日期]]</f>
        <v>45903</v>
      </c>
      <c r="B118" s="42">
        <f>原始数据!G118/(原始数据!G$2/100)</f>
        <v>200</v>
      </c>
      <c r="C118" s="42">
        <f>原始数据!J118/(原始数据!J$2/100)</f>
        <v>291.05720115766036</v>
      </c>
    </row>
    <row r="119" spans="1:3" ht="18" customHeight="1" x14ac:dyDescent="0.3">
      <c r="A119" s="41">
        <f>表1[[#This Row],[订单日期]]</f>
        <v>45903</v>
      </c>
      <c r="B119" s="42">
        <f>原始数据!G119/(原始数据!G$2/100)</f>
        <v>200</v>
      </c>
      <c r="C119" s="42">
        <f>原始数据!J119/(原始数据!J$2/100)</f>
        <v>493.28868242045695</v>
      </c>
    </row>
    <row r="120" spans="1:3" ht="18" customHeight="1" x14ac:dyDescent="0.3">
      <c r="A120" s="41">
        <f>表1[[#This Row],[订单日期]]</f>
        <v>45903</v>
      </c>
      <c r="B120" s="42">
        <f>原始数据!G120/(原始数据!G$2/100)</f>
        <v>200</v>
      </c>
      <c r="C120" s="42">
        <f>原始数据!J120/(原始数据!J$2/100)</f>
        <v>133.26123988740159</v>
      </c>
    </row>
    <row r="121" spans="1:3" ht="18" customHeight="1" x14ac:dyDescent="0.3">
      <c r="A121" s="41">
        <f>表1[[#This Row],[订单日期]]</f>
        <v>45903</v>
      </c>
      <c r="B121" s="42">
        <f>原始数据!G121/(原始数据!G$2/100)</f>
        <v>200</v>
      </c>
      <c r="C121" s="42">
        <f>原始数据!J121/(原始数据!J$2/100)</f>
        <v>496.94547084877053</v>
      </c>
    </row>
    <row r="122" spans="1:3" ht="18" customHeight="1" x14ac:dyDescent="0.3">
      <c r="A122" s="41">
        <f>表1[[#This Row],[订单日期]]</f>
        <v>45903</v>
      </c>
      <c r="B122" s="42">
        <f>原始数据!G122/(原始数据!G$2/100)</f>
        <v>200</v>
      </c>
      <c r="C122" s="42">
        <f>原始数据!J122/(原始数据!J$2/100)</f>
        <v>199.5266786792659</v>
      </c>
    </row>
    <row r="123" spans="1:3" ht="18" customHeight="1" x14ac:dyDescent="0.3">
      <c r="A123" s="41">
        <f>表1[[#This Row],[订单日期]]</f>
        <v>45903</v>
      </c>
      <c r="B123" s="42">
        <f>原始数据!G123/(原始数据!G$2/100)</f>
        <v>200</v>
      </c>
      <c r="C123" s="42">
        <f>原始数据!J123/(原始数据!J$2/100)</f>
        <v>221.24578570803746</v>
      </c>
    </row>
    <row r="124" spans="1:3" ht="18" customHeight="1" x14ac:dyDescent="0.3">
      <c r="A124" s="41">
        <f>表1[[#This Row],[订单日期]]</f>
        <v>45903</v>
      </c>
      <c r="B124" s="42">
        <f>原始数据!G124/(原始数据!G$2/100)</f>
        <v>200</v>
      </c>
      <c r="C124" s="42">
        <f>原始数据!J124/(原始数据!J$2/100)</f>
        <v>290.72476584599548</v>
      </c>
    </row>
    <row r="125" spans="1:3" ht="18" customHeight="1" x14ac:dyDescent="0.3">
      <c r="A125" s="41">
        <f>表1[[#This Row],[订单日期]]</f>
        <v>45903</v>
      </c>
      <c r="B125" s="42">
        <f>原始数据!G125/(原始数据!G$2/100)</f>
        <v>200</v>
      </c>
      <c r="C125" s="42">
        <f>原始数据!J125/(原始数据!J$2/100)</f>
        <v>253.60282271008489</v>
      </c>
    </row>
    <row r="126" spans="1:3" ht="18" customHeight="1" x14ac:dyDescent="0.3">
      <c r="A126" s="41">
        <f>表1[[#This Row],[订单日期]]</f>
        <v>45903</v>
      </c>
      <c r="B126" s="42">
        <f>原始数据!G126/(原始数据!G$2/100)</f>
        <v>200</v>
      </c>
      <c r="C126" s="42">
        <f>原始数据!J126/(原始数据!J$2/100)</f>
        <v>46.606435313425209</v>
      </c>
    </row>
    <row r="127" spans="1:3" ht="18" customHeight="1" x14ac:dyDescent="0.3">
      <c r="A127" s="41">
        <f>表1[[#This Row],[订单日期]]</f>
        <v>45903</v>
      </c>
      <c r="B127" s="42">
        <f>原始数据!G127/(原始数据!G$2/100)</f>
        <v>450</v>
      </c>
      <c r="C127" s="42">
        <f>原始数据!J127/(原始数据!J$2/100)</f>
        <v>543.87011632918825</v>
      </c>
    </row>
    <row r="128" spans="1:3" ht="18" customHeight="1" x14ac:dyDescent="0.3">
      <c r="A128" s="41">
        <f>表1[[#This Row],[订单日期]]</f>
        <v>45903</v>
      </c>
      <c r="B128" s="42">
        <f>原始数据!G128/(原始数据!G$2/100)</f>
        <v>450</v>
      </c>
      <c r="C128" s="42">
        <f>原始数据!J128/(原始数据!J$2/100)</f>
        <v>239.13774730305636</v>
      </c>
    </row>
    <row r="129" spans="1:3" ht="18" customHeight="1" x14ac:dyDescent="0.3">
      <c r="A129" s="41">
        <f>表1[[#This Row],[订单日期]]</f>
        <v>45903</v>
      </c>
      <c r="B129" s="42">
        <f>原始数据!G129/(原始数据!G$2/100)</f>
        <v>450</v>
      </c>
      <c r="C129" s="42">
        <f>原始数据!J129/(原始数据!J$2/100)</f>
        <v>346.73597651191966</v>
      </c>
    </row>
    <row r="130" spans="1:3" ht="18" customHeight="1" x14ac:dyDescent="0.3">
      <c r="A130" s="41">
        <f>表1[[#This Row],[订单日期]]</f>
        <v>45903</v>
      </c>
      <c r="B130" s="42">
        <f>原始数据!G130/(原始数据!G$2/100)</f>
        <v>450</v>
      </c>
      <c r="C130" s="42">
        <f>原始数据!J130/(原始数据!J$2/100)</f>
        <v>140.29364796803469</v>
      </c>
    </row>
    <row r="131" spans="1:3" ht="18" customHeight="1" x14ac:dyDescent="0.3">
      <c r="A131" s="41">
        <f>表1[[#This Row],[订单日期]]</f>
        <v>45903</v>
      </c>
      <c r="B131" s="42">
        <f>原始数据!G131/(原始数据!G$2/100)</f>
        <v>450</v>
      </c>
      <c r="C131" s="42">
        <f>原始数据!J131/(原始数据!J$2/100)</f>
        <v>333.43856404532477</v>
      </c>
    </row>
    <row r="132" spans="1:3" ht="18" customHeight="1" x14ac:dyDescent="0.3">
      <c r="A132" s="41">
        <f>表1[[#This Row],[订单日期]]</f>
        <v>45903</v>
      </c>
      <c r="B132" s="42">
        <f>原始数据!G132/(原始数据!G$2/100)</f>
        <v>450</v>
      </c>
      <c r="C132" s="42">
        <f>原始数据!J132/(原始数据!J$2/100)</f>
        <v>416.32576842043267</v>
      </c>
    </row>
    <row r="133" spans="1:3" ht="18" customHeight="1" x14ac:dyDescent="0.3">
      <c r="A133" s="41">
        <f>表1[[#This Row],[订单日期]]</f>
        <v>45903</v>
      </c>
      <c r="B133" s="42">
        <f>原始数据!G133/(原始数据!G$2/100)</f>
        <v>450</v>
      </c>
      <c r="C133" s="42">
        <f>原始数据!J133/(原始数据!J$2/100)</f>
        <v>448.79361719303506</v>
      </c>
    </row>
    <row r="134" spans="1:3" ht="18" customHeight="1" x14ac:dyDescent="0.3">
      <c r="A134" s="41">
        <f>表1[[#This Row],[订单日期]]</f>
        <v>45903</v>
      </c>
      <c r="B134" s="42">
        <f>原始数据!G134/(原始数据!G$2/100)</f>
        <v>450</v>
      </c>
      <c r="C134" s="42">
        <f>原始数据!J134/(原始数据!J$2/100)</f>
        <v>280.35972594950039</v>
      </c>
    </row>
    <row r="135" spans="1:3" ht="18" customHeight="1" x14ac:dyDescent="0.3">
      <c r="A135" s="41">
        <f>表1[[#This Row],[订单日期]]</f>
        <v>45903</v>
      </c>
      <c r="B135" s="42">
        <f>原始数据!G135/(原始数据!G$2/100)</f>
        <v>450</v>
      </c>
      <c r="C135" s="42">
        <f>原始数据!J135/(原始数据!J$2/100)</f>
        <v>15.852029634817969</v>
      </c>
    </row>
    <row r="136" spans="1:3" ht="18" customHeight="1" x14ac:dyDescent="0.3">
      <c r="A136" s="41">
        <f>表1[[#This Row],[订单日期]]</f>
        <v>45903</v>
      </c>
      <c r="B136" s="42">
        <f>原始数据!G136/(原始数据!G$2/100)</f>
        <v>850</v>
      </c>
      <c r="C136" s="42">
        <f>原始数据!J136/(原始数据!J$2/100)</f>
        <v>71.453207172288558</v>
      </c>
    </row>
    <row r="137" spans="1:3" ht="18" customHeight="1" x14ac:dyDescent="0.3">
      <c r="A137" s="41">
        <f>表1[[#This Row],[订单日期]]</f>
        <v>45903</v>
      </c>
      <c r="B137" s="42">
        <f>原始数据!G137/(原始数据!G$2/100)</f>
        <v>850</v>
      </c>
      <c r="C137" s="42">
        <f>原始数据!J137/(原始数据!J$2/100)</f>
        <v>392.80734178166392</v>
      </c>
    </row>
    <row r="138" spans="1:3" ht="18" customHeight="1" x14ac:dyDescent="0.3">
      <c r="A138" s="41">
        <f>表1[[#This Row],[订单日期]]</f>
        <v>45903</v>
      </c>
      <c r="B138" s="42">
        <f>原始数据!G138/(原始数据!G$2/100)</f>
        <v>850</v>
      </c>
      <c r="C138" s="42">
        <f>原始数据!J138/(原始数据!J$2/100)</f>
        <v>425.0535670131564</v>
      </c>
    </row>
    <row r="139" spans="1:3" ht="18" customHeight="1" x14ac:dyDescent="0.3">
      <c r="A139" s="41">
        <f>表1[[#This Row],[订单日期]]</f>
        <v>45903</v>
      </c>
      <c r="B139" s="42">
        <f>原始数据!G139/(原始数据!G$2/100)</f>
        <v>850</v>
      </c>
      <c r="C139" s="42">
        <f>原始数据!J139/(原始数据!J$2/100)</f>
        <v>242.87901622080707</v>
      </c>
    </row>
    <row r="140" spans="1:3" ht="18" customHeight="1" x14ac:dyDescent="0.3">
      <c r="A140" s="41">
        <f>表1[[#This Row],[订单日期]]</f>
        <v>45903</v>
      </c>
      <c r="B140" s="42">
        <f>原始数据!G140/(原始数据!G$2/100)</f>
        <v>850</v>
      </c>
      <c r="C140" s="42">
        <f>原始数据!J140/(原始数据!J$2/100)</f>
        <v>171.84867129507961</v>
      </c>
    </row>
    <row r="141" spans="1:3" ht="18" customHeight="1" x14ac:dyDescent="0.3">
      <c r="A141" s="41">
        <f>表1[[#This Row],[订单日期]]</f>
        <v>45903</v>
      </c>
      <c r="B141" s="42">
        <f>原始数据!G141/(原始数据!G$2/100)</f>
        <v>850</v>
      </c>
      <c r="C141" s="42">
        <f>原始数据!J141/(原始数据!J$2/100)</f>
        <v>238.44654539860881</v>
      </c>
    </row>
    <row r="142" spans="1:3" ht="18" customHeight="1" x14ac:dyDescent="0.3">
      <c r="A142" s="41">
        <f>表1[[#This Row],[订单日期]]</f>
        <v>45903</v>
      </c>
      <c r="B142" s="42">
        <f>原始数据!G142/(原始数据!G$2/100)</f>
        <v>850</v>
      </c>
      <c r="C142" s="42">
        <f>原始数据!J142/(原始数据!J$2/100)</f>
        <v>278.00634748672843</v>
      </c>
    </row>
    <row r="143" spans="1:3" ht="18" customHeight="1" x14ac:dyDescent="0.3">
      <c r="A143" s="41">
        <f>表1[[#This Row],[订单日期]]</f>
        <v>45903</v>
      </c>
      <c r="B143" s="42">
        <f>原始数据!G143/(原始数据!G$2/100)</f>
        <v>850</v>
      </c>
      <c r="C143" s="42">
        <f>原始数据!J143/(原始数据!J$2/100)</f>
        <v>486.99734675337737</v>
      </c>
    </row>
    <row r="144" spans="1:3" ht="18" customHeight="1" x14ac:dyDescent="0.3">
      <c r="A144" s="41">
        <f>表1[[#This Row],[订单日期]]</f>
        <v>45903</v>
      </c>
      <c r="B144" s="42">
        <f>原始数据!G144/(原始数据!G$2/100)</f>
        <v>850</v>
      </c>
      <c r="C144" s="42">
        <f>原始数据!J144/(原始数据!J$2/100)</f>
        <v>548.27625587026864</v>
      </c>
    </row>
    <row r="145" spans="1:3" ht="18" customHeight="1" x14ac:dyDescent="0.3">
      <c r="A145" s="41">
        <f>表1[[#This Row],[订单日期]]</f>
        <v>45904</v>
      </c>
      <c r="B145" s="42">
        <f>原始数据!G145/(原始数据!G$2/100)</f>
        <v>400</v>
      </c>
      <c r="C145" s="42">
        <f>原始数据!J145/(原始数据!J$2/100)</f>
        <v>43.867366255791325</v>
      </c>
    </row>
    <row r="146" spans="1:3" ht="18" customHeight="1" x14ac:dyDescent="0.3">
      <c r="A146" s="41">
        <f>表1[[#This Row],[订单日期]]</f>
        <v>45904</v>
      </c>
      <c r="B146" s="42">
        <f>原始数据!G146/(原始数据!G$2/100)</f>
        <v>400</v>
      </c>
      <c r="C146" s="42">
        <f>原始数据!J146/(原始数据!J$2/100)</f>
        <v>284.88296721282285</v>
      </c>
    </row>
    <row r="147" spans="1:3" ht="18" customHeight="1" x14ac:dyDescent="0.3">
      <c r="A147" s="41">
        <f>表1[[#This Row],[订单日期]]</f>
        <v>45904</v>
      </c>
      <c r="B147" s="42">
        <f>原始数据!G147/(原始数据!G$2/100)</f>
        <v>400</v>
      </c>
      <c r="C147" s="42">
        <f>原始数据!J147/(原始数据!J$2/100)</f>
        <v>165.87112563679901</v>
      </c>
    </row>
    <row r="148" spans="1:3" ht="18" customHeight="1" x14ac:dyDescent="0.3">
      <c r="A148" s="41">
        <f>表1[[#This Row],[订单日期]]</f>
        <v>45904</v>
      </c>
      <c r="B148" s="42">
        <f>原始数据!G148/(原始数据!G$2/100)</f>
        <v>400</v>
      </c>
      <c r="C148" s="42">
        <f>原始数据!J148/(原始数据!J$2/100)</f>
        <v>443.5654226475213</v>
      </c>
    </row>
    <row r="149" spans="1:3" ht="18" customHeight="1" x14ac:dyDescent="0.3">
      <c r="A149" s="41">
        <f>表1[[#This Row],[订单日期]]</f>
        <v>45904</v>
      </c>
      <c r="B149" s="42">
        <f>原始数据!G149/(原始数据!G$2/100)</f>
        <v>400</v>
      </c>
      <c r="C149" s="42">
        <f>原始数据!J149/(原始数据!J$2/100)</f>
        <v>361.6755242074081</v>
      </c>
    </row>
    <row r="150" spans="1:3" ht="18" customHeight="1" x14ac:dyDescent="0.3">
      <c r="A150" s="41">
        <f>表1[[#This Row],[订单日期]]</f>
        <v>45904</v>
      </c>
      <c r="B150" s="42">
        <f>原始数据!G150/(原始数据!G$2/100)</f>
        <v>400</v>
      </c>
      <c r="C150" s="42">
        <f>原始数据!J150/(原始数据!J$2/100)</f>
        <v>435.47616339700949</v>
      </c>
    </row>
    <row r="151" spans="1:3" ht="18" customHeight="1" x14ac:dyDescent="0.3">
      <c r="A151" s="41">
        <f>表1[[#This Row],[订单日期]]</f>
        <v>45904</v>
      </c>
      <c r="B151" s="42">
        <f>原始数据!G151/(原始数据!G$2/100)</f>
        <v>400</v>
      </c>
      <c r="C151" s="42">
        <f>原始数据!J151/(原始数据!J$2/100)</f>
        <v>133.62490040530651</v>
      </c>
    </row>
    <row r="152" spans="1:3" ht="18" customHeight="1" x14ac:dyDescent="0.3">
      <c r="A152" s="41">
        <f>表1[[#This Row],[订单日期]]</f>
        <v>45904</v>
      </c>
      <c r="B152" s="42">
        <f>原始数据!G152/(原始数据!G$2/100)</f>
        <v>400</v>
      </c>
      <c r="C152" s="42">
        <f>原始数据!J152/(原始数据!J$2/100)</f>
        <v>191.9118917172139</v>
      </c>
    </row>
    <row r="153" spans="1:3" ht="18" customHeight="1" x14ac:dyDescent="0.3">
      <c r="A153" s="41">
        <f>表1[[#This Row],[订单日期]]</f>
        <v>45904</v>
      </c>
      <c r="B153" s="42">
        <f>原始数据!G153/(原始数据!G$2/100)</f>
        <v>400</v>
      </c>
      <c r="C153" s="42">
        <f>原始数据!J153/(原始数据!J$2/100)</f>
        <v>353.36464141578631</v>
      </c>
    </row>
    <row r="154" spans="1:3" ht="18" customHeight="1" x14ac:dyDescent="0.3">
      <c r="A154" s="41">
        <f>表1[[#This Row],[订单日期]]</f>
        <v>45904</v>
      </c>
      <c r="B154" s="42">
        <f>原始数据!G154/(原始数据!G$2/100)</f>
        <v>450</v>
      </c>
      <c r="C154" s="42">
        <f>原始数据!J154/(原始数据!J$2/100)</f>
        <v>86.288119757178023</v>
      </c>
    </row>
    <row r="155" spans="1:3" ht="18" customHeight="1" x14ac:dyDescent="0.3">
      <c r="A155" s="41">
        <f>表1[[#This Row],[订单日期]]</f>
        <v>45904</v>
      </c>
      <c r="B155" s="42">
        <f>原始数据!G155/(原始数据!G$2/100)</f>
        <v>450</v>
      </c>
      <c r="C155" s="42">
        <f>原始数据!J155/(原始数据!J$2/100)</f>
        <v>209.17837330262535</v>
      </c>
    </row>
    <row r="156" spans="1:3" ht="18" customHeight="1" x14ac:dyDescent="0.3">
      <c r="A156" s="41">
        <f>表1[[#This Row],[订单日期]]</f>
        <v>45904</v>
      </c>
      <c r="B156" s="42">
        <f>原始数据!G156/(原始数据!G$2/100)</f>
        <v>450</v>
      </c>
      <c r="C156" s="42">
        <f>原始数据!J156/(原始数据!J$2/100)</f>
        <v>204.52427893931716</v>
      </c>
    </row>
    <row r="157" spans="1:3" ht="18" customHeight="1" x14ac:dyDescent="0.3">
      <c r="A157" s="41">
        <f>表1[[#This Row],[订单日期]]</f>
        <v>45904</v>
      </c>
      <c r="B157" s="42">
        <f>原始数据!G157/(原始数据!G$2/100)</f>
        <v>450</v>
      </c>
      <c r="C157" s="42">
        <f>原始数据!J157/(原始数据!J$2/100)</f>
        <v>247.29762237353057</v>
      </c>
    </row>
    <row r="158" spans="1:3" ht="18" customHeight="1" x14ac:dyDescent="0.3">
      <c r="A158" s="41">
        <f>表1[[#This Row],[订单日期]]</f>
        <v>45904</v>
      </c>
      <c r="B158" s="42">
        <f>原始数据!G158/(原始数据!G$2/100)</f>
        <v>450</v>
      </c>
      <c r="C158" s="42">
        <f>原始数据!J158/(原始数据!J$2/100)</f>
        <v>478.45097575117086</v>
      </c>
    </row>
    <row r="159" spans="1:3" ht="18" customHeight="1" x14ac:dyDescent="0.3">
      <c r="A159" s="41">
        <f>表1[[#This Row],[订单日期]]</f>
        <v>45904</v>
      </c>
      <c r="B159" s="42">
        <f>原始数据!G159/(原始数据!G$2/100)</f>
        <v>450</v>
      </c>
      <c r="C159" s="42">
        <f>原始数据!J159/(原始数据!J$2/100)</f>
        <v>14.9253395197857</v>
      </c>
    </row>
    <row r="160" spans="1:3" ht="18" customHeight="1" x14ac:dyDescent="0.3">
      <c r="A160" s="41">
        <f>表1[[#This Row],[订单日期]]</f>
        <v>45904</v>
      </c>
      <c r="B160" s="42">
        <f>原始数据!G160/(原始数据!G$2/100)</f>
        <v>450</v>
      </c>
      <c r="C160" s="42">
        <f>原始数据!J160/(原始数据!J$2/100)</f>
        <v>517.45671898651574</v>
      </c>
    </row>
    <row r="161" spans="1:3" ht="18" customHeight="1" x14ac:dyDescent="0.3">
      <c r="A161" s="41">
        <f>表1[[#This Row],[订单日期]]</f>
        <v>45904</v>
      </c>
      <c r="B161" s="42">
        <f>原始数据!G161/(原始数据!G$2/100)</f>
        <v>450</v>
      </c>
      <c r="C161" s="42">
        <f>原始数据!J161/(原始数据!J$2/100)</f>
        <v>448.08855061911271</v>
      </c>
    </row>
    <row r="162" spans="1:3" ht="18" customHeight="1" x14ac:dyDescent="0.3">
      <c r="A162" s="41">
        <f>表1[[#This Row],[订单日期]]</f>
        <v>45904</v>
      </c>
      <c r="B162" s="42">
        <f>原始数据!G162/(原始数据!G$2/100)</f>
        <v>450</v>
      </c>
      <c r="C162" s="42">
        <f>原始数据!J162/(原始数据!J$2/100)</f>
        <v>264.58425858010389</v>
      </c>
    </row>
    <row r="163" spans="1:3" ht="18" customHeight="1" x14ac:dyDescent="0.3">
      <c r="A163" s="41">
        <f>表1[[#This Row],[订单日期]]</f>
        <v>45904</v>
      </c>
      <c r="B163" s="42">
        <f>原始数据!G163/(原始数据!G$2/100)</f>
        <v>500</v>
      </c>
      <c r="C163" s="42">
        <f>原始数据!J163/(原始数据!J$2/100)</f>
        <v>415.39542668955306</v>
      </c>
    </row>
    <row r="164" spans="1:3" ht="18" customHeight="1" x14ac:dyDescent="0.3">
      <c r="A164" s="41">
        <f>表1[[#This Row],[订单日期]]</f>
        <v>45904</v>
      </c>
      <c r="B164" s="42">
        <f>原始数据!G164/(原始数据!G$2/100)</f>
        <v>500</v>
      </c>
      <c r="C164" s="42">
        <f>原始数据!J164/(原始数据!J$2/100)</f>
        <v>396.88986100687526</v>
      </c>
    </row>
    <row r="165" spans="1:3" ht="18" customHeight="1" x14ac:dyDescent="0.3">
      <c r="A165" s="41">
        <f>表1[[#This Row],[订单日期]]</f>
        <v>45904</v>
      </c>
      <c r="B165" s="42">
        <f>原始数据!G165/(原始数据!G$2/100)</f>
        <v>500</v>
      </c>
      <c r="C165" s="42">
        <f>原始数据!J165/(原始数据!J$2/100)</f>
        <v>291.72949075022103</v>
      </c>
    </row>
    <row r="166" spans="1:3" ht="18" customHeight="1" x14ac:dyDescent="0.3">
      <c r="A166" s="41">
        <f>表1[[#This Row],[订单日期]]</f>
        <v>45904</v>
      </c>
      <c r="B166" s="42">
        <f>原始数据!G166/(原始数据!G$2/100)</f>
        <v>500</v>
      </c>
      <c r="C166" s="42">
        <f>原始数据!J166/(原始数据!J$2/100)</f>
        <v>80.079008990253143</v>
      </c>
    </row>
    <row r="167" spans="1:3" ht="18" customHeight="1" x14ac:dyDescent="0.3">
      <c r="A167" s="41">
        <f>表1[[#This Row],[订单日期]]</f>
        <v>45904</v>
      </c>
      <c r="B167" s="42">
        <f>原始数据!G167/(原始数据!G$2/100)</f>
        <v>500</v>
      </c>
      <c r="C167" s="42">
        <f>原始数据!J167/(原始数据!J$2/100)</f>
        <v>92.822362604073206</v>
      </c>
    </row>
    <row r="168" spans="1:3" ht="18" customHeight="1" x14ac:dyDescent="0.3">
      <c r="A168" s="41">
        <f>表1[[#This Row],[订单日期]]</f>
        <v>45904</v>
      </c>
      <c r="B168" s="42">
        <f>原始数据!G168/(原始数据!G$2/100)</f>
        <v>500</v>
      </c>
      <c r="C168" s="42">
        <f>原始数据!J168/(原始数据!J$2/100)</f>
        <v>169.50410782810346</v>
      </c>
    </row>
    <row r="169" spans="1:3" ht="18" customHeight="1" x14ac:dyDescent="0.3">
      <c r="A169" s="41">
        <f>表1[[#This Row],[订单日期]]</f>
        <v>45904</v>
      </c>
      <c r="B169" s="42">
        <f>原始数据!G169/(原始数据!G$2/100)</f>
        <v>500</v>
      </c>
      <c r="C169" s="42">
        <f>原始数据!J169/(原始数据!J$2/100)</f>
        <v>263.14005394704213</v>
      </c>
    </row>
    <row r="170" spans="1:3" ht="18" customHeight="1" x14ac:dyDescent="0.3">
      <c r="A170" s="41">
        <f>表1[[#This Row],[订单日期]]</f>
        <v>45904</v>
      </c>
      <c r="B170" s="42">
        <f>原始数据!G170/(原始数据!G$2/100)</f>
        <v>500</v>
      </c>
      <c r="C170" s="42">
        <f>原始数据!J170/(原始数据!J$2/100)</f>
        <v>247.84802961045804</v>
      </c>
    </row>
    <row r="171" spans="1:3" ht="18" customHeight="1" x14ac:dyDescent="0.3">
      <c r="A171" s="41">
        <f>表1[[#This Row],[订单日期]]</f>
        <v>45904</v>
      </c>
      <c r="B171" s="42">
        <f>原始数据!G171/(原始数据!G$2/100)</f>
        <v>500</v>
      </c>
      <c r="C171" s="42">
        <f>原始数据!J171/(原始数据!J$2/100)</f>
        <v>313.55940954954758</v>
      </c>
    </row>
    <row r="172" spans="1:3" ht="18" customHeight="1" x14ac:dyDescent="0.3">
      <c r="A172" s="41">
        <f>表1[[#This Row],[订单日期]]</f>
        <v>45904</v>
      </c>
      <c r="B172" s="42">
        <f>原始数据!G172/(原始数据!G$2/100)</f>
        <v>850</v>
      </c>
      <c r="C172" s="42">
        <f>原始数据!J172/(原始数据!J$2/100)</f>
        <v>383.04582610962296</v>
      </c>
    </row>
    <row r="173" spans="1:3" ht="18" customHeight="1" x14ac:dyDescent="0.3">
      <c r="A173" s="41">
        <f>表1[[#This Row],[订单日期]]</f>
        <v>45904</v>
      </c>
      <c r="B173" s="42">
        <f>原始数据!G173/(原始数据!G$2/100)</f>
        <v>850</v>
      </c>
      <c r="C173" s="42">
        <f>原始数据!J173/(原始数据!J$2/100)</f>
        <v>207.18754623890618</v>
      </c>
    </row>
    <row r="174" spans="1:3" ht="18" customHeight="1" x14ac:dyDescent="0.3">
      <c r="A174" s="41">
        <f>表1[[#This Row],[订单日期]]</f>
        <v>45904</v>
      </c>
      <c r="B174" s="42">
        <f>原始数据!G174/(原始数据!G$2/100)</f>
        <v>850</v>
      </c>
      <c r="C174" s="42">
        <f>原始数据!J174/(原始数据!J$2/100)</f>
        <v>354.67801284755399</v>
      </c>
    </row>
    <row r="175" spans="1:3" ht="18" customHeight="1" x14ac:dyDescent="0.3">
      <c r="A175" s="41">
        <f>表1[[#This Row],[订单日期]]</f>
        <v>45904</v>
      </c>
      <c r="B175" s="42">
        <f>原始数据!G175/(原始数据!G$2/100)</f>
        <v>850</v>
      </c>
      <c r="C175" s="42">
        <f>原始数据!J175/(原始数据!J$2/100)</f>
        <v>132.72203642597506</v>
      </c>
    </row>
    <row r="176" spans="1:3" ht="18" customHeight="1" x14ac:dyDescent="0.3">
      <c r="A176" s="41">
        <f>表1[[#This Row],[订单日期]]</f>
        <v>45904</v>
      </c>
      <c r="B176" s="42">
        <f>原始数据!G176/(原始数据!G$2/100)</f>
        <v>850</v>
      </c>
      <c r="C176" s="42">
        <f>原始数据!J176/(原始数据!J$2/100)</f>
        <v>145.2437664986852</v>
      </c>
    </row>
    <row r="177" spans="1:3" ht="18" customHeight="1" x14ac:dyDescent="0.3">
      <c r="A177" s="41">
        <f>表1[[#This Row],[订单日期]]</f>
        <v>45904</v>
      </c>
      <c r="B177" s="42">
        <f>原始数据!G177/(原始数据!G$2/100)</f>
        <v>850</v>
      </c>
      <c r="C177" s="42">
        <f>原始数据!J177/(原始数据!J$2/100)</f>
        <v>7.0614886166537953</v>
      </c>
    </row>
    <row r="178" spans="1:3" ht="18" customHeight="1" x14ac:dyDescent="0.3">
      <c r="A178" s="41">
        <f>表1[[#This Row],[订单日期]]</f>
        <v>45904</v>
      </c>
      <c r="B178" s="42">
        <f>原始数据!G178/(原始数据!G$2/100)</f>
        <v>850</v>
      </c>
      <c r="C178" s="42">
        <f>原始数据!J178/(原始数据!J$2/100)</f>
        <v>429.25433443104004</v>
      </c>
    </row>
    <row r="179" spans="1:3" ht="18" customHeight="1" x14ac:dyDescent="0.3">
      <c r="A179" s="41">
        <f>表1[[#This Row],[订单日期]]</f>
        <v>45904</v>
      </c>
      <c r="B179" s="42">
        <f>原始数据!G179/(原始数据!G$2/100)</f>
        <v>850</v>
      </c>
      <c r="C179" s="42">
        <f>原始数据!J179/(原始数据!J$2/100)</f>
        <v>453.41130041202069</v>
      </c>
    </row>
    <row r="180" spans="1:3" ht="18" customHeight="1" x14ac:dyDescent="0.3">
      <c r="A180" s="41">
        <f>表1[[#This Row],[订单日期]]</f>
        <v>45904</v>
      </c>
      <c r="B180" s="42">
        <f>原始数据!G180/(原始数据!G$2/100)</f>
        <v>850</v>
      </c>
      <c r="C180" s="42">
        <f>原始数据!J180/(原始数据!J$2/100)</f>
        <v>260.15557256417566</v>
      </c>
    </row>
    <row r="181" spans="1:3" ht="18" customHeight="1" x14ac:dyDescent="0.3">
      <c r="A181" s="41">
        <f>表1[[#This Row],[订单日期]]</f>
        <v>45904</v>
      </c>
      <c r="B181" s="42">
        <f>原始数据!G181/(原始数据!G$2/100)</f>
        <v>1000</v>
      </c>
      <c r="C181" s="42">
        <f>原始数据!J181/(原始数据!J$2/100)</f>
        <v>529.41195406965369</v>
      </c>
    </row>
    <row r="182" spans="1:3" ht="18" customHeight="1" x14ac:dyDescent="0.3">
      <c r="A182" s="41">
        <f>表1[[#This Row],[订单日期]]</f>
        <v>45904</v>
      </c>
      <c r="B182" s="42">
        <f>原始数据!G182/(原始数据!G$2/100)</f>
        <v>1000</v>
      </c>
      <c r="C182" s="42">
        <f>原始数据!J182/(原始数据!J$2/100)</f>
        <v>251.82846882948635</v>
      </c>
    </row>
    <row r="183" spans="1:3" ht="18" customHeight="1" x14ac:dyDescent="0.3">
      <c r="A183" s="41">
        <f>表1[[#This Row],[订单日期]]</f>
        <v>45904</v>
      </c>
      <c r="B183" s="42">
        <f>原始数据!G183/(原始数据!G$2/100)</f>
        <v>1000</v>
      </c>
      <c r="C183" s="42">
        <f>原始数据!J183/(原始数据!J$2/100)</f>
        <v>522.87405960691126</v>
      </c>
    </row>
    <row r="184" spans="1:3" ht="18" customHeight="1" x14ac:dyDescent="0.3">
      <c r="A184" s="41">
        <f>表1[[#This Row],[订单日期]]</f>
        <v>45904</v>
      </c>
      <c r="B184" s="42">
        <f>原始数据!G184/(原始数据!G$2/100)</f>
        <v>1000</v>
      </c>
      <c r="C184" s="42">
        <f>原始数据!J184/(原始数据!J$2/100)</f>
        <v>406.1892652125415</v>
      </c>
    </row>
    <row r="185" spans="1:3" ht="18" customHeight="1" x14ac:dyDescent="0.3">
      <c r="A185" s="41">
        <f>表1[[#This Row],[订单日期]]</f>
        <v>45904</v>
      </c>
      <c r="B185" s="42">
        <f>原始数据!G185/(原始数据!G$2/100)</f>
        <v>1000</v>
      </c>
      <c r="C185" s="42">
        <f>原始数据!J185/(原始数据!J$2/100)</f>
        <v>522.43081252469142</v>
      </c>
    </row>
    <row r="186" spans="1:3" ht="18" customHeight="1" x14ac:dyDescent="0.3">
      <c r="A186" s="41">
        <f>表1[[#This Row],[订单日期]]</f>
        <v>45904</v>
      </c>
      <c r="B186" s="42">
        <f>原始数据!G186/(原始数据!G$2/100)</f>
        <v>1000</v>
      </c>
      <c r="C186" s="42">
        <f>原始数据!J186/(原始数据!J$2/100)</f>
        <v>250.9419746650467</v>
      </c>
    </row>
    <row r="187" spans="1:3" ht="18" customHeight="1" x14ac:dyDescent="0.3">
      <c r="A187" s="41">
        <f>表1[[#This Row],[订单日期]]</f>
        <v>45904</v>
      </c>
      <c r="B187" s="42">
        <f>原始数据!G187/(原始数据!G$2/100)</f>
        <v>1000</v>
      </c>
      <c r="C187" s="42">
        <f>原始数据!J187/(原始数据!J$2/100)</f>
        <v>389.23506431763303</v>
      </c>
    </row>
    <row r="188" spans="1:3" ht="18" customHeight="1" x14ac:dyDescent="0.3">
      <c r="A188" s="41">
        <f>表1[[#This Row],[订单日期]]</f>
        <v>45904</v>
      </c>
      <c r="B188" s="42">
        <f>原始数据!G188/(原始数据!G$2/100)</f>
        <v>1000</v>
      </c>
      <c r="C188" s="42">
        <f>原始数据!J188/(原始数据!J$2/100)</f>
        <v>474.56012764494994</v>
      </c>
    </row>
    <row r="189" spans="1:3" ht="18" customHeight="1" x14ac:dyDescent="0.3">
      <c r="A189" s="41">
        <f>表1[[#This Row],[订单日期]]</f>
        <v>45904</v>
      </c>
      <c r="B189" s="42">
        <f>原始数据!G189/(原始数据!G$2/100)</f>
        <v>1000</v>
      </c>
      <c r="C189" s="42">
        <f>原始数据!J189/(原始数据!J$2/100)</f>
        <v>8.485820690800729</v>
      </c>
    </row>
    <row r="190" spans="1:3" ht="18" customHeight="1" x14ac:dyDescent="0.3">
      <c r="A190" s="41">
        <f>表1[[#This Row],[订单日期]]</f>
        <v>45905</v>
      </c>
      <c r="B190" s="42">
        <f>原始数据!G190/(原始数据!G$2/100)</f>
        <v>100</v>
      </c>
      <c r="C190" s="42">
        <f>原始数据!J190/(原始数据!J$2/100)</f>
        <v>533.48641445351291</v>
      </c>
    </row>
    <row r="191" spans="1:3" ht="18" customHeight="1" x14ac:dyDescent="0.3">
      <c r="A191" s="41">
        <f>表1[[#This Row],[订单日期]]</f>
        <v>45905</v>
      </c>
      <c r="B191" s="42">
        <f>原始数据!G191/(原始数据!G$2/100)</f>
        <v>100</v>
      </c>
      <c r="C191" s="42">
        <f>原始数据!J191/(原始数据!J$2/100)</f>
        <v>268.31384751550075</v>
      </c>
    </row>
    <row r="192" spans="1:3" ht="18" customHeight="1" x14ac:dyDescent="0.3">
      <c r="A192" s="41">
        <f>表1[[#This Row],[订单日期]]</f>
        <v>45905</v>
      </c>
      <c r="B192" s="42">
        <f>原始数据!G192/(原始数据!G$2/100)</f>
        <v>100</v>
      </c>
      <c r="C192" s="42">
        <f>原始数据!J192/(原始数据!J$2/100)</f>
        <v>260.66783534720872</v>
      </c>
    </row>
    <row r="193" spans="1:3" ht="18" customHeight="1" x14ac:dyDescent="0.3">
      <c r="A193" s="41">
        <f>表1[[#This Row],[订单日期]]</f>
        <v>45905</v>
      </c>
      <c r="B193" s="42">
        <f>原始数据!G193/(原始数据!G$2/100)</f>
        <v>100</v>
      </c>
      <c r="C193" s="42">
        <f>原始数据!J193/(原始数据!J$2/100)</f>
        <v>291.47350756148677</v>
      </c>
    </row>
    <row r="194" spans="1:3" ht="18" customHeight="1" x14ac:dyDescent="0.3">
      <c r="A194" s="41">
        <f>表1[[#This Row],[订单日期]]</f>
        <v>45905</v>
      </c>
      <c r="B194" s="42">
        <f>原始数据!G194/(原始数据!G$2/100)</f>
        <v>100</v>
      </c>
      <c r="C194" s="42">
        <f>原始数据!J194/(原始数据!J$2/100)</f>
        <v>344.21991034564633</v>
      </c>
    </row>
    <row r="195" spans="1:3" ht="18" customHeight="1" x14ac:dyDescent="0.3">
      <c r="A195" s="41">
        <f>表1[[#This Row],[订单日期]]</f>
        <v>45905</v>
      </c>
      <c r="B195" s="42">
        <f>原始数据!G195/(原始数据!G$2/100)</f>
        <v>100</v>
      </c>
      <c r="C195" s="42">
        <f>原始数据!J195/(原始数据!J$2/100)</f>
        <v>487.72115321431568</v>
      </c>
    </row>
    <row r="196" spans="1:3" ht="18" customHeight="1" x14ac:dyDescent="0.3">
      <c r="A196" s="41">
        <f>表1[[#This Row],[订单日期]]</f>
        <v>45905</v>
      </c>
      <c r="B196" s="42">
        <f>原始数据!G196/(原始数据!G$2/100)</f>
        <v>100</v>
      </c>
      <c r="C196" s="42">
        <f>原始数据!J196/(原始数据!J$2/100)</f>
        <v>478.96702334047404</v>
      </c>
    </row>
    <row r="197" spans="1:3" ht="18" customHeight="1" x14ac:dyDescent="0.3">
      <c r="A197" s="41">
        <f>表1[[#This Row],[订单日期]]</f>
        <v>45905</v>
      </c>
      <c r="B197" s="42">
        <f>原始数据!G197/(原始数据!G$2/100)</f>
        <v>100</v>
      </c>
      <c r="C197" s="42">
        <f>原始数据!J197/(原始数据!J$2/100)</f>
        <v>330.47925079683165</v>
      </c>
    </row>
    <row r="198" spans="1:3" ht="18" customHeight="1" x14ac:dyDescent="0.3">
      <c r="A198" s="41">
        <f>表1[[#This Row],[订单日期]]</f>
        <v>45905</v>
      </c>
      <c r="B198" s="42">
        <f>原始数据!G198/(原始数据!G$2/100)</f>
        <v>400</v>
      </c>
      <c r="C198" s="42">
        <f>原始数据!J198/(原始数据!J$2/100)</f>
        <v>139.43605122390809</v>
      </c>
    </row>
    <row r="199" spans="1:3" ht="18" customHeight="1" x14ac:dyDescent="0.3">
      <c r="A199" s="41">
        <f>表1[[#This Row],[订单日期]]</f>
        <v>45905</v>
      </c>
      <c r="B199" s="42">
        <f>原始数据!G199/(原始数据!G$2/100)</f>
        <v>400</v>
      </c>
      <c r="C199" s="42">
        <f>原始数据!J199/(原始数据!J$2/100)</f>
        <v>414.24924220020148</v>
      </c>
    </row>
    <row r="200" spans="1:3" ht="18" customHeight="1" x14ac:dyDescent="0.3">
      <c r="A200" s="41">
        <f>表1[[#This Row],[订单日期]]</f>
        <v>45905</v>
      </c>
      <c r="B200" s="42">
        <f>原始数据!G200/(原始数据!G$2/100)</f>
        <v>400</v>
      </c>
      <c r="C200" s="42">
        <f>原始数据!J200/(原始数据!J$2/100)</f>
        <v>189.83014332166249</v>
      </c>
    </row>
    <row r="201" spans="1:3" ht="18" customHeight="1" x14ac:dyDescent="0.3">
      <c r="A201" s="41">
        <f>表1[[#This Row],[订单日期]]</f>
        <v>45905</v>
      </c>
      <c r="B201" s="42">
        <f>原始数据!G201/(原始数据!G$2/100)</f>
        <v>400</v>
      </c>
      <c r="C201" s="42">
        <f>原始数据!J201/(原始数据!J$2/100)</f>
        <v>82.811236470325042</v>
      </c>
    </row>
    <row r="202" spans="1:3" ht="18" customHeight="1" x14ac:dyDescent="0.3">
      <c r="A202" s="41">
        <f>表1[[#This Row],[订单日期]]</f>
        <v>45905</v>
      </c>
      <c r="B202" s="42">
        <f>原始数据!G202/(原始数据!G$2/100)</f>
        <v>400</v>
      </c>
      <c r="C202" s="42">
        <f>原始数据!J202/(原始数据!J$2/100)</f>
        <v>163.70382897544366</v>
      </c>
    </row>
    <row r="203" spans="1:3" ht="18" customHeight="1" x14ac:dyDescent="0.3">
      <c r="A203" s="41">
        <f>表1[[#This Row],[订单日期]]</f>
        <v>45905</v>
      </c>
      <c r="B203" s="42">
        <f>原始数据!G203/(原始数据!G$2/100)</f>
        <v>400</v>
      </c>
      <c r="C203" s="42">
        <f>原始数据!J203/(原始数据!J$2/100)</f>
        <v>311.94471447322513</v>
      </c>
    </row>
    <row r="204" spans="1:3" ht="18" customHeight="1" x14ac:dyDescent="0.3">
      <c r="A204" s="41">
        <f>表1[[#This Row],[订单日期]]</f>
        <v>45905</v>
      </c>
      <c r="B204" s="42">
        <f>原始数据!G204/(原始数据!G$2/100)</f>
        <v>400</v>
      </c>
      <c r="C204" s="42">
        <f>原始数据!J204/(原始数据!J$2/100)</f>
        <v>514.31227101132765</v>
      </c>
    </row>
    <row r="205" spans="1:3" ht="18" customHeight="1" x14ac:dyDescent="0.3">
      <c r="A205" s="41">
        <f>表1[[#This Row],[订单日期]]</f>
        <v>45905</v>
      </c>
      <c r="B205" s="42">
        <f>原始数据!G205/(原始数据!G$2/100)</f>
        <v>400</v>
      </c>
      <c r="C205" s="42">
        <f>原始数据!J205/(原始数据!J$2/100)</f>
        <v>202.70957221078854</v>
      </c>
    </row>
    <row r="206" spans="1:3" ht="18" customHeight="1" x14ac:dyDescent="0.3">
      <c r="A206" s="41">
        <f>表1[[#This Row],[订单日期]]</f>
        <v>45905</v>
      </c>
      <c r="B206" s="42">
        <f>原始数据!G206/(原始数据!G$2/100)</f>
        <v>400</v>
      </c>
      <c r="C206" s="42">
        <f>原始数据!J206/(原始数据!J$2/100)</f>
        <v>473.06502886013266</v>
      </c>
    </row>
    <row r="207" spans="1:3" ht="18" customHeight="1" x14ac:dyDescent="0.3">
      <c r="A207" s="41">
        <f>表1[[#This Row],[订单日期]]</f>
        <v>45905</v>
      </c>
      <c r="B207" s="42">
        <f>原始数据!G207/(原始数据!G$2/100)</f>
        <v>400</v>
      </c>
      <c r="C207" s="42">
        <f>原始数据!J207/(原始数据!J$2/100)</f>
        <v>68.848953380400459</v>
      </c>
    </row>
    <row r="208" spans="1:3" ht="18" customHeight="1" x14ac:dyDescent="0.3">
      <c r="A208" s="41">
        <f>表1[[#This Row],[订单日期]]</f>
        <v>45905</v>
      </c>
      <c r="B208" s="42">
        <f>原始数据!G208/(原始数据!G$2/100)</f>
        <v>400</v>
      </c>
      <c r="C208" s="42">
        <f>原始数据!J208/(原始数据!J$2/100)</f>
        <v>285.92921189756129</v>
      </c>
    </row>
    <row r="209" spans="1:3" ht="18" customHeight="1" x14ac:dyDescent="0.3">
      <c r="A209" s="41">
        <f>表1[[#This Row],[订单日期]]</f>
        <v>45905</v>
      </c>
      <c r="B209" s="42">
        <f>原始数据!G209/(原始数据!G$2/100)</f>
        <v>400</v>
      </c>
      <c r="C209" s="42">
        <f>原始数据!J209/(原始数据!J$2/100)</f>
        <v>296.54187836608611</v>
      </c>
    </row>
    <row r="210" spans="1:3" ht="18" customHeight="1" x14ac:dyDescent="0.3">
      <c r="A210" s="41">
        <f>表1[[#This Row],[订单日期]]</f>
        <v>45905</v>
      </c>
      <c r="B210" s="42">
        <f>原始数据!G210/(原始数据!G$2/100)</f>
        <v>400</v>
      </c>
      <c r="C210" s="42">
        <f>原始数据!J210/(原始数据!J$2/100)</f>
        <v>383.11113467425855</v>
      </c>
    </row>
    <row r="211" spans="1:3" ht="18" customHeight="1" x14ac:dyDescent="0.3">
      <c r="A211" s="41">
        <f>表1[[#This Row],[订单日期]]</f>
        <v>45905</v>
      </c>
      <c r="B211" s="42">
        <f>原始数据!G211/(原始数据!G$2/100)</f>
        <v>400</v>
      </c>
      <c r="C211" s="42">
        <f>原始数据!J211/(原始数据!J$2/100)</f>
        <v>339.78373238727039</v>
      </c>
    </row>
    <row r="212" spans="1:3" ht="18" customHeight="1" x14ac:dyDescent="0.3">
      <c r="A212" s="41">
        <f>表1[[#This Row],[订单日期]]</f>
        <v>45905</v>
      </c>
      <c r="B212" s="42">
        <f>原始数据!G212/(原始数据!G$2/100)</f>
        <v>400</v>
      </c>
      <c r="C212" s="42">
        <f>原始数据!J212/(原始数据!J$2/100)</f>
        <v>80.79136109558479</v>
      </c>
    </row>
    <row r="213" spans="1:3" ht="18" customHeight="1" x14ac:dyDescent="0.3">
      <c r="A213" s="41">
        <f>表1[[#This Row],[订单日期]]</f>
        <v>45905</v>
      </c>
      <c r="B213" s="42">
        <f>原始数据!G213/(原始数据!G$2/100)</f>
        <v>400</v>
      </c>
      <c r="C213" s="42">
        <f>原始数据!J213/(原始数据!J$2/100)</f>
        <v>368.15154564933937</v>
      </c>
    </row>
    <row r="214" spans="1:3" ht="18" customHeight="1" x14ac:dyDescent="0.3">
      <c r="A214" s="41">
        <f>表1[[#This Row],[订单日期]]</f>
        <v>45905</v>
      </c>
      <c r="B214" s="42">
        <f>原始数据!G214/(原始数据!G$2/100)</f>
        <v>400</v>
      </c>
      <c r="C214" s="42">
        <f>原始数据!J214/(原始数据!J$2/100)</f>
        <v>343.21889727447405</v>
      </c>
    </row>
    <row r="215" spans="1:3" ht="18" customHeight="1" x14ac:dyDescent="0.3">
      <c r="A215" s="41">
        <f>表1[[#This Row],[订单日期]]</f>
        <v>45905</v>
      </c>
      <c r="B215" s="42">
        <f>原始数据!G215/(原始数据!G$2/100)</f>
        <v>400</v>
      </c>
      <c r="C215" s="42">
        <f>原始数据!J215/(原始数据!J$2/100)</f>
        <v>207.44921483990066</v>
      </c>
    </row>
    <row r="216" spans="1:3" ht="18" customHeight="1" x14ac:dyDescent="0.3">
      <c r="A216" s="41">
        <f>表1[[#This Row],[订单日期]]</f>
        <v>45905</v>
      </c>
      <c r="B216" s="42">
        <f>原始数据!G216/(原始数据!G$2/100)</f>
        <v>400</v>
      </c>
      <c r="C216" s="42">
        <f>原始数据!J216/(原始数据!J$2/100)</f>
        <v>240.82882128169376</v>
      </c>
    </row>
    <row r="217" spans="1:3" ht="18" customHeight="1" x14ac:dyDescent="0.3">
      <c r="A217" s="41">
        <f>表1[[#This Row],[订单日期]]</f>
        <v>45905</v>
      </c>
      <c r="B217" s="42">
        <f>原始数据!G217/(原始数据!G$2/100)</f>
        <v>400</v>
      </c>
      <c r="C217" s="42">
        <f>原始数据!J217/(原始数据!J$2/100)</f>
        <v>10.78358560960298</v>
      </c>
    </row>
    <row r="218" spans="1:3" ht="18" customHeight="1" x14ac:dyDescent="0.3">
      <c r="A218" s="41">
        <f>表1[[#This Row],[订单日期]]</f>
        <v>45905</v>
      </c>
      <c r="B218" s="42">
        <f>原始数据!G218/(原始数据!G$2/100)</f>
        <v>400</v>
      </c>
      <c r="C218" s="42">
        <f>原始数据!J218/(原始数据!J$2/100)</f>
        <v>235.04134570808498</v>
      </c>
    </row>
    <row r="219" spans="1:3" ht="18" customHeight="1" x14ac:dyDescent="0.3">
      <c r="A219" s="41">
        <f>表1[[#This Row],[订单日期]]</f>
        <v>45905</v>
      </c>
      <c r="B219" s="42">
        <f>原始数据!G219/(原始数据!G$2/100)</f>
        <v>400</v>
      </c>
      <c r="C219" s="42">
        <f>原始数据!J219/(原始数据!J$2/100)</f>
        <v>522.29071849128457</v>
      </c>
    </row>
    <row r="220" spans="1:3" ht="18" customHeight="1" x14ac:dyDescent="0.3">
      <c r="A220" s="41">
        <f>表1[[#This Row],[订单日期]]</f>
        <v>45905</v>
      </c>
      <c r="B220" s="42">
        <f>原始数据!G220/(原始数据!G$2/100)</f>
        <v>400</v>
      </c>
      <c r="C220" s="42">
        <f>原始数据!J220/(原始数据!J$2/100)</f>
        <v>496.47157595197962</v>
      </c>
    </row>
    <row r="221" spans="1:3" ht="18" customHeight="1" x14ac:dyDescent="0.3">
      <c r="A221" s="41">
        <f>表1[[#This Row],[订单日期]]</f>
        <v>45905</v>
      </c>
      <c r="B221" s="42">
        <f>原始数据!G221/(原始数据!G$2/100)</f>
        <v>400</v>
      </c>
      <c r="C221" s="42">
        <f>原始数据!J221/(原始数据!J$2/100)</f>
        <v>49.764065340196822</v>
      </c>
    </row>
    <row r="222" spans="1:3" ht="18" customHeight="1" x14ac:dyDescent="0.3">
      <c r="A222" s="41">
        <f>表1[[#This Row],[订单日期]]</f>
        <v>45905</v>
      </c>
      <c r="B222" s="42">
        <f>原始数据!G222/(原始数据!G$2/100)</f>
        <v>400</v>
      </c>
      <c r="C222" s="42">
        <f>原始数据!J222/(原始数据!J$2/100)</f>
        <v>50.23257592716768</v>
      </c>
    </row>
    <row r="223" spans="1:3" ht="18" customHeight="1" x14ac:dyDescent="0.3">
      <c r="A223" s="41">
        <f>表1[[#This Row],[订单日期]]</f>
        <v>45905</v>
      </c>
      <c r="B223" s="42">
        <f>原始数据!G223/(原始数据!G$2/100)</f>
        <v>400</v>
      </c>
      <c r="C223" s="42">
        <f>原始数据!J223/(原始数据!J$2/100)</f>
        <v>393.41662933586957</v>
      </c>
    </row>
    <row r="224" spans="1:3" ht="18" customHeight="1" x14ac:dyDescent="0.3">
      <c r="A224" s="41">
        <f>表1[[#This Row],[订单日期]]</f>
        <v>45905</v>
      </c>
      <c r="B224" s="42">
        <f>原始数据!G224/(原始数据!G$2/100)</f>
        <v>550</v>
      </c>
      <c r="C224" s="42">
        <f>原始数据!J224/(原始数据!J$2/100)</f>
        <v>432.4114008625142</v>
      </c>
    </row>
    <row r="225" spans="1:3" ht="18" customHeight="1" x14ac:dyDescent="0.3">
      <c r="A225" s="41">
        <f>表1[[#This Row],[订单日期]]</f>
        <v>45905</v>
      </c>
      <c r="B225" s="42">
        <f>原始数据!G225/(原始数据!G$2/100)</f>
        <v>550</v>
      </c>
      <c r="C225" s="42">
        <f>原始数据!J225/(原始数据!J$2/100)</f>
        <v>414.12745872094627</v>
      </c>
    </row>
    <row r="226" spans="1:3" ht="18" customHeight="1" x14ac:dyDescent="0.3">
      <c r="A226" s="41">
        <f>表1[[#This Row],[订单日期]]</f>
        <v>45905</v>
      </c>
      <c r="B226" s="42">
        <f>原始数据!G226/(原始数据!G$2/100)</f>
        <v>550</v>
      </c>
      <c r="C226" s="42">
        <f>原始数据!J226/(原始数据!J$2/100)</f>
        <v>296.44535839158192</v>
      </c>
    </row>
    <row r="227" spans="1:3" ht="18" customHeight="1" x14ac:dyDescent="0.3">
      <c r="A227" s="41">
        <f>表1[[#This Row],[订单日期]]</f>
        <v>45905</v>
      </c>
      <c r="B227" s="42">
        <f>原始数据!G227/(原始数据!G$2/100)</f>
        <v>550</v>
      </c>
      <c r="C227" s="42">
        <f>原始数据!J227/(原始数据!J$2/100)</f>
        <v>206.57701247151178</v>
      </c>
    </row>
    <row r="228" spans="1:3" ht="18" customHeight="1" x14ac:dyDescent="0.3">
      <c r="A228" s="41">
        <f>表1[[#This Row],[订单日期]]</f>
        <v>45905</v>
      </c>
      <c r="B228" s="42">
        <f>原始数据!G228/(原始数据!G$2/100)</f>
        <v>550</v>
      </c>
      <c r="C228" s="42">
        <f>原始数据!J228/(原始数据!J$2/100)</f>
        <v>105.29505418428107</v>
      </c>
    </row>
    <row r="229" spans="1:3" ht="18" customHeight="1" x14ac:dyDescent="0.3">
      <c r="A229" s="41">
        <f>表1[[#This Row],[订单日期]]</f>
        <v>45905</v>
      </c>
      <c r="B229" s="42">
        <f>原始数据!G229/(原始数据!G$2/100)</f>
        <v>550</v>
      </c>
      <c r="C229" s="42">
        <f>原始数据!J229/(原始数据!J$2/100)</f>
        <v>386.97857493498179</v>
      </c>
    </row>
    <row r="230" spans="1:3" ht="18" customHeight="1" x14ac:dyDescent="0.3">
      <c r="A230" s="41">
        <f>表1[[#This Row],[订单日期]]</f>
        <v>45905</v>
      </c>
      <c r="B230" s="42">
        <f>原始数据!G230/(原始数据!G$2/100)</f>
        <v>550</v>
      </c>
      <c r="C230" s="42">
        <f>原始数据!J230/(原始数据!J$2/100)</f>
        <v>488.59296853387741</v>
      </c>
    </row>
    <row r="231" spans="1:3" ht="18" customHeight="1" x14ac:dyDescent="0.3">
      <c r="A231" s="41">
        <f>表1[[#This Row],[订单日期]]</f>
        <v>45905</v>
      </c>
      <c r="B231" s="42">
        <f>原始数据!G231/(原始数据!G$2/100)</f>
        <v>550</v>
      </c>
      <c r="C231" s="42">
        <f>原始数据!J231/(原始数据!J$2/100)</f>
        <v>12.323978688672128</v>
      </c>
    </row>
    <row r="232" spans="1:3" ht="18" customHeight="1" x14ac:dyDescent="0.3">
      <c r="A232" s="41">
        <f>表1[[#This Row],[订单日期]]</f>
        <v>45905</v>
      </c>
      <c r="B232" s="42">
        <f>原始数据!G232/(原始数据!G$2/100)</f>
        <v>550</v>
      </c>
      <c r="C232" s="42">
        <f>原始数据!J232/(原始数据!J$2/100)</f>
        <v>467.7603556695455</v>
      </c>
    </row>
    <row r="233" spans="1:3" ht="18" customHeight="1" x14ac:dyDescent="0.3">
      <c r="A233" s="41">
        <f>表1[[#This Row],[订单日期]]</f>
        <v>45905</v>
      </c>
      <c r="B233" s="42">
        <f>原始数据!G233/(原始数据!G$2/100)</f>
        <v>900</v>
      </c>
      <c r="C233" s="42">
        <f>原始数据!J233/(原始数据!J$2/100)</f>
        <v>324.39723466520388</v>
      </c>
    </row>
    <row r="234" spans="1:3" ht="18" customHeight="1" x14ac:dyDescent="0.3">
      <c r="A234" s="41">
        <f>表1[[#This Row],[订单日期]]</f>
        <v>45905</v>
      </c>
      <c r="B234" s="42">
        <f>原始数据!G234/(原始数据!G$2/100)</f>
        <v>900</v>
      </c>
      <c r="C234" s="42">
        <f>原始数据!J234/(原始数据!J$2/100)</f>
        <v>337.28721517109705</v>
      </c>
    </row>
    <row r="235" spans="1:3" ht="18" customHeight="1" x14ac:dyDescent="0.3">
      <c r="A235" s="41">
        <f>表1[[#This Row],[订单日期]]</f>
        <v>45905</v>
      </c>
      <c r="B235" s="42">
        <f>原始数据!G235/(原始数据!G$2/100)</f>
        <v>900</v>
      </c>
      <c r="C235" s="42">
        <f>原始数据!J235/(原始数据!J$2/100)</f>
        <v>511.44750336197131</v>
      </c>
    </row>
    <row r="236" spans="1:3" ht="18" customHeight="1" x14ac:dyDescent="0.3">
      <c r="A236" s="41">
        <f>表1[[#This Row],[订单日期]]</f>
        <v>45905</v>
      </c>
      <c r="B236" s="42">
        <f>原始数据!G236/(原始数据!G$2/100)</f>
        <v>900</v>
      </c>
      <c r="C236" s="42">
        <f>原始数据!J236/(原始数据!J$2/100)</f>
        <v>450.31522113715317</v>
      </c>
    </row>
    <row r="237" spans="1:3" ht="18" customHeight="1" x14ac:dyDescent="0.3">
      <c r="A237" s="41">
        <f>表1[[#This Row],[订单日期]]</f>
        <v>45905</v>
      </c>
      <c r="B237" s="42">
        <f>原始数据!G237/(原始数据!G$2/100)</f>
        <v>900</v>
      </c>
      <c r="C237" s="42">
        <f>原始数据!J237/(原始数据!J$2/100)</f>
        <v>251.92633672226199</v>
      </c>
    </row>
    <row r="238" spans="1:3" ht="18" customHeight="1" x14ac:dyDescent="0.3">
      <c r="A238" s="41">
        <f>表1[[#This Row],[订单日期]]</f>
        <v>45905</v>
      </c>
      <c r="B238" s="42">
        <f>原始数据!G238/(原始数据!G$2/100)</f>
        <v>900</v>
      </c>
      <c r="C238" s="42">
        <f>原始数据!J238/(原始数据!J$2/100)</f>
        <v>465.05318662096249</v>
      </c>
    </row>
    <row r="239" spans="1:3" ht="18" customHeight="1" x14ac:dyDescent="0.3">
      <c r="A239" s="41">
        <f>表1[[#This Row],[订单日期]]</f>
        <v>45905</v>
      </c>
      <c r="B239" s="42">
        <f>原始数据!G239/(原始数据!G$2/100)</f>
        <v>900</v>
      </c>
      <c r="C239" s="42">
        <f>原始数据!J239/(原始数据!J$2/100)</f>
        <v>379.91393171323733</v>
      </c>
    </row>
    <row r="240" spans="1:3" ht="18" customHeight="1" x14ac:dyDescent="0.3">
      <c r="A240" s="41">
        <f>表1[[#This Row],[订单日期]]</f>
        <v>45905</v>
      </c>
      <c r="B240" s="42">
        <f>原始数据!G240/(原始数据!G$2/100)</f>
        <v>900</v>
      </c>
      <c r="C240" s="42">
        <f>原始数据!J240/(原始数据!J$2/100)</f>
        <v>422.05821964563916</v>
      </c>
    </row>
    <row r="241" spans="1:3" ht="18" customHeight="1" x14ac:dyDescent="0.3">
      <c r="A241" s="41">
        <f>表1[[#This Row],[订单日期]]</f>
        <v>45905</v>
      </c>
      <c r="B241" s="42">
        <f>原始数据!G241/(原始数据!G$2/100)</f>
        <v>900</v>
      </c>
      <c r="C241" s="42">
        <f>原始数据!J241/(原始数据!J$2/100)</f>
        <v>333.48379985071034</v>
      </c>
    </row>
    <row r="242" spans="1:3" ht="18" customHeight="1" x14ac:dyDescent="0.3">
      <c r="A242" s="41">
        <f>表1[[#This Row],[订单日期]]</f>
        <v>45905</v>
      </c>
      <c r="B242" s="42">
        <f>原始数据!G242/(原始数据!G$2/100)</f>
        <v>900</v>
      </c>
      <c r="C242" s="42">
        <f>原始数据!J242/(原始数据!J$2/100)</f>
        <v>91.063460997982546</v>
      </c>
    </row>
    <row r="243" spans="1:3" ht="18" customHeight="1" x14ac:dyDescent="0.3">
      <c r="A243" s="41">
        <f>表1[[#This Row],[订单日期]]</f>
        <v>45905</v>
      </c>
      <c r="B243" s="42">
        <f>原始数据!G243/(原始数据!G$2/100)</f>
        <v>900</v>
      </c>
      <c r="C243" s="42">
        <f>原始数据!J243/(原始数据!J$2/100)</f>
        <v>468.89578346886782</v>
      </c>
    </row>
    <row r="244" spans="1:3" ht="18" customHeight="1" x14ac:dyDescent="0.3">
      <c r="A244" s="41">
        <f>表1[[#This Row],[订单日期]]</f>
        <v>45905</v>
      </c>
      <c r="B244" s="42">
        <f>原始数据!G244/(原始数据!G$2/100)</f>
        <v>900</v>
      </c>
      <c r="C244" s="42">
        <f>原始数据!J244/(原始数据!J$2/100)</f>
        <v>450.64765644881805</v>
      </c>
    </row>
    <row r="245" spans="1:3" ht="18" customHeight="1" x14ac:dyDescent="0.3">
      <c r="A245" s="41">
        <f>表1[[#This Row],[订单日期]]</f>
        <v>45905</v>
      </c>
      <c r="B245" s="42">
        <f>原始数据!G245/(原始数据!G$2/100)</f>
        <v>900</v>
      </c>
      <c r="C245" s="42">
        <f>原始数据!J245/(原始数据!J$2/100)</f>
        <v>258.02098410278461</v>
      </c>
    </row>
    <row r="246" spans="1:3" ht="18" customHeight="1" x14ac:dyDescent="0.3">
      <c r="A246" s="41">
        <f>表1[[#This Row],[订单日期]]</f>
        <v>45905</v>
      </c>
      <c r="B246" s="42">
        <f>原始数据!G246/(原始数据!G$2/100)</f>
        <v>900</v>
      </c>
      <c r="C246" s="42">
        <f>原始数据!J246/(原始数据!J$2/100)</f>
        <v>94.166190573521334</v>
      </c>
    </row>
    <row r="247" spans="1:3" ht="18" customHeight="1" x14ac:dyDescent="0.3">
      <c r="A247" s="41">
        <f>表1[[#This Row],[订单日期]]</f>
        <v>45905</v>
      </c>
      <c r="B247" s="42">
        <f>原始数据!G247/(原始数据!G$2/100)</f>
        <v>900</v>
      </c>
      <c r="C247" s="42">
        <f>原始数据!J247/(原始数据!J$2/100)</f>
        <v>503.13662057034958</v>
      </c>
    </row>
    <row r="248" spans="1:3" ht="18" customHeight="1" x14ac:dyDescent="0.3">
      <c r="A248" s="41">
        <f>表1[[#This Row],[订单日期]]</f>
        <v>45905</v>
      </c>
      <c r="B248" s="42">
        <f>原始数据!G248/(原始数据!G$2/100)</f>
        <v>900</v>
      </c>
      <c r="C248" s="42">
        <f>原始数据!J248/(原始数据!J$2/100)</f>
        <v>314.01674335455607</v>
      </c>
    </row>
    <row r="249" spans="1:3" ht="18" customHeight="1" x14ac:dyDescent="0.3">
      <c r="A249" s="41">
        <f>表1[[#This Row],[订单日期]]</f>
        <v>45905</v>
      </c>
      <c r="B249" s="42">
        <f>原始数据!G249/(原始数据!G$2/100)</f>
        <v>900</v>
      </c>
      <c r="C249" s="42">
        <f>原始数据!J249/(原始数据!J$2/100)</f>
        <v>143.10917803729421</v>
      </c>
    </row>
    <row r="250" spans="1:3" ht="18" customHeight="1" x14ac:dyDescent="0.3">
      <c r="A250" s="41">
        <f>表1[[#This Row],[订单日期]]</f>
        <v>45905</v>
      </c>
      <c r="B250" s="42">
        <f>原始数据!G250/(原始数据!G$2/100)</f>
        <v>900</v>
      </c>
      <c r="C250" s="42">
        <f>原始数据!J250/(原始数据!J$2/100)</f>
        <v>82.530954665250846</v>
      </c>
    </row>
    <row r="251" spans="1:3" ht="18" customHeight="1" x14ac:dyDescent="0.3">
      <c r="A251" s="41">
        <f>表1[[#This Row],[订单日期]]</f>
        <v>45905</v>
      </c>
      <c r="B251" s="42">
        <f>原始数据!G251/(原始数据!G$2/100)</f>
        <v>1000</v>
      </c>
      <c r="C251" s="42">
        <f>原始数据!J251/(原始数据!J$2/100)</f>
        <v>19.315738413419723</v>
      </c>
    </row>
    <row r="252" spans="1:3" ht="18" customHeight="1" x14ac:dyDescent="0.3">
      <c r="A252" s="41">
        <f>表1[[#This Row],[订单日期]]</f>
        <v>45905</v>
      </c>
      <c r="B252" s="42">
        <f>原始数据!G252/(原始数据!G$2/100)</f>
        <v>1000</v>
      </c>
      <c r="C252" s="42">
        <f>原始数据!J252/(原始数据!J$2/100)</f>
        <v>189.74424152694363</v>
      </c>
    </row>
    <row r="253" spans="1:3" ht="18" customHeight="1" x14ac:dyDescent="0.3">
      <c r="A253" s="41">
        <f>表1[[#This Row],[订单日期]]</f>
        <v>45905</v>
      </c>
      <c r="B253" s="42">
        <f>原始数据!G253/(原始数据!G$2/100)</f>
        <v>1000</v>
      </c>
      <c r="C253" s="42">
        <f>原始数据!J253/(原始数据!J$2/100)</f>
        <v>541.68242480948709</v>
      </c>
    </row>
    <row r="254" spans="1:3" ht="18" customHeight="1" x14ac:dyDescent="0.3">
      <c r="A254" s="41">
        <f>表1[[#This Row],[订单日期]]</f>
        <v>45905</v>
      </c>
      <c r="B254" s="42">
        <f>原始数据!G254/(原始数据!G$2/100)</f>
        <v>1000</v>
      </c>
      <c r="C254" s="42">
        <f>原始数据!J254/(原始数据!J$2/100)</f>
        <v>252.90695074326911</v>
      </c>
    </row>
    <row r="255" spans="1:3" ht="18" customHeight="1" x14ac:dyDescent="0.3">
      <c r="A255" s="41">
        <f>表1[[#This Row],[订单日期]]</f>
        <v>45905</v>
      </c>
      <c r="B255" s="42">
        <f>原始数据!G255/(原始数据!G$2/100)</f>
        <v>1000</v>
      </c>
      <c r="C255" s="42">
        <f>原始数据!J255/(原始数据!J$2/100)</f>
        <v>412.8083356540721</v>
      </c>
    </row>
    <row r="256" spans="1:3" ht="18" customHeight="1" x14ac:dyDescent="0.3">
      <c r="A256" s="41">
        <f>表1[[#This Row],[订单日期]]</f>
        <v>45905</v>
      </c>
      <c r="B256" s="42">
        <f>原始数据!G256/(原始数据!G$2/100)</f>
        <v>1000</v>
      </c>
      <c r="C256" s="42">
        <f>原始数据!J256/(原始数据!J$2/100)</f>
        <v>394.85682882416904</v>
      </c>
    </row>
    <row r="257" spans="1:3" ht="18" customHeight="1" x14ac:dyDescent="0.3">
      <c r="A257" s="41">
        <f>表1[[#This Row],[订单日期]]</f>
        <v>45905</v>
      </c>
      <c r="B257" s="42">
        <f>原始数据!G257/(原始数据!G$2/100)</f>
        <v>1000</v>
      </c>
      <c r="C257" s="42">
        <f>原始数据!J257/(原始数据!J$2/100)</f>
        <v>110.95707266236917</v>
      </c>
    </row>
    <row r="258" spans="1:3" ht="18" customHeight="1" x14ac:dyDescent="0.3">
      <c r="A258" s="41">
        <f>表1[[#This Row],[订单日期]]</f>
        <v>45905</v>
      </c>
      <c r="B258" s="42">
        <f>原始数据!G258/(原始数据!G$2/100)</f>
        <v>1000</v>
      </c>
      <c r="C258" s="42">
        <f>原始数据!J258/(原始数据!J$2/100)</f>
        <v>441.61939599836091</v>
      </c>
    </row>
    <row r="259" spans="1:3" ht="18" customHeight="1" x14ac:dyDescent="0.3">
      <c r="A259" s="41">
        <f>表1[[#This Row],[订单日期]]</f>
        <v>45905</v>
      </c>
      <c r="B259" s="42">
        <f>原始数据!G259/(原始数据!G$2/100)</f>
        <v>1000</v>
      </c>
      <c r="C259" s="42">
        <f>原始数据!J259/(原始数据!J$2/100)</f>
        <v>537.80401284006359</v>
      </c>
    </row>
    <row r="260" spans="1:3" ht="18" customHeight="1" x14ac:dyDescent="0.3">
      <c r="A260" s="41">
        <f>表1[[#This Row],[订单日期]]</f>
        <v>45906</v>
      </c>
      <c r="B260" s="42">
        <f>原始数据!G260/(原始数据!G$2/100)</f>
        <v>450</v>
      </c>
      <c r="C260" s="42">
        <f>原始数据!J260/(原始数据!J$2/100)</f>
        <v>542.14396770666292</v>
      </c>
    </row>
    <row r="261" spans="1:3" ht="18" customHeight="1" x14ac:dyDescent="0.3">
      <c r="A261" s="41">
        <f>表1[[#This Row],[订单日期]]</f>
        <v>45906</v>
      </c>
      <c r="B261" s="42">
        <f>原始数据!G261/(原始数据!G$2/100)</f>
        <v>450</v>
      </c>
      <c r="C261" s="42">
        <f>原始数据!J261/(原始数据!J$2/100)</f>
        <v>413.38069032180283</v>
      </c>
    </row>
    <row r="262" spans="1:3" ht="18" customHeight="1" x14ac:dyDescent="0.3">
      <c r="A262" s="41">
        <f>表1[[#This Row],[订单日期]]</f>
        <v>45906</v>
      </c>
      <c r="B262" s="42">
        <f>原始数据!G262/(原始数据!G$2/100)</f>
        <v>450</v>
      </c>
      <c r="C262" s="42">
        <f>原始数据!J262/(原始数据!J$2/100)</f>
        <v>166.04881844313877</v>
      </c>
    </row>
    <row r="263" spans="1:3" ht="18" customHeight="1" x14ac:dyDescent="0.3">
      <c r="A263" s="41">
        <f>表1[[#This Row],[订单日期]]</f>
        <v>45906</v>
      </c>
      <c r="B263" s="42">
        <f>原始数据!G263/(原始数据!G$2/100)</f>
        <v>450</v>
      </c>
      <c r="C263" s="42">
        <f>原始数据!J263/(原始数据!J$2/100)</f>
        <v>419.14290239066059</v>
      </c>
    </row>
    <row r="264" spans="1:3" ht="18" customHeight="1" x14ac:dyDescent="0.3">
      <c r="A264" s="41">
        <f>表1[[#This Row],[订单日期]]</f>
        <v>45906</v>
      </c>
      <c r="B264" s="42">
        <f>原始数据!G264/(原始数据!G$2/100)</f>
        <v>450</v>
      </c>
      <c r="C264" s="42">
        <f>原始数据!J264/(原始数据!J$2/100)</f>
        <v>412.71581969847313</v>
      </c>
    </row>
    <row r="265" spans="1:3" ht="18" customHeight="1" x14ac:dyDescent="0.3">
      <c r="A265" s="41">
        <f>表1[[#This Row],[订单日期]]</f>
        <v>45906</v>
      </c>
      <c r="B265" s="42">
        <f>原始数据!G265/(原始数据!G$2/100)</f>
        <v>450</v>
      </c>
      <c r="C265" s="42">
        <f>原始数据!J265/(原始数据!J$2/100)</f>
        <v>520.53567244844635</v>
      </c>
    </row>
    <row r="266" spans="1:3" ht="18" customHeight="1" x14ac:dyDescent="0.3">
      <c r="A266" s="41">
        <f>表1[[#This Row],[订单日期]]</f>
        <v>45906</v>
      </c>
      <c r="B266" s="42">
        <f>原始数据!G266/(原始数据!G$2/100)</f>
        <v>450</v>
      </c>
      <c r="C266" s="42">
        <f>原始数据!J266/(原始数据!J$2/100)</f>
        <v>392.21564214580604</v>
      </c>
    </row>
    <row r="267" spans="1:3" ht="18" customHeight="1" x14ac:dyDescent="0.3">
      <c r="A267" s="41">
        <f>表1[[#This Row],[订单日期]]</f>
        <v>45906</v>
      </c>
      <c r="B267" s="42">
        <f>原始数据!G267/(原始数据!G$2/100)</f>
        <v>450</v>
      </c>
      <c r="C267" s="42">
        <f>原始数据!J267/(原始数据!J$2/100)</f>
        <v>50.250518213208686</v>
      </c>
    </row>
    <row r="268" spans="1:3" ht="18" customHeight="1" x14ac:dyDescent="0.3">
      <c r="A268" s="41">
        <f>表1[[#This Row],[订单日期]]</f>
        <v>45906</v>
      </c>
      <c r="B268" s="42">
        <f>原始数据!G268/(原始数据!G$2/100)</f>
        <v>450</v>
      </c>
      <c r="C268" s="42">
        <f>原始数据!J268/(原始数据!J$2/100)</f>
        <v>42.050447192141867</v>
      </c>
    </row>
    <row r="269" spans="1:3" ht="18" customHeight="1" x14ac:dyDescent="0.3">
      <c r="A269" s="41">
        <f>表1[[#This Row],[订单日期]]</f>
        <v>45906</v>
      </c>
      <c r="B269" s="42">
        <f>原始数据!G269/(原始数据!G$2/100)</f>
        <v>550</v>
      </c>
      <c r="C269" s="42">
        <f>原始数据!J269/(原始数据!J$2/100)</f>
        <v>365.99656334134642</v>
      </c>
    </row>
    <row r="270" spans="1:3" ht="18" customHeight="1" x14ac:dyDescent="0.3">
      <c r="A270" s="41">
        <f>表1[[#This Row],[订单日期]]</f>
        <v>45906</v>
      </c>
      <c r="B270" s="42">
        <f>原始数据!G270/(原始数据!G$2/100)</f>
        <v>550</v>
      </c>
      <c r="C270" s="42">
        <f>原始数据!J270/(原始数据!J$2/100)</f>
        <v>468.49745110468172</v>
      </c>
    </row>
    <row r="271" spans="1:3" ht="18" customHeight="1" x14ac:dyDescent="0.3">
      <c r="A271" s="41">
        <f>表1[[#This Row],[订单日期]]</f>
        <v>45906</v>
      </c>
      <c r="B271" s="42">
        <f>原始数据!G271/(原始数据!G$2/100)</f>
        <v>550</v>
      </c>
      <c r="C271" s="42">
        <f>原始数据!J271/(原始数据!J$2/100)</f>
        <v>370.65065770465463</v>
      </c>
    </row>
    <row r="272" spans="1:3" ht="18" customHeight="1" x14ac:dyDescent="0.3">
      <c r="A272" s="41">
        <f>表1[[#This Row],[订单日期]]</f>
        <v>45906</v>
      </c>
      <c r="B272" s="42">
        <f>原始数据!G272/(原始数据!G$2/100)</f>
        <v>550</v>
      </c>
      <c r="C272" s="42">
        <f>原始数据!J272/(原始数据!J$2/100)</f>
        <v>117.99982083935262</v>
      </c>
    </row>
    <row r="273" spans="1:3" ht="18" customHeight="1" x14ac:dyDescent="0.3">
      <c r="A273" s="41">
        <f>表1[[#This Row],[订单日期]]</f>
        <v>45906</v>
      </c>
      <c r="B273" s="42">
        <f>原始数据!G273/(原始数据!G$2/100)</f>
        <v>550</v>
      </c>
      <c r="C273" s="42">
        <f>原始数据!J273/(原始数据!J$2/100)</f>
        <v>23.477380555974285</v>
      </c>
    </row>
    <row r="274" spans="1:3" ht="18" customHeight="1" x14ac:dyDescent="0.3">
      <c r="A274" s="41">
        <f>表1[[#This Row],[订单日期]]</f>
        <v>45906</v>
      </c>
      <c r="B274" s="42">
        <f>原始数据!G274/(原始数据!G$2/100)</f>
        <v>550</v>
      </c>
      <c r="C274" s="42">
        <f>原始数据!J274/(原始数据!J$2/100)</f>
        <v>533.21152510877664</v>
      </c>
    </row>
    <row r="275" spans="1:3" ht="18" customHeight="1" x14ac:dyDescent="0.3">
      <c r="A275" s="41">
        <f>表1[[#This Row],[订单日期]]</f>
        <v>45906</v>
      </c>
      <c r="B275" s="42">
        <f>原始数据!G275/(原始数据!G$2/100)</f>
        <v>550</v>
      </c>
      <c r="C275" s="42">
        <f>原始数据!J275/(原始数据!J$2/100)</f>
        <v>386.05349381179366</v>
      </c>
    </row>
    <row r="276" spans="1:3" ht="18" customHeight="1" x14ac:dyDescent="0.3">
      <c r="A276" s="41">
        <f>表1[[#This Row],[订单日期]]</f>
        <v>45906</v>
      </c>
      <c r="B276" s="42">
        <f>原始数据!G276/(原始数据!G$2/100)</f>
        <v>550</v>
      </c>
      <c r="C276" s="42">
        <f>原始数据!J276/(原始数据!J$2/100)</f>
        <v>330.64760853431517</v>
      </c>
    </row>
    <row r="277" spans="1:3" ht="18" customHeight="1" x14ac:dyDescent="0.3">
      <c r="A277" s="41">
        <f>表1[[#This Row],[订单日期]]</f>
        <v>45906</v>
      </c>
      <c r="B277" s="42">
        <f>原始数据!G277/(原始数据!G$2/100)</f>
        <v>550</v>
      </c>
      <c r="C277" s="42">
        <f>原始数据!J277/(原始数据!J$2/100)</f>
        <v>511.71404162111497</v>
      </c>
    </row>
    <row r="278" spans="1:3" ht="18" customHeight="1" x14ac:dyDescent="0.3">
      <c r="A278" s="41">
        <f>表1[[#This Row],[订单日期]]</f>
        <v>45906</v>
      </c>
      <c r="B278" s="42">
        <f>原始数据!G278/(原始数据!G$2/100)</f>
        <v>750</v>
      </c>
      <c r="C278" s="42">
        <f>原始数据!J278/(原始数据!J$2/100)</f>
        <v>158.29135302897453</v>
      </c>
    </row>
    <row r="279" spans="1:3" ht="18" customHeight="1" x14ac:dyDescent="0.3">
      <c r="A279" s="41">
        <f>表1[[#This Row],[订单日期]]</f>
        <v>45906</v>
      </c>
      <c r="B279" s="42">
        <f>原始数据!G279/(原始数据!G$2/100)</f>
        <v>750</v>
      </c>
      <c r="C279" s="42">
        <f>原始数据!J279/(原始数据!J$2/100)</f>
        <v>48.366076638457152</v>
      </c>
    </row>
    <row r="280" spans="1:3" ht="18" customHeight="1" x14ac:dyDescent="0.3">
      <c r="A280" s="41">
        <f>表1[[#This Row],[订单日期]]</f>
        <v>45906</v>
      </c>
      <c r="B280" s="42">
        <f>原始数据!G280/(原始数据!G$2/100)</f>
        <v>750</v>
      </c>
      <c r="C280" s="42">
        <f>原始数据!J280/(原始数据!J$2/100)</f>
        <v>473.32921671671733</v>
      </c>
    </row>
    <row r="281" spans="1:3" ht="18" customHeight="1" x14ac:dyDescent="0.3">
      <c r="A281" s="41">
        <f>表1[[#This Row],[订单日期]]</f>
        <v>45906</v>
      </c>
      <c r="B281" s="42">
        <f>原始数据!G281/(原始数据!G$2/100)</f>
        <v>750</v>
      </c>
      <c r="C281" s="42">
        <f>原始数据!J281/(原始数据!J$2/100)</f>
        <v>260.01655839842505</v>
      </c>
    </row>
    <row r="282" spans="1:3" ht="18" customHeight="1" x14ac:dyDescent="0.3">
      <c r="A282" s="41">
        <f>表1[[#This Row],[订单日期]]</f>
        <v>45906</v>
      </c>
      <c r="B282" s="42">
        <f>原始数据!G282/(原始数据!G$2/100)</f>
        <v>750</v>
      </c>
      <c r="C282" s="42">
        <f>原始数据!J282/(原始数据!J$2/100)</f>
        <v>211.92424997757371</v>
      </c>
    </row>
    <row r="283" spans="1:3" ht="18" customHeight="1" x14ac:dyDescent="0.3">
      <c r="A283" s="41">
        <f>表1[[#This Row],[订单日期]]</f>
        <v>45906</v>
      </c>
      <c r="B283" s="42">
        <f>原始数据!G283/(原始数据!G$2/100)</f>
        <v>750</v>
      </c>
      <c r="C283" s="42">
        <f>原始数据!J283/(原始数据!J$2/100)</f>
        <v>171.58876549556936</v>
      </c>
    </row>
    <row r="284" spans="1:3" ht="18" customHeight="1" x14ac:dyDescent="0.3">
      <c r="A284" s="41">
        <f>表1[[#This Row],[订单日期]]</f>
        <v>45906</v>
      </c>
      <c r="B284" s="42">
        <f>原始数据!G284/(原始数据!G$2/100)</f>
        <v>750</v>
      </c>
      <c r="C284" s="42">
        <f>原始数据!J284/(原始数据!J$2/100)</f>
        <v>487.95637042997163</v>
      </c>
    </row>
    <row r="285" spans="1:3" ht="18" customHeight="1" x14ac:dyDescent="0.3">
      <c r="A285" s="41">
        <f>表1[[#This Row],[订单日期]]</f>
        <v>45906</v>
      </c>
      <c r="B285" s="42">
        <f>原始数据!G285/(原始数据!G$2/100)</f>
        <v>750</v>
      </c>
      <c r="C285" s="42">
        <f>原始数据!J285/(原始数据!J$2/100)</f>
        <v>35.511911254082136</v>
      </c>
    </row>
    <row r="286" spans="1:3" ht="18" customHeight="1" x14ac:dyDescent="0.3">
      <c r="A286" s="41">
        <f>表1[[#This Row],[订单日期]]</f>
        <v>45906</v>
      </c>
      <c r="B286" s="42">
        <f>原始数据!G286/(原始数据!G$2/100)</f>
        <v>750</v>
      </c>
      <c r="C286" s="42">
        <f>原始数据!J286/(原始数据!J$2/100)</f>
        <v>153.30482335400146</v>
      </c>
    </row>
    <row r="287" spans="1:3" ht="18" customHeight="1" x14ac:dyDescent="0.3">
      <c r="A287" s="41">
        <f>表1[[#This Row],[订单日期]]</f>
        <v>45906</v>
      </c>
      <c r="B287" s="42">
        <f>原始数据!G287/(原始数据!G$2/100)</f>
        <v>950</v>
      </c>
      <c r="C287" s="42">
        <f>原始数据!J287/(原始数据!J$2/100)</f>
        <v>59.865972700208779</v>
      </c>
    </row>
    <row r="288" spans="1:3" ht="18" customHeight="1" x14ac:dyDescent="0.3">
      <c r="A288" s="41">
        <f>表1[[#This Row],[订单日期]]</f>
        <v>45906</v>
      </c>
      <c r="B288" s="42">
        <f>原始数据!G288/(原始数据!G$2/100)</f>
        <v>950</v>
      </c>
      <c r="C288" s="42">
        <f>原始数据!J288/(原始数据!J$2/100)</f>
        <v>304.20592677388902</v>
      </c>
    </row>
    <row r="289" spans="1:3" ht="18" customHeight="1" x14ac:dyDescent="0.3">
      <c r="A289" s="41">
        <f>表1[[#This Row],[订单日期]]</f>
        <v>45906</v>
      </c>
      <c r="B289" s="42">
        <f>原始数据!G289/(原始数据!G$2/100)</f>
        <v>950</v>
      </c>
      <c r="C289" s="42">
        <f>原始数据!J289/(原始数据!J$2/100)</f>
        <v>469.64790021243982</v>
      </c>
    </row>
    <row r="290" spans="1:3" ht="18" customHeight="1" x14ac:dyDescent="0.3">
      <c r="A290" s="41">
        <f>表1[[#This Row],[订单日期]]</f>
        <v>45906</v>
      </c>
      <c r="B290" s="42">
        <f>原始数据!G290/(原始数据!G$2/100)</f>
        <v>950</v>
      </c>
      <c r="C290" s="42">
        <f>原始数据!J290/(原始数据!J$2/100)</f>
        <v>60.198408011873653</v>
      </c>
    </row>
    <row r="291" spans="1:3" ht="18" customHeight="1" x14ac:dyDescent="0.3">
      <c r="A291" s="41">
        <f>表1[[#This Row],[订单日期]]</f>
        <v>45906</v>
      </c>
      <c r="B291" s="42">
        <f>原始数据!G291/(原始数据!G$2/100)</f>
        <v>950</v>
      </c>
      <c r="C291" s="42">
        <f>原始数据!J291/(原始数据!J$2/100)</f>
        <v>183.97515572176064</v>
      </c>
    </row>
    <row r="292" spans="1:3" ht="18" customHeight="1" x14ac:dyDescent="0.3">
      <c r="A292" s="41">
        <f>表1[[#This Row],[订单日期]]</f>
        <v>45906</v>
      </c>
      <c r="B292" s="42">
        <f>原始数据!G292/(原始数据!G$2/100)</f>
        <v>950</v>
      </c>
      <c r="C292" s="42">
        <f>原始数据!J292/(原始数据!J$2/100)</f>
        <v>163.36416639853863</v>
      </c>
    </row>
    <row r="293" spans="1:3" ht="18" customHeight="1" x14ac:dyDescent="0.3">
      <c r="A293" s="41">
        <f>表1[[#This Row],[订单日期]]</f>
        <v>45906</v>
      </c>
      <c r="B293" s="42">
        <f>原始数据!G293/(原始数据!G$2/100)</f>
        <v>950</v>
      </c>
      <c r="C293" s="42">
        <f>原始数据!J293/(原始数据!J$2/100)</f>
        <v>59.533537388543913</v>
      </c>
    </row>
    <row r="294" spans="1:3" ht="18" customHeight="1" x14ac:dyDescent="0.3">
      <c r="A294" s="41">
        <f>表1[[#This Row],[订单日期]]</f>
        <v>45906</v>
      </c>
      <c r="B294" s="42">
        <f>原始数据!G294/(原始数据!G$2/100)</f>
        <v>950</v>
      </c>
      <c r="C294" s="42">
        <f>原始数据!J294/(原始数据!J$2/100)</f>
        <v>440.28278101537626</v>
      </c>
    </row>
    <row r="295" spans="1:3" ht="18" customHeight="1" x14ac:dyDescent="0.3">
      <c r="A295" s="41">
        <f>表1[[#This Row],[订单日期]]</f>
        <v>45906</v>
      </c>
      <c r="B295" s="42">
        <f>原始数据!G295/(原始数据!G$2/100)</f>
        <v>950</v>
      </c>
      <c r="C295" s="42">
        <f>原始数据!J295/(原始数据!J$2/100)</f>
        <v>319.27632756936316</v>
      </c>
    </row>
    <row r="296" spans="1:3" ht="18" customHeight="1" x14ac:dyDescent="0.3">
      <c r="A296" s="41">
        <f>表1[[#This Row],[订单日期]]</f>
        <v>45907</v>
      </c>
      <c r="B296" s="42">
        <f>原始数据!G296/(原始数据!G$2/100)</f>
        <v>100</v>
      </c>
      <c r="C296" s="42">
        <f>原始数据!J296/(原始数据!J$2/100)</f>
        <v>121.63327188780302</v>
      </c>
    </row>
    <row r="297" spans="1:3" ht="18" customHeight="1" x14ac:dyDescent="0.3">
      <c r="A297" s="41">
        <f>表1[[#This Row],[订单日期]]</f>
        <v>45907</v>
      </c>
      <c r="B297" s="42">
        <f>原始数据!G297/(原始数据!G$2/100)</f>
        <v>100</v>
      </c>
      <c r="C297" s="42">
        <f>原始数据!J297/(原始数据!J$2/100)</f>
        <v>542.60718822608476</v>
      </c>
    </row>
    <row r="298" spans="1:3" ht="18" customHeight="1" x14ac:dyDescent="0.3">
      <c r="A298" s="41">
        <f>表1[[#This Row],[订单日期]]</f>
        <v>45907</v>
      </c>
      <c r="B298" s="42">
        <f>原始数据!G298/(原始数据!G$2/100)</f>
        <v>100</v>
      </c>
      <c r="C298" s="42">
        <f>原始数据!J298/(原始数据!J$2/100)</f>
        <v>204.07722918069103</v>
      </c>
    </row>
    <row r="299" spans="1:3" ht="18" customHeight="1" x14ac:dyDescent="0.3">
      <c r="A299" s="41">
        <f>表1[[#This Row],[订单日期]]</f>
        <v>45907</v>
      </c>
      <c r="B299" s="42">
        <f>原始数据!G299/(原始数据!G$2/100)</f>
        <v>100</v>
      </c>
      <c r="C299" s="42">
        <f>原始数据!J299/(原始数据!J$2/100)</f>
        <v>401.65461608017938</v>
      </c>
    </row>
    <row r="300" spans="1:3" ht="18" customHeight="1" x14ac:dyDescent="0.3">
      <c r="A300" s="41">
        <f>表1[[#This Row],[订单日期]]</f>
        <v>45907</v>
      </c>
      <c r="B300" s="42">
        <f>原始数据!G300/(原始数据!G$2/100)</f>
        <v>100</v>
      </c>
      <c r="C300" s="42">
        <f>原始数据!J300/(原始数据!J$2/100)</f>
        <v>355.88935484098215</v>
      </c>
    </row>
    <row r="301" spans="1:3" ht="18" customHeight="1" x14ac:dyDescent="0.3">
      <c r="A301" s="41">
        <f>表1[[#This Row],[订单日期]]</f>
        <v>45907</v>
      </c>
      <c r="B301" s="42">
        <f>原始数据!G301/(原始数据!G$2/100)</f>
        <v>100</v>
      </c>
      <c r="C301" s="42">
        <f>原始数据!J301/(原始数据!J$2/100)</f>
        <v>164.29580355146146</v>
      </c>
    </row>
    <row r="302" spans="1:3" ht="18" customHeight="1" x14ac:dyDescent="0.3">
      <c r="A302" s="41">
        <f>表1[[#This Row],[订单日期]]</f>
        <v>45907</v>
      </c>
      <c r="B302" s="42">
        <f>原始数据!G302/(原始数据!G$2/100)</f>
        <v>100</v>
      </c>
      <c r="C302" s="42">
        <f>原始数据!J302/(原始数据!J$2/100)</f>
        <v>57.584068507037841</v>
      </c>
    </row>
    <row r="303" spans="1:3" ht="18" customHeight="1" x14ac:dyDescent="0.3">
      <c r="A303" s="41">
        <f>表1[[#This Row],[订单日期]]</f>
        <v>45907</v>
      </c>
      <c r="B303" s="42">
        <f>原始数据!G303/(原始数据!G$2/100)</f>
        <v>100</v>
      </c>
      <c r="C303" s="42">
        <f>原始数据!J303/(原始数据!J$2/100)</f>
        <v>420.38180530396716</v>
      </c>
    </row>
    <row r="304" spans="1:3" ht="18" customHeight="1" x14ac:dyDescent="0.3">
      <c r="A304" s="41">
        <f>表1[[#This Row],[订单日期]]</f>
        <v>45907</v>
      </c>
      <c r="B304" s="42">
        <f>原始数据!G304/(原始数据!G$2/100)</f>
        <v>100</v>
      </c>
      <c r="C304" s="42">
        <f>原始数据!J304/(原始数据!J$2/100)</f>
        <v>533.6314348111332</v>
      </c>
    </row>
    <row r="305" spans="1:3" ht="18" customHeight="1" x14ac:dyDescent="0.3">
      <c r="A305" s="41">
        <f>表1[[#This Row],[订单日期]]</f>
        <v>45907</v>
      </c>
      <c r="B305" s="42">
        <f>原始数据!G305/(原始数据!G$2/100)</f>
        <v>200</v>
      </c>
      <c r="C305" s="42">
        <f>原始数据!J305/(原始数据!J$2/100)</f>
        <v>351.51524074528857</v>
      </c>
    </row>
    <row r="306" spans="1:3" ht="18" customHeight="1" x14ac:dyDescent="0.3">
      <c r="A306" s="41">
        <f>表1[[#This Row],[订单日期]]</f>
        <v>45907</v>
      </c>
      <c r="B306" s="42">
        <f>原始数据!G306/(原始数据!G$2/100)</f>
        <v>200</v>
      </c>
      <c r="C306" s="42">
        <f>原始数据!J306/(原始数据!J$2/100)</f>
        <v>14.536646487664289</v>
      </c>
    </row>
    <row r="307" spans="1:3" ht="18" customHeight="1" x14ac:dyDescent="0.3">
      <c r="A307" s="41">
        <f>表1[[#This Row],[订单日期]]</f>
        <v>45907</v>
      </c>
      <c r="B307" s="42">
        <f>原始数据!G307/(原始数据!G$2/100)</f>
        <v>200</v>
      </c>
      <c r="C307" s="42">
        <f>原始数据!J307/(原始数据!J$2/100)</f>
        <v>303.09049701277235</v>
      </c>
    </row>
    <row r="308" spans="1:3" ht="18" customHeight="1" x14ac:dyDescent="0.3">
      <c r="A308" s="41">
        <f>表1[[#This Row],[订单日期]]</f>
        <v>45907</v>
      </c>
      <c r="B308" s="42">
        <f>原始数据!G308/(原始数据!G$2/100)</f>
        <v>200</v>
      </c>
      <c r="C308" s="42">
        <f>原始数据!J308/(原始数据!J$2/100)</f>
        <v>366.58564154076277</v>
      </c>
    </row>
    <row r="309" spans="1:3" ht="18" customHeight="1" x14ac:dyDescent="0.3">
      <c r="A309" s="41">
        <f>表1[[#This Row],[订单日期]]</f>
        <v>45907</v>
      </c>
      <c r="B309" s="42">
        <f>原始数据!G309/(原始数据!G$2/100)</f>
        <v>200</v>
      </c>
      <c r="C309" s="42">
        <f>原始数据!J309/(原始数据!J$2/100)</f>
        <v>458.00535224860226</v>
      </c>
    </row>
    <row r="310" spans="1:3" ht="18" customHeight="1" x14ac:dyDescent="0.3">
      <c r="A310" s="41">
        <f>表1[[#This Row],[订单日期]]</f>
        <v>45907</v>
      </c>
      <c r="B310" s="42">
        <f>原始数据!G310/(原始数据!G$2/100)</f>
        <v>200</v>
      </c>
      <c r="C310" s="42">
        <f>原始数据!J310/(原始数据!J$2/100)</f>
        <v>369.02350049297178</v>
      </c>
    </row>
    <row r="311" spans="1:3" ht="18" customHeight="1" x14ac:dyDescent="0.3">
      <c r="A311" s="41">
        <f>表1[[#This Row],[订单日期]]</f>
        <v>45907</v>
      </c>
      <c r="B311" s="42">
        <f>原始数据!G311/(原始数据!G$2/100)</f>
        <v>200</v>
      </c>
      <c r="C311" s="42">
        <f>原始数据!J311/(原始数据!J$2/100)</f>
        <v>60.52353126797145</v>
      </c>
    </row>
    <row r="312" spans="1:3" ht="18" customHeight="1" x14ac:dyDescent="0.3">
      <c r="A312" s="41">
        <f>表1[[#This Row],[订单日期]]</f>
        <v>45907</v>
      </c>
      <c r="B312" s="42">
        <f>原始数据!G312/(原始数据!G$2/100)</f>
        <v>200</v>
      </c>
      <c r="C312" s="42">
        <f>原始数据!J312/(原始数据!J$2/100)</f>
        <v>342.20705201867219</v>
      </c>
    </row>
    <row r="313" spans="1:3" ht="18" customHeight="1" x14ac:dyDescent="0.3">
      <c r="A313" s="41">
        <f>表1[[#This Row],[订单日期]]</f>
        <v>45907</v>
      </c>
      <c r="B313" s="42">
        <f>原始数据!G313/(原始数据!G$2/100)</f>
        <v>200</v>
      </c>
      <c r="C313" s="42">
        <f>原始数据!J313/(原始数据!J$2/100)</f>
        <v>552.30616899087067</v>
      </c>
    </row>
    <row r="314" spans="1:3" ht="18" customHeight="1" x14ac:dyDescent="0.3">
      <c r="A314" s="41">
        <f>表1[[#This Row],[订单日期]]</f>
        <v>45907</v>
      </c>
      <c r="B314" s="42">
        <f>原始数据!G314/(原始数据!G$2/100)</f>
        <v>250</v>
      </c>
      <c r="C314" s="42">
        <f>原始数据!J314/(原始数据!J$2/100)</f>
        <v>525.9981722675617</v>
      </c>
    </row>
    <row r="315" spans="1:3" ht="18" customHeight="1" x14ac:dyDescent="0.3">
      <c r="A315" s="41">
        <f>表1[[#This Row],[订单日期]]</f>
        <v>45907</v>
      </c>
      <c r="B315" s="42">
        <f>原始数据!G315/(原始数据!G$2/100)</f>
        <v>250</v>
      </c>
      <c r="C315" s="42">
        <f>原始数据!J315/(原始数据!J$2/100)</f>
        <v>463.278710133456</v>
      </c>
    </row>
    <row r="316" spans="1:3" ht="18" customHeight="1" x14ac:dyDescent="0.3">
      <c r="A316" s="41">
        <f>表1[[#This Row],[订单日期]]</f>
        <v>45907</v>
      </c>
      <c r="B316" s="42">
        <f>原始数据!G316/(原始数据!G$2/100)</f>
        <v>250</v>
      </c>
      <c r="C316" s="42">
        <f>原始数据!J316/(原始数据!J$2/100)</f>
        <v>76.878066208320845</v>
      </c>
    </row>
    <row r="317" spans="1:3" ht="18" customHeight="1" x14ac:dyDescent="0.3">
      <c r="A317" s="41">
        <f>表1[[#This Row],[订单日期]]</f>
        <v>45907</v>
      </c>
      <c r="B317" s="42">
        <f>原始数据!G317/(原始数据!G$2/100)</f>
        <v>250</v>
      </c>
      <c r="C317" s="42">
        <f>原始数据!J317/(原始数据!J$2/100)</f>
        <v>283.09877121109588</v>
      </c>
    </row>
    <row r="318" spans="1:3" ht="18" customHeight="1" x14ac:dyDescent="0.3">
      <c r="A318" s="41">
        <f>表1[[#This Row],[订单日期]]</f>
        <v>45907</v>
      </c>
      <c r="B318" s="42">
        <f>原始数据!G318/(原始数据!G$2/100)</f>
        <v>250</v>
      </c>
      <c r="C318" s="42">
        <f>原始数据!J318/(原始数据!J$2/100)</f>
        <v>550.70919710131705</v>
      </c>
    </row>
    <row r="319" spans="1:3" ht="18" customHeight="1" x14ac:dyDescent="0.3">
      <c r="A319" s="41">
        <f>表1[[#This Row],[订单日期]]</f>
        <v>45907</v>
      </c>
      <c r="B319" s="42">
        <f>原始数据!G319/(原始数据!G$2/100)</f>
        <v>250</v>
      </c>
      <c r="C319" s="42">
        <f>原始数据!J319/(原始数据!J$2/100)</f>
        <v>298.05836023601506</v>
      </c>
    </row>
    <row r="320" spans="1:3" ht="18" customHeight="1" x14ac:dyDescent="0.3">
      <c r="A320" s="41">
        <f>表1[[#This Row],[订单日期]]</f>
        <v>45907</v>
      </c>
      <c r="B320" s="42">
        <f>原始数据!G320/(原始数据!G$2/100)</f>
        <v>250</v>
      </c>
      <c r="C320" s="42">
        <f>原始数据!J320/(原始数据!J$2/100)</f>
        <v>341.38576252300328</v>
      </c>
    </row>
    <row r="321" spans="1:3" ht="18" customHeight="1" x14ac:dyDescent="0.3">
      <c r="A321" s="41">
        <f>表1[[#This Row],[订单日期]]</f>
        <v>45907</v>
      </c>
      <c r="B321" s="42">
        <f>原始数据!G321/(原始数据!G$2/100)</f>
        <v>250</v>
      </c>
      <c r="C321" s="42">
        <f>原始数据!J321/(原始数据!J$2/100)</f>
        <v>433.35953208361758</v>
      </c>
    </row>
    <row r="322" spans="1:3" ht="18" customHeight="1" x14ac:dyDescent="0.3">
      <c r="A322" s="41">
        <f>表1[[#This Row],[订单日期]]</f>
        <v>45907</v>
      </c>
      <c r="B322" s="42">
        <f>原始数据!G322/(原始数据!G$2/100)</f>
        <v>250</v>
      </c>
      <c r="C322" s="42">
        <f>原始数据!J322/(原始数据!J$2/100)</f>
        <v>19.034321978633287</v>
      </c>
    </row>
    <row r="323" spans="1:3" ht="18" customHeight="1" x14ac:dyDescent="0.3">
      <c r="A323" s="41">
        <f>表1[[#This Row],[订单日期]]</f>
        <v>45907</v>
      </c>
      <c r="B323" s="42">
        <f>原始数据!G323/(原始数据!G$2/100)</f>
        <v>300</v>
      </c>
      <c r="C323" s="42">
        <f>原始数据!J323/(原始数据!J$2/100)</f>
        <v>455.80622093585367</v>
      </c>
    </row>
    <row r="324" spans="1:3" ht="18" customHeight="1" x14ac:dyDescent="0.3">
      <c r="A324" s="41">
        <f>表1[[#This Row],[订单日期]]</f>
        <v>45907</v>
      </c>
      <c r="B324" s="42">
        <f>原始数据!G324/(原始数据!G$2/100)</f>
        <v>300</v>
      </c>
      <c r="C324" s="42">
        <f>原始数据!J324/(原始数据!J$2/100)</f>
        <v>413.14368927219522</v>
      </c>
    </row>
    <row r="325" spans="1:3" ht="18" customHeight="1" x14ac:dyDescent="0.3">
      <c r="A325" s="41">
        <f>表1[[#This Row],[订单日期]]</f>
        <v>45907</v>
      </c>
      <c r="B325" s="42">
        <f>原始数据!G325/(原始数据!G$2/100)</f>
        <v>300</v>
      </c>
      <c r="C325" s="42">
        <f>原始数据!J325/(原始数据!J$2/100)</f>
        <v>331.91866145541172</v>
      </c>
    </row>
    <row r="326" spans="1:3" ht="18" customHeight="1" x14ac:dyDescent="0.3">
      <c r="A326" s="41">
        <f>表1[[#This Row],[订单日期]]</f>
        <v>45907</v>
      </c>
      <c r="B326" s="42">
        <f>原始数据!G326/(原始数据!G$2/100)</f>
        <v>300</v>
      </c>
      <c r="C326" s="42">
        <f>原始数据!J326/(原始数据!J$2/100)</f>
        <v>221.43932621211957</v>
      </c>
    </row>
    <row r="327" spans="1:3" ht="18" customHeight="1" x14ac:dyDescent="0.3">
      <c r="A327" s="41">
        <f>表1[[#This Row],[订单日期]]</f>
        <v>45907</v>
      </c>
      <c r="B327" s="42">
        <f>原始数据!G327/(原始数据!G$2/100)</f>
        <v>300</v>
      </c>
      <c r="C327" s="42">
        <f>原始数据!J327/(原始数据!J$2/100)</f>
        <v>545.89619039703371</v>
      </c>
    </row>
    <row r="328" spans="1:3" ht="18" customHeight="1" x14ac:dyDescent="0.3">
      <c r="A328" s="41">
        <f>表1[[#This Row],[订单日期]]</f>
        <v>45907</v>
      </c>
      <c r="B328" s="42">
        <f>原始数据!G328/(原始数据!G$2/100)</f>
        <v>300</v>
      </c>
      <c r="C328" s="42">
        <f>原始数据!J328/(原始数据!J$2/100)</f>
        <v>33.724186892022367</v>
      </c>
    </row>
    <row r="329" spans="1:3" ht="18" customHeight="1" x14ac:dyDescent="0.3">
      <c r="A329" s="41">
        <f>表1[[#This Row],[订单日期]]</f>
        <v>45907</v>
      </c>
      <c r="B329" s="42">
        <f>原始数据!G329/(原始数据!G$2/100)</f>
        <v>300</v>
      </c>
      <c r="C329" s="42">
        <f>原始数据!J329/(原始数据!J$2/100)</f>
        <v>468.99282163189355</v>
      </c>
    </row>
    <row r="330" spans="1:3" ht="18" customHeight="1" x14ac:dyDescent="0.3">
      <c r="A330" s="41">
        <f>表1[[#This Row],[订单日期]]</f>
        <v>45907</v>
      </c>
      <c r="B330" s="42">
        <f>原始数据!G330/(原始数据!G$2/100)</f>
        <v>300</v>
      </c>
      <c r="C330" s="42">
        <f>原始数据!J330/(原始数据!J$2/100)</f>
        <v>178.88760631901607</v>
      </c>
    </row>
    <row r="331" spans="1:3" ht="18" customHeight="1" x14ac:dyDescent="0.3">
      <c r="A331" s="41">
        <f>表1[[#This Row],[订单日期]]</f>
        <v>45907</v>
      </c>
      <c r="B331" s="42">
        <f>原始数据!G331/(原始数据!G$2/100)</f>
        <v>300</v>
      </c>
      <c r="C331" s="42">
        <f>原始数据!J331/(原始数据!J$2/100)</f>
        <v>384.88668778068114</v>
      </c>
    </row>
    <row r="332" spans="1:3" ht="18" customHeight="1" x14ac:dyDescent="0.3">
      <c r="A332" s="41">
        <f>表1[[#This Row],[订单日期]]</f>
        <v>45907</v>
      </c>
      <c r="B332" s="42">
        <f>原始数据!G332/(原始数据!G$2/100)</f>
        <v>400</v>
      </c>
      <c r="C332" s="42">
        <f>原始数据!J332/(原始数据!J$2/100)</f>
        <v>345.71807794980828</v>
      </c>
    </row>
    <row r="333" spans="1:3" ht="18" customHeight="1" x14ac:dyDescent="0.3">
      <c r="A333" s="41">
        <f>表1[[#This Row],[订单日期]]</f>
        <v>45907</v>
      </c>
      <c r="B333" s="42">
        <f>原始数据!G333/(原始数据!G$2/100)</f>
        <v>400</v>
      </c>
      <c r="C333" s="42">
        <f>原始数据!J333/(原始数据!J$2/100)</f>
        <v>266.15522669134913</v>
      </c>
    </row>
    <row r="334" spans="1:3" ht="18" customHeight="1" x14ac:dyDescent="0.3">
      <c r="A334" s="41">
        <f>表1[[#This Row],[订单日期]]</f>
        <v>45907</v>
      </c>
      <c r="B334" s="42">
        <f>原始数据!G334/(原始数据!G$2/100)</f>
        <v>400</v>
      </c>
      <c r="C334" s="42">
        <f>原始数据!J334/(原始数据!J$2/100)</f>
        <v>416.30517579331593</v>
      </c>
    </row>
    <row r="335" spans="1:3" ht="18" customHeight="1" x14ac:dyDescent="0.3">
      <c r="A335" s="41">
        <f>表1[[#This Row],[订单日期]]</f>
        <v>45907</v>
      </c>
      <c r="B335" s="42">
        <f>原始数据!G335/(原始数据!G$2/100)</f>
        <v>400</v>
      </c>
      <c r="C335" s="42">
        <f>原始数据!J335/(原始数据!J$2/100)</f>
        <v>101.59974741723795</v>
      </c>
    </row>
    <row r="336" spans="1:3" ht="18" customHeight="1" x14ac:dyDescent="0.3">
      <c r="A336" s="41">
        <f>表1[[#This Row],[订单日期]]</f>
        <v>45907</v>
      </c>
      <c r="B336" s="42">
        <f>原始数据!G336/(原始数据!G$2/100)</f>
        <v>400</v>
      </c>
      <c r="C336" s="42">
        <f>原始数据!J336/(原始数据!J$2/100)</f>
        <v>459.63257808030409</v>
      </c>
    </row>
    <row r="337" spans="1:3" ht="18" customHeight="1" x14ac:dyDescent="0.3">
      <c r="A337" s="41">
        <f>表1[[#This Row],[订单日期]]</f>
        <v>45907</v>
      </c>
      <c r="B337" s="42">
        <f>原始数据!G337/(原始数据!G$2/100)</f>
        <v>400</v>
      </c>
      <c r="C337" s="42">
        <f>原始数据!J337/(原始数据!J$2/100)</f>
        <v>16.939554713250789</v>
      </c>
    </row>
    <row r="338" spans="1:3" ht="18" customHeight="1" x14ac:dyDescent="0.3">
      <c r="A338" s="41">
        <f>表1[[#This Row],[订单日期]]</f>
        <v>45907</v>
      </c>
      <c r="B338" s="42">
        <f>原始数据!G338/(原始数据!G$2/100)</f>
        <v>400</v>
      </c>
      <c r="C338" s="42">
        <f>原始数据!J338/(原始数据!J$2/100)</f>
        <v>401.34558676839674</v>
      </c>
    </row>
    <row r="339" spans="1:3" ht="18" customHeight="1" x14ac:dyDescent="0.3">
      <c r="A339" s="41">
        <f>表1[[#This Row],[订单日期]]</f>
        <v>45907</v>
      </c>
      <c r="B339" s="42">
        <f>原始数据!G339/(原始数据!G$2/100)</f>
        <v>400</v>
      </c>
      <c r="C339" s="42">
        <f>原始数据!J339/(原始数据!J$2/100)</f>
        <v>31.788331967615033</v>
      </c>
    </row>
    <row r="340" spans="1:3" ht="18" customHeight="1" x14ac:dyDescent="0.3">
      <c r="A340" s="41">
        <f>表1[[#This Row],[订单日期]]</f>
        <v>45907</v>
      </c>
      <c r="B340" s="42">
        <f>原始数据!G340/(原始数据!G$2/100)</f>
        <v>550</v>
      </c>
      <c r="C340" s="42">
        <f>原始数据!J340/(原始数据!J$2/100)</f>
        <v>195.2654396796099</v>
      </c>
    </row>
    <row r="341" spans="1:3" ht="18" customHeight="1" x14ac:dyDescent="0.3">
      <c r="A341" s="41">
        <f>表1[[#This Row],[订单日期]]</f>
        <v>45907</v>
      </c>
      <c r="B341" s="42">
        <f>原始数据!G341/(原始数据!G$2/100)</f>
        <v>550</v>
      </c>
      <c r="C341" s="42">
        <f>原始数据!J341/(原始数据!J$2/100)</f>
        <v>350.51273022710467</v>
      </c>
    </row>
    <row r="342" spans="1:3" ht="18" customHeight="1" x14ac:dyDescent="0.3">
      <c r="A342" s="41">
        <f>表1[[#This Row],[订单日期]]</f>
        <v>45907</v>
      </c>
      <c r="B342" s="42">
        <f>原始数据!G342/(原始数据!G$2/100)</f>
        <v>550</v>
      </c>
      <c r="C342" s="42">
        <f>原始数据!J342/(原始数据!J$2/100)</f>
        <v>42.23438454321424</v>
      </c>
    </row>
    <row r="343" spans="1:3" ht="18" customHeight="1" x14ac:dyDescent="0.3">
      <c r="A343" s="41">
        <f>表1[[#This Row],[订单日期]]</f>
        <v>45907</v>
      </c>
      <c r="B343" s="42">
        <f>原始数据!G343/(原始数据!G$2/100)</f>
        <v>550</v>
      </c>
      <c r="C343" s="42">
        <f>原始数据!J343/(原始数据!J$2/100)</f>
        <v>283.36079727080073</v>
      </c>
    </row>
    <row r="344" spans="1:3" ht="18" customHeight="1" x14ac:dyDescent="0.3">
      <c r="A344" s="41">
        <f>表1[[#This Row],[订单日期]]</f>
        <v>45907</v>
      </c>
      <c r="B344" s="42">
        <f>原始数据!G344/(原始数据!G$2/100)</f>
        <v>550</v>
      </c>
      <c r="C344" s="42">
        <f>原始数据!J344/(原始数据!J$2/100)</f>
        <v>531.57916331390447</v>
      </c>
    </row>
    <row r="345" spans="1:3" ht="18" customHeight="1" x14ac:dyDescent="0.3">
      <c r="A345" s="41">
        <f>表1[[#This Row],[订单日期]]</f>
        <v>45907</v>
      </c>
      <c r="B345" s="42">
        <f>原始数据!G345/(原始数据!G$2/100)</f>
        <v>550</v>
      </c>
      <c r="C345" s="42">
        <f>原始数据!J345/(原始数据!J$2/100)</f>
        <v>52.872314516490114</v>
      </c>
    </row>
    <row r="346" spans="1:3" ht="18" customHeight="1" x14ac:dyDescent="0.3">
      <c r="A346" s="41">
        <f>表1[[#This Row],[订单日期]]</f>
        <v>45907</v>
      </c>
      <c r="B346" s="42">
        <f>原始数据!G346/(原始数据!G$2/100)</f>
        <v>550</v>
      </c>
      <c r="C346" s="42">
        <f>原始数据!J346/(原始数据!J$2/100)</f>
        <v>258.87139597815519</v>
      </c>
    </row>
    <row r="347" spans="1:3" ht="18" customHeight="1" x14ac:dyDescent="0.3">
      <c r="A347" s="41">
        <f>表1[[#This Row],[订单日期]]</f>
        <v>45907</v>
      </c>
      <c r="B347" s="42">
        <f>原始数据!G347/(原始数据!G$2/100)</f>
        <v>550</v>
      </c>
      <c r="C347" s="42">
        <f>原始数据!J347/(原始数据!J$2/100)</f>
        <v>490.80043174968029</v>
      </c>
    </row>
    <row r="348" spans="1:3" ht="18" customHeight="1" x14ac:dyDescent="0.3">
      <c r="A348" s="41">
        <f>表1[[#This Row],[订单日期]]</f>
        <v>45907</v>
      </c>
      <c r="B348" s="42">
        <f>原始数据!G348/(原始数据!G$2/100)</f>
        <v>600</v>
      </c>
      <c r="C348" s="42">
        <f>原始数据!J348/(原始数据!J$2/100)</f>
        <v>355.89378945231613</v>
      </c>
    </row>
    <row r="349" spans="1:3" ht="18" customHeight="1" x14ac:dyDescent="0.3">
      <c r="A349" s="41">
        <f>表1[[#This Row],[订单日期]]</f>
        <v>45907</v>
      </c>
      <c r="B349" s="42">
        <f>原始数据!G349/(原始数据!G$2/100)</f>
        <v>600</v>
      </c>
      <c r="C349" s="42">
        <f>原始数据!J349/(原始数据!J$2/100)</f>
        <v>257.82537251117913</v>
      </c>
    </row>
    <row r="350" spans="1:3" ht="18" customHeight="1" x14ac:dyDescent="0.3">
      <c r="A350" s="41">
        <f>表1[[#This Row],[订单日期]]</f>
        <v>45907</v>
      </c>
      <c r="B350" s="42">
        <f>原始数据!G350/(原始数据!G$2/100)</f>
        <v>600</v>
      </c>
      <c r="C350" s="42">
        <f>原始数据!J350/(原始数据!J$2/100)</f>
        <v>418.17000450420193</v>
      </c>
    </row>
    <row r="351" spans="1:3" ht="18" customHeight="1" x14ac:dyDescent="0.3">
      <c r="A351" s="41">
        <f>表1[[#This Row],[订单日期]]</f>
        <v>45907</v>
      </c>
      <c r="B351" s="42">
        <f>原始数据!G351/(原始数据!G$2/100)</f>
        <v>600</v>
      </c>
      <c r="C351" s="42">
        <f>原始数据!J351/(原始数据!J$2/100)</f>
        <v>197.43295755872757</v>
      </c>
    </row>
    <row r="352" spans="1:3" ht="18" customHeight="1" x14ac:dyDescent="0.3">
      <c r="A352" s="41">
        <f>表1[[#This Row],[订单日期]]</f>
        <v>45907</v>
      </c>
      <c r="B352" s="42">
        <f>原始数据!G352/(原始数据!G$2/100)</f>
        <v>600</v>
      </c>
      <c r="C352" s="42">
        <f>原始数据!J352/(原始数据!J$2/100)</f>
        <v>38.972125665139025</v>
      </c>
    </row>
    <row r="353" spans="1:3" ht="18" customHeight="1" x14ac:dyDescent="0.3">
      <c r="A353" s="41">
        <f>表1[[#This Row],[订单日期]]</f>
        <v>45907</v>
      </c>
      <c r="B353" s="42">
        <f>原始数据!G353/(原始数据!G$2/100)</f>
        <v>600</v>
      </c>
      <c r="C353" s="42">
        <f>原始数据!J353/(原始数据!J$2/100)</f>
        <v>146.7919784151122</v>
      </c>
    </row>
    <row r="354" spans="1:3" ht="18" customHeight="1" x14ac:dyDescent="0.3">
      <c r="A354" s="41">
        <f>表1[[#This Row],[订单日期]]</f>
        <v>45907</v>
      </c>
      <c r="B354" s="42">
        <f>原始数据!G354/(原始数据!G$2/100)</f>
        <v>600</v>
      </c>
      <c r="C354" s="42">
        <f>原始数据!J354/(原始数据!J$2/100)</f>
        <v>487.87060818326989</v>
      </c>
    </row>
    <row r="355" spans="1:3" ht="18" customHeight="1" x14ac:dyDescent="0.3">
      <c r="A355" s="41">
        <f>表1[[#This Row],[订单日期]]</f>
        <v>45907</v>
      </c>
      <c r="B355" s="42">
        <f>原始数据!G355/(原始数据!G$2/100)</f>
        <v>600</v>
      </c>
      <c r="C355" s="42">
        <f>原始数据!J355/(原始数据!J$2/100)</f>
        <v>247.63068962012309</v>
      </c>
    </row>
    <row r="356" spans="1:3" ht="18" customHeight="1" x14ac:dyDescent="0.3">
      <c r="A356" s="41">
        <f>表1[[#This Row],[订单日期]]</f>
        <v>45907</v>
      </c>
      <c r="B356" s="42">
        <f>原始数据!G356/(原始数据!G$2/100)</f>
        <v>600</v>
      </c>
      <c r="C356" s="42">
        <f>原始数据!J356/(原始数据!J$2/100)</f>
        <v>122.19176535191174</v>
      </c>
    </row>
    <row r="357" spans="1:3" ht="18" customHeight="1" x14ac:dyDescent="0.3">
      <c r="A357" s="41">
        <f>表1[[#This Row],[订单日期]]</f>
        <v>45907</v>
      </c>
      <c r="B357" s="42">
        <f>原始数据!G357/(原始数据!G$2/100)</f>
        <v>950</v>
      </c>
      <c r="C357" s="42">
        <f>原始数据!J357/(原始数据!J$2/100)</f>
        <v>387.37359026913919</v>
      </c>
    </row>
    <row r="358" spans="1:3" ht="18" customHeight="1" x14ac:dyDescent="0.3">
      <c r="A358" s="41">
        <f>表1[[#This Row],[订单日期]]</f>
        <v>45907</v>
      </c>
      <c r="B358" s="42">
        <f>原始数据!G358/(原始数据!G$2/100)</f>
        <v>950</v>
      </c>
      <c r="C358" s="42">
        <f>原始数据!J358/(原始数据!J$2/100)</f>
        <v>190.68269753409047</v>
      </c>
    </row>
    <row r="359" spans="1:3" ht="18" customHeight="1" x14ac:dyDescent="0.3">
      <c r="A359" s="41">
        <f>表1[[#This Row],[订单日期]]</f>
        <v>45907</v>
      </c>
      <c r="B359" s="42">
        <f>原始数据!G359/(原始数据!G$2/100)</f>
        <v>950</v>
      </c>
      <c r="C359" s="42">
        <f>原始数据!J359/(原始数据!J$2/100)</f>
        <v>383.16274298805081</v>
      </c>
    </row>
    <row r="360" spans="1:3" ht="18" customHeight="1" x14ac:dyDescent="0.3">
      <c r="A360" s="41">
        <f>表1[[#This Row],[订单日期]]</f>
        <v>45907</v>
      </c>
      <c r="B360" s="42">
        <f>原始数据!G360/(原始数据!G$2/100)</f>
        <v>950</v>
      </c>
      <c r="C360" s="42">
        <f>原始数据!J360/(原始数据!J$2/100)</f>
        <v>161.42839010758183</v>
      </c>
    </row>
    <row r="361" spans="1:3" ht="18" customHeight="1" x14ac:dyDescent="0.3">
      <c r="A361" s="41">
        <f>表1[[#This Row],[订单日期]]</f>
        <v>45907</v>
      </c>
      <c r="B361" s="42">
        <f>原始数据!G361/(原始数据!G$2/100)</f>
        <v>950</v>
      </c>
      <c r="C361" s="42">
        <f>原始数据!J361/(原始数据!J$2/100)</f>
        <v>442.77947554661768</v>
      </c>
    </row>
    <row r="362" spans="1:3" ht="18" customHeight="1" x14ac:dyDescent="0.3">
      <c r="A362" s="41">
        <f>表1[[#This Row],[订单日期]]</f>
        <v>45907</v>
      </c>
      <c r="B362" s="42">
        <f>原始数据!G362/(原始数据!G$2/100)</f>
        <v>950</v>
      </c>
      <c r="C362" s="42">
        <f>原始数据!J362/(原始数据!J$2/100)</f>
        <v>75.549267927490135</v>
      </c>
    </row>
    <row r="363" spans="1:3" ht="18" customHeight="1" x14ac:dyDescent="0.3">
      <c r="A363" s="41">
        <f>表1[[#This Row],[订单日期]]</f>
        <v>45907</v>
      </c>
      <c r="B363" s="42">
        <f>原始数据!G363/(原始数据!G$2/100)</f>
        <v>950</v>
      </c>
      <c r="C363" s="42">
        <f>原始数据!J363/(原始数据!J$2/100)</f>
        <v>518.13147952398845</v>
      </c>
    </row>
    <row r="364" spans="1:3" ht="18" customHeight="1" x14ac:dyDescent="0.3">
      <c r="A364" s="41">
        <f>表1[[#This Row],[订单日期]]</f>
        <v>45907</v>
      </c>
      <c r="B364" s="42">
        <f>原始数据!G364/(原始数据!G$2/100)</f>
        <v>950</v>
      </c>
      <c r="C364" s="42">
        <f>原始数据!J364/(原始数据!J$2/100)</f>
        <v>63.138349625334946</v>
      </c>
    </row>
    <row r="365" spans="1:3" ht="18" customHeight="1" x14ac:dyDescent="0.3">
      <c r="A365" s="41">
        <f>表1[[#This Row],[订单日期]]</f>
        <v>45907</v>
      </c>
      <c r="B365" s="42">
        <f>原始数据!G365/(原始数据!G$2/100)</f>
        <v>950</v>
      </c>
      <c r="C365" s="42">
        <f>原始数据!J365/(原始数据!J$2/100)</f>
        <v>209.18826321676829</v>
      </c>
    </row>
    <row r="366" spans="1:3" ht="18" customHeight="1" x14ac:dyDescent="0.3">
      <c r="A366" s="41">
        <f>表1[[#This Row],[订单日期]]</f>
        <v>45908</v>
      </c>
      <c r="B366" s="42">
        <f>原始数据!G366/(原始数据!G$2/100)</f>
        <v>200</v>
      </c>
      <c r="C366" s="42">
        <f>原始数据!J366/(原始数据!J$2/100)</f>
        <v>380.68680202878278</v>
      </c>
    </row>
    <row r="367" spans="1:3" ht="18" customHeight="1" x14ac:dyDescent="0.3">
      <c r="A367" s="41">
        <f>表1[[#This Row],[订单日期]]</f>
        <v>45908</v>
      </c>
      <c r="B367" s="42">
        <f>原始数据!G367/(原始数据!G$2/100)</f>
        <v>200</v>
      </c>
      <c r="C367" s="42">
        <f>原始数据!J367/(原始数据!J$2/100)</f>
        <v>20.991794807392278</v>
      </c>
    </row>
    <row r="368" spans="1:3" ht="18" customHeight="1" x14ac:dyDescent="0.3">
      <c r="A368" s="41">
        <f>表1[[#This Row],[订单日期]]</f>
        <v>45908</v>
      </c>
      <c r="B368" s="42">
        <f>原始数据!G368/(原始数据!G$2/100)</f>
        <v>200</v>
      </c>
      <c r="C368" s="42">
        <f>原始数据!J368/(原始数据!J$2/100)</f>
        <v>523.63398604467727</v>
      </c>
    </row>
    <row r="369" spans="1:3" ht="18" customHeight="1" x14ac:dyDescent="0.3">
      <c r="A369" s="41">
        <f>表1[[#This Row],[订单日期]]</f>
        <v>45908</v>
      </c>
      <c r="B369" s="42">
        <f>原始数据!G369/(原始数据!G$2/100)</f>
        <v>200</v>
      </c>
      <c r="C369" s="42">
        <f>原始数据!J369/(原始数据!J$2/100)</f>
        <v>286.82923236873415</v>
      </c>
    </row>
    <row r="370" spans="1:3" ht="18" customHeight="1" x14ac:dyDescent="0.3">
      <c r="A370" s="41">
        <f>表1[[#This Row],[订单日期]]</f>
        <v>45908</v>
      </c>
      <c r="B370" s="42">
        <f>原始数据!G370/(原始数据!G$2/100)</f>
        <v>200</v>
      </c>
      <c r="C370" s="42">
        <f>原始数据!J370/(原始数据!J$2/100)</f>
        <v>335.36478787180533</v>
      </c>
    </row>
    <row r="371" spans="1:3" ht="18" customHeight="1" x14ac:dyDescent="0.3">
      <c r="A371" s="41">
        <f>表1[[#This Row],[订单日期]]</f>
        <v>45908</v>
      </c>
      <c r="B371" s="42">
        <f>原始数据!G371/(原始数据!G$2/100)</f>
        <v>200</v>
      </c>
      <c r="C371" s="42">
        <f>原始数据!J371/(原始数据!J$2/100)</f>
        <v>476.42817178826562</v>
      </c>
    </row>
    <row r="372" spans="1:3" ht="18" customHeight="1" x14ac:dyDescent="0.3">
      <c r="A372" s="41">
        <f>表1[[#This Row],[订单日期]]</f>
        <v>45908</v>
      </c>
      <c r="B372" s="42">
        <f>原始数据!G372/(原始数据!G$2/100)</f>
        <v>200</v>
      </c>
      <c r="C372" s="42">
        <f>原始数据!J372/(原始数据!J$2/100)</f>
        <v>158.84163737775881</v>
      </c>
    </row>
    <row r="373" spans="1:3" ht="18" customHeight="1" x14ac:dyDescent="0.3">
      <c r="A373" s="41">
        <f>表1[[#This Row],[订单日期]]</f>
        <v>45908</v>
      </c>
      <c r="B373" s="42">
        <f>原始数据!G373/(原始数据!G$2/100)</f>
        <v>200</v>
      </c>
      <c r="C373" s="42">
        <f>原始数据!J373/(原始数据!J$2/100)</f>
        <v>487.62016061431626</v>
      </c>
    </row>
    <row r="374" spans="1:3" ht="18" customHeight="1" x14ac:dyDescent="0.3">
      <c r="A374" s="41">
        <f>表1[[#This Row],[订单日期]]</f>
        <v>45908</v>
      </c>
      <c r="B374" s="42">
        <f>原始数据!G374/(原始数据!G$2/100)</f>
        <v>200</v>
      </c>
      <c r="C374" s="42">
        <f>原始数据!J374/(原始数据!J$2/100)</f>
        <v>532.94217477129371</v>
      </c>
    </row>
    <row r="375" spans="1:3" ht="18" customHeight="1" x14ac:dyDescent="0.3">
      <c r="A375" s="41">
        <f>表1[[#This Row],[订单日期]]</f>
        <v>45908</v>
      </c>
      <c r="B375" s="42">
        <f>原始数据!G375/(原始数据!G$2/100)</f>
        <v>450</v>
      </c>
      <c r="C375" s="42">
        <f>原始数据!J375/(原始数据!J$2/100)</f>
        <v>223.9020498451784</v>
      </c>
    </row>
    <row r="376" spans="1:3" ht="18" customHeight="1" x14ac:dyDescent="0.3">
      <c r="A376" s="41">
        <f>表1[[#This Row],[订单日期]]</f>
        <v>45908</v>
      </c>
      <c r="B376" s="42">
        <f>原始数据!G376/(原始数据!G$2/100)</f>
        <v>450</v>
      </c>
      <c r="C376" s="42">
        <f>原始数据!J376/(原始数据!J$2/100)</f>
        <v>119.73281503221648</v>
      </c>
    </row>
    <row r="377" spans="1:3" ht="18" customHeight="1" x14ac:dyDescent="0.3">
      <c r="A377" s="41">
        <f>表1[[#This Row],[订单日期]]</f>
        <v>45908</v>
      </c>
      <c r="B377" s="42">
        <f>原始数据!G377/(原始数据!G$2/100)</f>
        <v>450</v>
      </c>
      <c r="C377" s="42">
        <f>原始数据!J377/(原始数据!J$2/100)</f>
        <v>517.33161827470462</v>
      </c>
    </row>
    <row r="378" spans="1:3" ht="18" customHeight="1" x14ac:dyDescent="0.3">
      <c r="A378" s="41">
        <f>表1[[#This Row],[订单日期]]</f>
        <v>45908</v>
      </c>
      <c r="B378" s="42">
        <f>原始数据!G378/(原始数据!G$2/100)</f>
        <v>450</v>
      </c>
      <c r="C378" s="42">
        <f>原始数据!J378/(原始数据!J$2/100)</f>
        <v>432.11119622664029</v>
      </c>
    </row>
    <row r="379" spans="1:3" ht="18" customHeight="1" x14ac:dyDescent="0.3">
      <c r="A379" s="41">
        <f>表1[[#This Row],[订单日期]]</f>
        <v>45908</v>
      </c>
      <c r="B379" s="42">
        <f>原始数据!G379/(原始数据!G$2/100)</f>
        <v>450</v>
      </c>
      <c r="C379" s="42">
        <f>原始数据!J379/(原始数据!J$2/100)</f>
        <v>110.20917325579249</v>
      </c>
    </row>
    <row r="380" spans="1:3" ht="18" customHeight="1" x14ac:dyDescent="0.3">
      <c r="A380" s="41">
        <f>表1[[#This Row],[订单日期]]</f>
        <v>45908</v>
      </c>
      <c r="B380" s="42">
        <f>原始数据!G380/(原始数据!G$2/100)</f>
        <v>450</v>
      </c>
      <c r="C380" s="42">
        <f>原始数据!J380/(原始数据!J$2/100)</f>
        <v>504.80371771069207</v>
      </c>
    </row>
    <row r="381" spans="1:3" ht="18" customHeight="1" x14ac:dyDescent="0.3">
      <c r="A381" s="41">
        <f>表1[[#This Row],[订单日期]]</f>
        <v>45908</v>
      </c>
      <c r="B381" s="42">
        <f>原始数据!G381/(原始数据!G$2/100)</f>
        <v>450</v>
      </c>
      <c r="C381" s="42">
        <f>原始数据!J381/(原始数据!J$2/100)</f>
        <v>403.52792991476372</v>
      </c>
    </row>
    <row r="382" spans="1:3" ht="18" customHeight="1" x14ac:dyDescent="0.3">
      <c r="A382" s="41">
        <f>表1[[#This Row],[订单日期]]</f>
        <v>45908</v>
      </c>
      <c r="B382" s="42">
        <f>原始数据!G382/(原始数据!G$2/100)</f>
        <v>450</v>
      </c>
      <c r="C382" s="42">
        <f>原始数据!J382/(原始数据!J$2/100)</f>
        <v>180.7901006079978</v>
      </c>
    </row>
    <row r="383" spans="1:3" ht="18" customHeight="1" x14ac:dyDescent="0.3">
      <c r="A383" s="41">
        <f>表1[[#This Row],[订单日期]]</f>
        <v>45908</v>
      </c>
      <c r="B383" s="42">
        <f>原始数据!G383/(原始数据!G$2/100)</f>
        <v>450</v>
      </c>
      <c r="C383" s="42">
        <f>原始数据!J383/(原始数据!J$2/100)</f>
        <v>347.78960932562035</v>
      </c>
    </row>
    <row r="384" spans="1:3" ht="18" customHeight="1" x14ac:dyDescent="0.3">
      <c r="A384" s="41">
        <f>表1[[#This Row],[订单日期]]</f>
        <v>45908</v>
      </c>
      <c r="B384" s="42">
        <f>原始数据!G384/(原始数据!G$2/100)</f>
        <v>450</v>
      </c>
      <c r="C384" s="42">
        <f>原始数据!J384/(原始数据!J$2/100)</f>
        <v>126.82476834773372</v>
      </c>
    </row>
    <row r="385" spans="1:3" ht="18" customHeight="1" x14ac:dyDescent="0.3">
      <c r="A385" s="41">
        <f>表1[[#This Row],[订单日期]]</f>
        <v>45908</v>
      </c>
      <c r="B385" s="42">
        <f>原始数据!G385/(原始数据!G$2/100)</f>
        <v>450</v>
      </c>
      <c r="C385" s="42">
        <f>原始数据!J385/(原始数据!J$2/100)</f>
        <v>334.27057331791559</v>
      </c>
    </row>
    <row r="386" spans="1:3" ht="18" customHeight="1" x14ac:dyDescent="0.3">
      <c r="A386" s="41">
        <f>表1[[#This Row],[订单日期]]</f>
        <v>45908</v>
      </c>
      <c r="B386" s="42">
        <f>原始数据!G386/(原始数据!G$2/100)</f>
        <v>450</v>
      </c>
      <c r="C386" s="42">
        <f>原始数据!J386/(原始数据!J$2/100)</f>
        <v>122.61392106664536</v>
      </c>
    </row>
    <row r="387" spans="1:3" ht="18" customHeight="1" x14ac:dyDescent="0.3">
      <c r="A387" s="41">
        <f>表1[[#This Row],[订单日期]]</f>
        <v>45908</v>
      </c>
      <c r="B387" s="42">
        <f>原始数据!G387/(原始数据!G$2/100)</f>
        <v>450</v>
      </c>
      <c r="C387" s="42">
        <f>原始数据!J387/(原始数据!J$2/100)</f>
        <v>113.75514991355111</v>
      </c>
    </row>
    <row r="388" spans="1:3" ht="18" customHeight="1" x14ac:dyDescent="0.3">
      <c r="A388" s="41">
        <f>表1[[#This Row],[订单日期]]</f>
        <v>45908</v>
      </c>
      <c r="B388" s="42">
        <f>原始数据!G388/(原始数据!G$2/100)</f>
        <v>450</v>
      </c>
      <c r="C388" s="42">
        <f>原始数据!J388/(原始数据!J$2/100)</f>
        <v>70.864824217480432</v>
      </c>
    </row>
    <row r="389" spans="1:3" ht="18" customHeight="1" x14ac:dyDescent="0.3">
      <c r="A389" s="41">
        <f>表1[[#This Row],[订单日期]]</f>
        <v>45908</v>
      </c>
      <c r="B389" s="42">
        <f>原始数据!G389/(原始数据!G$2/100)</f>
        <v>450</v>
      </c>
      <c r="C389" s="42">
        <f>原始数据!J389/(原始数据!J$2/100)</f>
        <v>318.75692544022161</v>
      </c>
    </row>
    <row r="390" spans="1:3" ht="18" customHeight="1" x14ac:dyDescent="0.3">
      <c r="A390" s="41">
        <f>表1[[#This Row],[订单日期]]</f>
        <v>45908</v>
      </c>
      <c r="B390" s="42">
        <f>原始数据!G390/(原始数据!G$2/100)</f>
        <v>450</v>
      </c>
      <c r="C390" s="42">
        <f>原始数据!J390/(原始数据!J$2/100)</f>
        <v>458.70602115982996</v>
      </c>
    </row>
    <row r="391" spans="1:3" ht="18" customHeight="1" x14ac:dyDescent="0.3">
      <c r="A391" s="41">
        <f>表1[[#This Row],[订单日期]]</f>
        <v>45908</v>
      </c>
      <c r="B391" s="42">
        <f>原始数据!G391/(原始数据!G$2/100)</f>
        <v>450</v>
      </c>
      <c r="C391" s="42">
        <f>原始数据!J391/(原始数据!J$2/100)</f>
        <v>328.28673770794791</v>
      </c>
    </row>
    <row r="392" spans="1:3" ht="18" customHeight="1" x14ac:dyDescent="0.3">
      <c r="A392" s="41">
        <f>表1[[#This Row],[订单日期]]</f>
        <v>45908</v>
      </c>
      <c r="B392" s="42">
        <f>原始数据!G392/(原始数据!G$2/100)</f>
        <v>450</v>
      </c>
      <c r="C392" s="42">
        <f>原始数据!J392/(原始数据!J$2/100)</f>
        <v>147.87900475317556</v>
      </c>
    </row>
    <row r="393" spans="1:3" ht="18" customHeight="1" x14ac:dyDescent="0.3">
      <c r="A393" s="41">
        <f>表1[[#This Row],[订单日期]]</f>
        <v>45908</v>
      </c>
      <c r="B393" s="42">
        <f>原始数据!G393/(原始数据!G$2/100)</f>
        <v>500</v>
      </c>
      <c r="C393" s="42">
        <f>原始数据!J393/(原始数据!J$2/100)</f>
        <v>255.37457791597194</v>
      </c>
    </row>
    <row r="394" spans="1:3" ht="18" customHeight="1" x14ac:dyDescent="0.3">
      <c r="A394" s="41">
        <f>表1[[#This Row],[订单日期]]</f>
        <v>45908</v>
      </c>
      <c r="B394" s="42">
        <f>原始数据!G394/(原始数据!G$2/100)</f>
        <v>500</v>
      </c>
      <c r="C394" s="42">
        <f>原始数据!J394/(原始数据!J$2/100)</f>
        <v>287.50999137690945</v>
      </c>
    </row>
    <row r="395" spans="1:3" ht="18" customHeight="1" x14ac:dyDescent="0.3">
      <c r="A395" s="41">
        <f>表1[[#This Row],[订单日期]]</f>
        <v>45908</v>
      </c>
      <c r="B395" s="42">
        <f>原始数据!G395/(原始数据!G$2/100)</f>
        <v>500</v>
      </c>
      <c r="C395" s="42">
        <f>原始数据!J395/(原始数据!J$2/100)</f>
        <v>100.90296976236185</v>
      </c>
    </row>
    <row r="396" spans="1:3" ht="18" customHeight="1" x14ac:dyDescent="0.3">
      <c r="A396" s="41">
        <f>表1[[#This Row],[订单日期]]</f>
        <v>45908</v>
      </c>
      <c r="B396" s="42">
        <f>原始数据!G396/(原始数据!G$2/100)</f>
        <v>500</v>
      </c>
      <c r="C396" s="42">
        <f>原始数据!J396/(原始数据!J$2/100)</f>
        <v>551.02038175659732</v>
      </c>
    </row>
    <row r="397" spans="1:3" ht="18" customHeight="1" x14ac:dyDescent="0.3">
      <c r="A397" s="41">
        <f>表1[[#This Row],[订单日期]]</f>
        <v>45908</v>
      </c>
      <c r="B397" s="42">
        <f>原始数据!G397/(原始数据!G$2/100)</f>
        <v>500</v>
      </c>
      <c r="C397" s="42">
        <f>原始数据!J397/(原始数据!J$2/100)</f>
        <v>71.316227024188322</v>
      </c>
    </row>
    <row r="398" spans="1:3" ht="18" customHeight="1" x14ac:dyDescent="0.3">
      <c r="A398" s="41">
        <f>表1[[#This Row],[订单日期]]</f>
        <v>45908</v>
      </c>
      <c r="B398" s="42">
        <f>原始数据!G398/(原始数据!G$2/100)</f>
        <v>500</v>
      </c>
      <c r="C398" s="42">
        <f>原始数据!J398/(原始数据!J$2/100)</f>
        <v>252.3826601109881</v>
      </c>
    </row>
    <row r="399" spans="1:3" ht="18" customHeight="1" x14ac:dyDescent="0.3">
      <c r="A399" s="41">
        <f>表1[[#This Row],[订单日期]]</f>
        <v>45908</v>
      </c>
      <c r="B399" s="42">
        <f>原始数据!G399/(原始数据!G$2/100)</f>
        <v>500</v>
      </c>
      <c r="C399" s="42">
        <f>原始数据!J399/(原始数据!J$2/100)</f>
        <v>158.63590222149446</v>
      </c>
    </row>
    <row r="400" spans="1:3" ht="18" customHeight="1" x14ac:dyDescent="0.3">
      <c r="A400" s="41">
        <f>表1[[#This Row],[订单日期]]</f>
        <v>45908</v>
      </c>
      <c r="B400" s="42">
        <f>原始数据!G400/(原始数据!G$2/100)</f>
        <v>500</v>
      </c>
      <c r="C400" s="42">
        <f>原始数据!J400/(原始数据!J$2/100)</f>
        <v>434.11396382111758</v>
      </c>
    </row>
    <row r="401" spans="1:3" ht="18" customHeight="1" x14ac:dyDescent="0.3">
      <c r="A401" s="41">
        <f>表1[[#This Row],[订单日期]]</f>
        <v>45908</v>
      </c>
      <c r="B401" s="42">
        <f>原始数据!G401/(原始数据!G$2/100)</f>
        <v>500</v>
      </c>
      <c r="C401" s="42">
        <f>原始数据!J401/(原始数据!J$2/100)</f>
        <v>85.389321884667865</v>
      </c>
    </row>
    <row r="402" spans="1:3" ht="18" customHeight="1" x14ac:dyDescent="0.3">
      <c r="A402" s="41">
        <f>表1[[#This Row],[订单日期]]</f>
        <v>45908</v>
      </c>
      <c r="B402" s="42">
        <f>原始数据!G402/(原始数据!G$2/100)</f>
        <v>550</v>
      </c>
      <c r="C402" s="42">
        <f>原始数据!J402/(原始数据!J$2/100)</f>
        <v>491.14377510339784</v>
      </c>
    </row>
    <row r="403" spans="1:3" ht="18" customHeight="1" x14ac:dyDescent="0.3">
      <c r="A403" s="41">
        <f>表1[[#This Row],[订单日期]]</f>
        <v>45908</v>
      </c>
      <c r="B403" s="42">
        <f>原始数据!G403/(原始数据!G$2/100)</f>
        <v>550</v>
      </c>
      <c r="C403" s="42">
        <f>原始数据!J403/(原始数据!J$2/100)</f>
        <v>495.50828565713692</v>
      </c>
    </row>
    <row r="404" spans="1:3" ht="18" customHeight="1" x14ac:dyDescent="0.3">
      <c r="A404" s="41">
        <f>表1[[#This Row],[订单日期]]</f>
        <v>45908</v>
      </c>
      <c r="B404" s="42">
        <f>原始数据!G404/(原始数据!G$2/100)</f>
        <v>550</v>
      </c>
      <c r="C404" s="42">
        <f>原始数据!J404/(原始数据!J$2/100)</f>
        <v>494.46812822004659</v>
      </c>
    </row>
    <row r="405" spans="1:3" ht="18" customHeight="1" x14ac:dyDescent="0.3">
      <c r="A405" s="41">
        <f>表1[[#This Row],[订单日期]]</f>
        <v>45908</v>
      </c>
      <c r="B405" s="42">
        <f>原始数据!G405/(原始数据!G$2/100)</f>
        <v>550</v>
      </c>
      <c r="C405" s="42">
        <f>原始数据!J405/(原始数据!J$2/100)</f>
        <v>453.06737753458839</v>
      </c>
    </row>
    <row r="406" spans="1:3" ht="18" customHeight="1" x14ac:dyDescent="0.3">
      <c r="A406" s="41">
        <f>表1[[#This Row],[订单日期]]</f>
        <v>45908</v>
      </c>
      <c r="B406" s="42">
        <f>原始数据!G406/(原始数据!G$2/100)</f>
        <v>550</v>
      </c>
      <c r="C406" s="42">
        <f>原始数据!J406/(原始数据!J$2/100)</f>
        <v>512.30882327939469</v>
      </c>
    </row>
    <row r="407" spans="1:3" ht="18" customHeight="1" x14ac:dyDescent="0.3">
      <c r="A407" s="41">
        <f>表1[[#This Row],[订单日期]]</f>
        <v>45908</v>
      </c>
      <c r="B407" s="42">
        <f>原始数据!G407/(原始数据!G$2/100)</f>
        <v>550</v>
      </c>
      <c r="C407" s="42">
        <f>原始数据!J407/(原始数据!J$2/100)</f>
        <v>220.36265936917866</v>
      </c>
    </row>
    <row r="408" spans="1:3" ht="18" customHeight="1" x14ac:dyDescent="0.3">
      <c r="A408" s="41">
        <f>表1[[#This Row],[订单日期]]</f>
        <v>45908</v>
      </c>
      <c r="B408" s="42">
        <f>原始数据!G408/(原始数据!G$2/100)</f>
        <v>550</v>
      </c>
      <c r="C408" s="42">
        <f>原始数据!J408/(原始数据!J$2/100)</f>
        <v>457.12456154302606</v>
      </c>
    </row>
    <row r="409" spans="1:3" ht="18" customHeight="1" x14ac:dyDescent="0.3">
      <c r="A409" s="41">
        <f>表1[[#This Row],[订单日期]]</f>
        <v>45908</v>
      </c>
      <c r="B409" s="42">
        <f>原始数据!G409/(原始数据!G$2/100)</f>
        <v>550</v>
      </c>
      <c r="C409" s="42">
        <f>原始数据!J409/(原始数据!J$2/100)</f>
        <v>210.94365887200732</v>
      </c>
    </row>
    <row r="410" spans="1:3" ht="18" customHeight="1" x14ac:dyDescent="0.3">
      <c r="A410" s="41">
        <f>表1[[#This Row],[订单日期]]</f>
        <v>45908</v>
      </c>
      <c r="B410" s="42">
        <f>原始数据!G410/(原始数据!G$2/100)</f>
        <v>550</v>
      </c>
      <c r="C410" s="42">
        <f>原始数据!J410/(原始数据!J$2/100)</f>
        <v>174.11129954566582</v>
      </c>
    </row>
    <row r="411" spans="1:3" ht="18" customHeight="1" x14ac:dyDescent="0.3">
      <c r="A411" s="41">
        <f>表1[[#This Row],[订单日期]]</f>
        <v>45908</v>
      </c>
      <c r="B411" s="42">
        <f>原始数据!G411/(原始数据!G$2/100)</f>
        <v>550</v>
      </c>
      <c r="C411" s="42">
        <f>原始数据!J411/(原始数据!J$2/100)</f>
        <v>509.8030040587264</v>
      </c>
    </row>
    <row r="412" spans="1:3" ht="18" customHeight="1" x14ac:dyDescent="0.3">
      <c r="A412" s="41">
        <f>表1[[#This Row],[订单日期]]</f>
        <v>45908</v>
      </c>
      <c r="B412" s="42">
        <f>原始数据!G412/(原始数据!G$2/100)</f>
        <v>550</v>
      </c>
      <c r="C412" s="42">
        <f>原始数据!J412/(原始数据!J$2/100)</f>
        <v>291.35015279281038</v>
      </c>
    </row>
    <row r="413" spans="1:3" ht="18" customHeight="1" x14ac:dyDescent="0.3">
      <c r="A413" s="41">
        <f>表1[[#This Row],[订单日期]]</f>
        <v>45908</v>
      </c>
      <c r="B413" s="42">
        <f>原始数据!G413/(原始数据!G$2/100)</f>
        <v>550</v>
      </c>
      <c r="C413" s="42">
        <f>原始数据!J413/(原始数据!J$2/100)</f>
        <v>222.80051832138773</v>
      </c>
    </row>
    <row r="414" spans="1:3" ht="18" customHeight="1" x14ac:dyDescent="0.3">
      <c r="A414" s="41">
        <f>表1[[#This Row],[订单日期]]</f>
        <v>45908</v>
      </c>
      <c r="B414" s="42">
        <f>原始数据!G414/(原始数据!G$2/100)</f>
        <v>550</v>
      </c>
      <c r="C414" s="42">
        <f>原始数据!J414/(原始数据!J$2/100)</f>
        <v>408.47819426939992</v>
      </c>
    </row>
    <row r="415" spans="1:3" ht="18" customHeight="1" x14ac:dyDescent="0.3">
      <c r="A415" s="41">
        <f>表1[[#This Row],[订单日期]]</f>
        <v>45908</v>
      </c>
      <c r="B415" s="42">
        <f>原始数据!G415/(原始数据!G$2/100)</f>
        <v>550</v>
      </c>
      <c r="C415" s="42">
        <f>原始数据!J415/(原始数据!J$2/100)</f>
        <v>91.488570213763651</v>
      </c>
    </row>
    <row r="416" spans="1:3" ht="18" customHeight="1" x14ac:dyDescent="0.3">
      <c r="A416" s="41">
        <f>表1[[#This Row],[订单日期]]</f>
        <v>45908</v>
      </c>
      <c r="B416" s="42">
        <f>原始数据!G416/(原始数据!G$2/100)</f>
        <v>550</v>
      </c>
      <c r="C416" s="42">
        <f>原始数据!J416/(原始数据!J$2/100)</f>
        <v>105.62962534270238</v>
      </c>
    </row>
    <row r="417" spans="1:3" ht="18" customHeight="1" x14ac:dyDescent="0.3">
      <c r="A417" s="41">
        <f>表1[[#This Row],[订单日期]]</f>
        <v>45908</v>
      </c>
      <c r="B417" s="42">
        <f>原始数据!G417/(原始数据!G$2/100)</f>
        <v>550</v>
      </c>
      <c r="C417" s="42">
        <f>原始数据!J417/(原始数据!J$2/100)</f>
        <v>507.58676864762725</v>
      </c>
    </row>
    <row r="418" spans="1:3" ht="18" customHeight="1" x14ac:dyDescent="0.3">
      <c r="A418" s="41">
        <f>表1[[#This Row],[订单日期]]</f>
        <v>45908</v>
      </c>
      <c r="B418" s="42">
        <f>原始数据!G418/(原始数据!G$2/100)</f>
        <v>550</v>
      </c>
      <c r="C418" s="42">
        <f>原始数据!J418/(原始数据!J$2/100)</f>
        <v>368.58595686961542</v>
      </c>
    </row>
    <row r="419" spans="1:3" ht="18" customHeight="1" x14ac:dyDescent="0.3">
      <c r="A419" s="41">
        <f>表1[[#This Row],[订单日期]]</f>
        <v>45908</v>
      </c>
      <c r="B419" s="42">
        <f>原始数据!G419/(原始数据!G$2/100)</f>
        <v>550</v>
      </c>
      <c r="C419" s="42">
        <f>原始数据!J419/(原始数据!J$2/100)</f>
        <v>106.22653569757293</v>
      </c>
    </row>
    <row r="420" spans="1:3" ht="18" customHeight="1" x14ac:dyDescent="0.3">
      <c r="A420" s="41">
        <f>表1[[#This Row],[订单日期]]</f>
        <v>45908</v>
      </c>
      <c r="B420" s="42">
        <f>原始数据!G420/(原始数据!G$2/100)</f>
        <v>600</v>
      </c>
      <c r="C420" s="42">
        <f>原始数据!J420/(原始数据!J$2/100)</f>
        <v>343.71227735923327</v>
      </c>
    </row>
    <row r="421" spans="1:3" ht="18" customHeight="1" x14ac:dyDescent="0.3">
      <c r="A421" s="41">
        <f>表1[[#This Row],[订单日期]]</f>
        <v>45908</v>
      </c>
      <c r="B421" s="42">
        <f>原始数据!G421/(原始数据!G$2/100)</f>
        <v>600</v>
      </c>
      <c r="C421" s="42">
        <f>原始数据!J421/(原始数据!J$2/100)</f>
        <v>488.21082616289726</v>
      </c>
    </row>
    <row r="422" spans="1:3" ht="18" customHeight="1" x14ac:dyDescent="0.3">
      <c r="A422" s="41">
        <f>表1[[#This Row],[订单日期]]</f>
        <v>45908</v>
      </c>
      <c r="B422" s="42">
        <f>原始数据!G422/(原始数据!G$2/100)</f>
        <v>600</v>
      </c>
      <c r="C422" s="42">
        <f>原始数据!J422/(原始数据!J$2/100)</f>
        <v>514.14078047275723</v>
      </c>
    </row>
    <row r="423" spans="1:3" ht="18" customHeight="1" x14ac:dyDescent="0.3">
      <c r="A423" s="41">
        <f>表1[[#This Row],[订单日期]]</f>
        <v>45908</v>
      </c>
      <c r="B423" s="42">
        <f>原始数据!G423/(原始数据!G$2/100)</f>
        <v>600</v>
      </c>
      <c r="C423" s="42">
        <f>原始数据!J423/(原始数据!J$2/100)</f>
        <v>250.74120186362435</v>
      </c>
    </row>
    <row r="424" spans="1:3" ht="18" customHeight="1" x14ac:dyDescent="0.3">
      <c r="A424" s="41">
        <f>表1[[#This Row],[订单日期]]</f>
        <v>45908</v>
      </c>
      <c r="B424" s="42">
        <f>原始数据!G424/(原始数据!G$2/100)</f>
        <v>600</v>
      </c>
      <c r="C424" s="42">
        <f>原始数据!J424/(原始数据!J$2/100)</f>
        <v>289.52532155785929</v>
      </c>
    </row>
    <row r="425" spans="1:3" ht="18" customHeight="1" x14ac:dyDescent="0.3">
      <c r="A425" s="41">
        <f>表1[[#This Row],[订单日期]]</f>
        <v>45908</v>
      </c>
      <c r="B425" s="42">
        <f>原始数据!G425/(原始数据!G$2/100)</f>
        <v>600</v>
      </c>
      <c r="C425" s="42">
        <f>原始数据!J425/(原始数据!J$2/100)</f>
        <v>437.23741170761701</v>
      </c>
    </row>
    <row r="426" spans="1:3" ht="18" customHeight="1" x14ac:dyDescent="0.3">
      <c r="A426" s="41">
        <f>表1[[#This Row],[订单日期]]</f>
        <v>45908</v>
      </c>
      <c r="B426" s="42">
        <f>原始数据!G426/(原始数据!G$2/100)</f>
        <v>600</v>
      </c>
      <c r="C426" s="42">
        <f>原始数据!J426/(原始数据!J$2/100)</f>
        <v>25.239248784286819</v>
      </c>
    </row>
    <row r="427" spans="1:3" ht="18" customHeight="1" x14ac:dyDescent="0.3">
      <c r="A427" s="41">
        <f>表1[[#This Row],[订单日期]]</f>
        <v>45908</v>
      </c>
      <c r="B427" s="42">
        <f>原始数据!G427/(原始数据!G$2/100)</f>
        <v>600</v>
      </c>
      <c r="C427" s="42">
        <f>原始数据!J427/(原始数据!J$2/100)</f>
        <v>298.6118867433658</v>
      </c>
    </row>
    <row r="428" spans="1:3" ht="18" customHeight="1" x14ac:dyDescent="0.3">
      <c r="A428" s="41">
        <f>表1[[#This Row],[订单日期]]</f>
        <v>45908</v>
      </c>
      <c r="B428" s="42">
        <f>原始数据!G428/(原始数据!G$2/100)</f>
        <v>650</v>
      </c>
      <c r="C428" s="42">
        <f>原始数据!J428/(原始数据!J$2/100)</f>
        <v>120.56619984202975</v>
      </c>
    </row>
    <row r="429" spans="1:3" ht="18" customHeight="1" x14ac:dyDescent="0.3">
      <c r="A429" s="41">
        <f>表1[[#This Row],[订单日期]]</f>
        <v>45908</v>
      </c>
      <c r="B429" s="42">
        <f>原始数据!G429/(原始数据!G$2/100)</f>
        <v>650</v>
      </c>
      <c r="C429" s="42">
        <f>原始数据!J429/(原始数据!J$2/100)</f>
        <v>42.11146628912018</v>
      </c>
    </row>
    <row r="430" spans="1:3" ht="18" customHeight="1" x14ac:dyDescent="0.3">
      <c r="A430" s="41">
        <f>表1[[#This Row],[订单日期]]</f>
        <v>45908</v>
      </c>
      <c r="B430" s="42">
        <f>原始数据!G430/(原始数据!G$2/100)</f>
        <v>650</v>
      </c>
      <c r="C430" s="42">
        <f>原始数据!J430/(原始数据!J$2/100)</f>
        <v>435.16081644755275</v>
      </c>
    </row>
    <row r="431" spans="1:3" ht="18" customHeight="1" x14ac:dyDescent="0.3">
      <c r="A431" s="41">
        <f>表1[[#This Row],[订单日期]]</f>
        <v>45908</v>
      </c>
      <c r="B431" s="42">
        <f>原始数据!G431/(原始数据!G$2/100)</f>
        <v>650</v>
      </c>
      <c r="C431" s="42">
        <f>原始数据!J431/(原始数据!J$2/100)</f>
        <v>491.56400766002588</v>
      </c>
    </row>
    <row r="432" spans="1:3" ht="18" customHeight="1" x14ac:dyDescent="0.3">
      <c r="A432" s="41">
        <f>表1[[#This Row],[订单日期]]</f>
        <v>45908</v>
      </c>
      <c r="B432" s="42">
        <f>原始数据!G432/(原始数据!G$2/100)</f>
        <v>650</v>
      </c>
      <c r="C432" s="42">
        <f>原始数据!J432/(原始数据!J$2/100)</f>
        <v>85.549680346663337</v>
      </c>
    </row>
    <row r="433" spans="1:3" ht="18" customHeight="1" x14ac:dyDescent="0.3">
      <c r="A433" s="41">
        <f>表1[[#This Row],[订单日期]]</f>
        <v>45908</v>
      </c>
      <c r="B433" s="42">
        <f>原始数据!G433/(原始数据!G$2/100)</f>
        <v>650</v>
      </c>
      <c r="C433" s="42">
        <f>原始数据!J433/(原始数据!J$2/100)</f>
        <v>86.879421593322817</v>
      </c>
    </row>
    <row r="434" spans="1:3" ht="18" customHeight="1" x14ac:dyDescent="0.3">
      <c r="A434" s="41">
        <f>表1[[#This Row],[订单日期]]</f>
        <v>45908</v>
      </c>
      <c r="B434" s="42">
        <f>原始数据!G434/(原始数据!G$2/100)</f>
        <v>650</v>
      </c>
      <c r="C434" s="42">
        <f>原始数据!J434/(原始数据!J$2/100)</f>
        <v>198.91012162438437</v>
      </c>
    </row>
    <row r="435" spans="1:3" ht="18" customHeight="1" x14ac:dyDescent="0.3">
      <c r="A435" s="41">
        <f>表1[[#This Row],[订单日期]]</f>
        <v>45908</v>
      </c>
      <c r="B435" s="42">
        <f>原始数据!G435/(原始数据!G$2/100)</f>
        <v>650</v>
      </c>
      <c r="C435" s="42">
        <f>原始数据!J435/(原始数据!J$2/100)</f>
        <v>539.4346925397673</v>
      </c>
    </row>
    <row r="436" spans="1:3" ht="18" customHeight="1" x14ac:dyDescent="0.3">
      <c r="A436" s="41">
        <f>表1[[#This Row],[订单日期]]</f>
        <v>45908</v>
      </c>
      <c r="B436" s="42">
        <f>原始数据!G436/(原始数据!G$2/100)</f>
        <v>650</v>
      </c>
      <c r="C436" s="42">
        <f>原始数据!J436/(原始数据!J$2/100)</f>
        <v>295.20555023664201</v>
      </c>
    </row>
    <row r="437" spans="1:3" ht="18" customHeight="1" x14ac:dyDescent="0.3">
      <c r="A437" s="41">
        <f>表1[[#This Row],[订单日期]]</f>
        <v>45909</v>
      </c>
      <c r="B437" s="42">
        <f>原始数据!G437/(原始数据!G$2/100)</f>
        <v>50</v>
      </c>
      <c r="C437" s="42">
        <f>原始数据!J437/(原始数据!J$2/100)</f>
        <v>321.92549578429538</v>
      </c>
    </row>
    <row r="438" spans="1:3" ht="18" customHeight="1" x14ac:dyDescent="0.3">
      <c r="A438" s="41">
        <f>表1[[#This Row],[订单日期]]</f>
        <v>45909</v>
      </c>
      <c r="B438" s="42">
        <f>原始数据!G438/(原始数据!G$2/100)</f>
        <v>50</v>
      </c>
      <c r="C438" s="42">
        <f>原始数据!J438/(原始数据!J$2/100)</f>
        <v>222.74896113760886</v>
      </c>
    </row>
    <row r="439" spans="1:3" ht="18" customHeight="1" x14ac:dyDescent="0.3">
      <c r="A439" s="41">
        <f>表1[[#This Row],[订单日期]]</f>
        <v>45909</v>
      </c>
      <c r="B439" s="42">
        <f>原始数据!G439/(原始数据!G$2/100)</f>
        <v>50</v>
      </c>
      <c r="C439" s="42">
        <f>原始数据!J439/(原始数据!J$2/100)</f>
        <v>436.72649007923087</v>
      </c>
    </row>
    <row r="440" spans="1:3" ht="18" customHeight="1" x14ac:dyDescent="0.3">
      <c r="A440" s="41">
        <f>表1[[#This Row],[订单日期]]</f>
        <v>45909</v>
      </c>
      <c r="B440" s="42">
        <f>原始数据!G440/(原始数据!G$2/100)</f>
        <v>50</v>
      </c>
      <c r="C440" s="42">
        <f>原始数据!J440/(原始数据!J$2/100)</f>
        <v>384.20171083618123</v>
      </c>
    </row>
    <row r="441" spans="1:3" ht="18" customHeight="1" x14ac:dyDescent="0.3">
      <c r="A441" s="41">
        <f>表1[[#This Row],[订单日期]]</f>
        <v>45909</v>
      </c>
      <c r="B441" s="42">
        <f>原始数据!G441/(原始数据!G$2/100)</f>
        <v>50</v>
      </c>
      <c r="C441" s="42">
        <f>原始数据!J441/(原始数据!J$2/100)</f>
        <v>251.56002148189768</v>
      </c>
    </row>
    <row r="442" spans="1:3" ht="18" customHeight="1" x14ac:dyDescent="0.3">
      <c r="A442" s="41">
        <f>表1[[#This Row],[订单日期]]</f>
        <v>45909</v>
      </c>
      <c r="B442" s="42">
        <f>原始数据!G442/(原始数据!G$2/100)</f>
        <v>50</v>
      </c>
      <c r="C442" s="42">
        <f>原始数据!J442/(原始数据!J$2/100)</f>
        <v>160.91599316794282</v>
      </c>
    </row>
    <row r="443" spans="1:3" ht="18" customHeight="1" x14ac:dyDescent="0.3">
      <c r="A443" s="41">
        <f>表1[[#This Row],[订单日期]]</f>
        <v>45909</v>
      </c>
      <c r="B443" s="42">
        <f>原始数据!G443/(原始数据!G$2/100)</f>
        <v>50</v>
      </c>
      <c r="C443" s="42">
        <f>原始数据!J443/(原始数据!J$2/100)</f>
        <v>121.24537930926822</v>
      </c>
    </row>
    <row r="444" spans="1:3" ht="18" customHeight="1" x14ac:dyDescent="0.3">
      <c r="A444" s="41">
        <f>表1[[#This Row],[订单日期]]</f>
        <v>45909</v>
      </c>
      <c r="B444" s="42">
        <f>原始数据!G444/(原始数据!G$2/100)</f>
        <v>50</v>
      </c>
      <c r="C444" s="42">
        <f>原始数据!J444/(原始数据!J$2/100)</f>
        <v>407.69380619383213</v>
      </c>
    </row>
    <row r="445" spans="1:3" ht="18" customHeight="1" x14ac:dyDescent="0.3">
      <c r="A445" s="41">
        <f>表1[[#This Row],[订单日期]]</f>
        <v>45909</v>
      </c>
      <c r="B445" s="42">
        <f>原始数据!G445/(原始数据!G$2/100)</f>
        <v>50</v>
      </c>
      <c r="C445" s="42">
        <f>原始数据!J445/(原始数据!J$2/100)</f>
        <v>250.4519037763481</v>
      </c>
    </row>
    <row r="446" spans="1:3" ht="18" customHeight="1" x14ac:dyDescent="0.3">
      <c r="A446" s="41">
        <f>表1[[#This Row],[订单日期]]</f>
        <v>45909</v>
      </c>
      <c r="B446" s="42">
        <f>原始数据!G446/(原始数据!G$2/100)</f>
        <v>100</v>
      </c>
      <c r="C446" s="42">
        <f>原始数据!J446/(原始数据!J$2/100)</f>
        <v>257.9457240699623</v>
      </c>
    </row>
    <row r="447" spans="1:3" ht="18" customHeight="1" x14ac:dyDescent="0.3">
      <c r="A447" s="41">
        <f>表1[[#This Row],[订单日期]]</f>
        <v>45909</v>
      </c>
      <c r="B447" s="42">
        <f>原始数据!G447/(原始数据!G$2/100)</f>
        <v>100</v>
      </c>
      <c r="C447" s="42">
        <f>原始数据!J447/(原始数据!J$2/100)</f>
        <v>497.96401909199921</v>
      </c>
    </row>
    <row r="448" spans="1:3" ht="18" customHeight="1" x14ac:dyDescent="0.3">
      <c r="A448" s="41">
        <f>表1[[#This Row],[订单日期]]</f>
        <v>45909</v>
      </c>
      <c r="B448" s="42">
        <f>原始数据!G448/(原始数据!G$2/100)</f>
        <v>100</v>
      </c>
      <c r="C448" s="42">
        <f>原始数据!J448/(原始数据!J$2/100)</f>
        <v>115.44178713628753</v>
      </c>
    </row>
    <row r="449" spans="1:3" ht="18" customHeight="1" x14ac:dyDescent="0.3">
      <c r="A449" s="41">
        <f>表1[[#This Row],[订单日期]]</f>
        <v>45909</v>
      </c>
      <c r="B449" s="42">
        <f>原始数据!G449/(原始数据!G$2/100)</f>
        <v>100</v>
      </c>
      <c r="C449" s="42">
        <f>原始数据!J449/(原始数据!J$2/100)</f>
        <v>153.00697735441796</v>
      </c>
    </row>
    <row r="450" spans="1:3" ht="18" customHeight="1" x14ac:dyDescent="0.3">
      <c r="A450" s="41">
        <f>表1[[#This Row],[订单日期]]</f>
        <v>45909</v>
      </c>
      <c r="B450" s="42">
        <f>原始数据!G450/(原始数据!G$2/100)</f>
        <v>100</v>
      </c>
      <c r="C450" s="42">
        <f>原始数据!J450/(原始数据!J$2/100)</f>
        <v>391.47390758868551</v>
      </c>
    </row>
    <row r="451" spans="1:3" ht="18" customHeight="1" x14ac:dyDescent="0.3">
      <c r="A451" s="41">
        <f>表1[[#This Row],[订单日期]]</f>
        <v>45909</v>
      </c>
      <c r="B451" s="42">
        <f>原始数据!G451/(原始数据!G$2/100)</f>
        <v>100</v>
      </c>
      <c r="C451" s="42">
        <f>原始数据!J451/(原始数据!J$2/100)</f>
        <v>379.39542459819518</v>
      </c>
    </row>
    <row r="452" spans="1:3" ht="18" customHeight="1" x14ac:dyDescent="0.3">
      <c r="A452" s="41">
        <f>表1[[#This Row],[订单日期]]</f>
        <v>45909</v>
      </c>
      <c r="B452" s="42">
        <f>原始数据!G452/(原始数据!G$2/100)</f>
        <v>100</v>
      </c>
      <c r="C452" s="42">
        <f>原始数据!J452/(原始数据!J$2/100)</f>
        <v>280.21888995150863</v>
      </c>
    </row>
    <row r="453" spans="1:3" ht="18" customHeight="1" x14ac:dyDescent="0.3">
      <c r="A453" s="41">
        <f>表1[[#This Row],[订单日期]]</f>
        <v>45909</v>
      </c>
      <c r="B453" s="42">
        <f>原始数据!G453/(原始数据!G$2/100)</f>
        <v>100</v>
      </c>
      <c r="C453" s="42">
        <f>原始数据!J453/(原始数据!J$2/100)</f>
        <v>438.01485122176746</v>
      </c>
    </row>
    <row r="454" spans="1:3" ht="18" customHeight="1" x14ac:dyDescent="0.3">
      <c r="A454" s="41">
        <f>表1[[#This Row],[订单日期]]</f>
        <v>45909</v>
      </c>
      <c r="B454" s="42">
        <f>原始数据!G454/(原始数据!G$2/100)</f>
        <v>100</v>
      </c>
      <c r="C454" s="42">
        <f>原始数据!J454/(原始数据!J$2/100)</f>
        <v>193.67489714808718</v>
      </c>
    </row>
    <row r="455" spans="1:3" ht="18" customHeight="1" x14ac:dyDescent="0.3">
      <c r="A455" s="41">
        <f>表1[[#This Row],[订单日期]]</f>
        <v>45909</v>
      </c>
      <c r="B455" s="42">
        <f>原始数据!G455/(原始数据!G$2/100)</f>
        <v>100</v>
      </c>
      <c r="C455" s="42">
        <f>原始数据!J455/(原始数据!J$2/100)</f>
        <v>440.45271017397647</v>
      </c>
    </row>
    <row r="456" spans="1:3" ht="18" customHeight="1" x14ac:dyDescent="0.3">
      <c r="A456" s="41">
        <f>表1[[#This Row],[订单日期]]</f>
        <v>45909</v>
      </c>
      <c r="B456" s="42">
        <f>原始数据!G456/(原始数据!G$2/100)</f>
        <v>100</v>
      </c>
      <c r="C456" s="42">
        <f>原始数据!J456/(原始数据!J$2/100)</f>
        <v>551.92935135226321</v>
      </c>
    </row>
    <row r="457" spans="1:3" ht="18" customHeight="1" x14ac:dyDescent="0.3">
      <c r="A457" s="41">
        <f>表1[[#This Row],[订单日期]]</f>
        <v>45909</v>
      </c>
      <c r="B457" s="42">
        <f>原始数据!G457/(原始数据!G$2/100)</f>
        <v>100</v>
      </c>
      <c r="C457" s="42">
        <f>原始数据!J457/(原始数据!J$2/100)</f>
        <v>329.86256316012941</v>
      </c>
    </row>
    <row r="458" spans="1:3" ht="18" customHeight="1" x14ac:dyDescent="0.3">
      <c r="A458" s="41">
        <f>表1[[#This Row],[订单日期]]</f>
        <v>45909</v>
      </c>
      <c r="B458" s="42">
        <f>原始数据!G458/(原始数据!G$2/100)</f>
        <v>100</v>
      </c>
      <c r="C458" s="42">
        <f>原始数据!J458/(原始数据!J$2/100)</f>
        <v>11.27872281462793</v>
      </c>
    </row>
    <row r="459" spans="1:3" ht="18" customHeight="1" x14ac:dyDescent="0.3">
      <c r="A459" s="41">
        <f>表1[[#This Row],[订单日期]]</f>
        <v>45909</v>
      </c>
      <c r="B459" s="42">
        <f>原始数据!G459/(原始数据!G$2/100)</f>
        <v>100</v>
      </c>
      <c r="C459" s="42">
        <f>原始数据!J459/(原始数据!J$2/100)</f>
        <v>256.83760636441269</v>
      </c>
    </row>
    <row r="460" spans="1:3" ht="18" customHeight="1" x14ac:dyDescent="0.3">
      <c r="A460" s="41">
        <f>表1[[#This Row],[订单日期]]</f>
        <v>45909</v>
      </c>
      <c r="B460" s="42">
        <f>原始数据!G460/(原始数据!G$2/100)</f>
        <v>100</v>
      </c>
      <c r="C460" s="42">
        <f>原始数据!J460/(原始数据!J$2/100)</f>
        <v>529.98862078238176</v>
      </c>
    </row>
    <row r="461" spans="1:3" ht="18" customHeight="1" x14ac:dyDescent="0.3">
      <c r="A461" s="41">
        <f>表1[[#This Row],[订单日期]]</f>
        <v>45909</v>
      </c>
      <c r="B461" s="42">
        <f>原始数据!G461/(原始数据!G$2/100)</f>
        <v>100</v>
      </c>
      <c r="C461" s="42">
        <f>原始数据!J461/(原始数据!J$2/100)</f>
        <v>164.97464857435332</v>
      </c>
    </row>
    <row r="462" spans="1:3" ht="18" customHeight="1" x14ac:dyDescent="0.3">
      <c r="A462" s="41">
        <f>表1[[#This Row],[订单日期]]</f>
        <v>45909</v>
      </c>
      <c r="B462" s="42">
        <f>原始数据!G462/(原始数据!G$2/100)</f>
        <v>100</v>
      </c>
      <c r="C462" s="42">
        <f>原始数据!J462/(原始数据!J$2/100)</f>
        <v>387.48468384870705</v>
      </c>
    </row>
    <row r="463" spans="1:3" ht="18" customHeight="1" x14ac:dyDescent="0.3">
      <c r="A463" s="41">
        <f>表1[[#This Row],[订单日期]]</f>
        <v>45909</v>
      </c>
      <c r="B463" s="42">
        <f>原始数据!G463/(原始数据!G$2/100)</f>
        <v>100</v>
      </c>
      <c r="C463" s="42">
        <f>原始数据!J463/(原始数据!J$2/100)</f>
        <v>297.8379614697468</v>
      </c>
    </row>
    <row r="464" spans="1:3" ht="18" customHeight="1" x14ac:dyDescent="0.3">
      <c r="A464" s="41">
        <f>表1[[#This Row],[订单日期]]</f>
        <v>45909</v>
      </c>
      <c r="B464" s="42">
        <f>原始数据!G464/(原始数据!G$2/100)</f>
        <v>250</v>
      </c>
      <c r="C464" s="42">
        <f>原始数据!J464/(原始数据!J$2/100)</f>
        <v>57.856578722780185</v>
      </c>
    </row>
    <row r="465" spans="1:3" ht="18" customHeight="1" x14ac:dyDescent="0.3">
      <c r="A465" s="41">
        <f>表1[[#This Row],[订单日期]]</f>
        <v>45909</v>
      </c>
      <c r="B465" s="42">
        <f>原始数据!G465/(原始数据!G$2/100)</f>
        <v>250</v>
      </c>
      <c r="C465" s="42">
        <f>原始数据!J465/(原始数据!J$2/100)</f>
        <v>6.7458136438751302</v>
      </c>
    </row>
    <row r="466" spans="1:3" ht="18" customHeight="1" x14ac:dyDescent="0.3">
      <c r="A466" s="41">
        <f>表1[[#This Row],[订单日期]]</f>
        <v>45909</v>
      </c>
      <c r="B466" s="42">
        <f>原始数据!G466/(原始数据!G$2/100)</f>
        <v>250</v>
      </c>
      <c r="C466" s="42">
        <f>原始数据!J466/(原始数据!J$2/100)</f>
        <v>349.84559413509191</v>
      </c>
    </row>
    <row r="467" spans="1:3" ht="18" customHeight="1" x14ac:dyDescent="0.3">
      <c r="A467" s="41">
        <f>表1[[#This Row],[订单日期]]</f>
        <v>45909</v>
      </c>
      <c r="B467" s="42">
        <f>原始数据!G467/(原始数据!G$2/100)</f>
        <v>250</v>
      </c>
      <c r="C467" s="42">
        <f>原始数据!J467/(原始数据!J$2/100)</f>
        <v>12.840461024397767</v>
      </c>
    </row>
    <row r="468" spans="1:3" ht="18" customHeight="1" x14ac:dyDescent="0.3">
      <c r="A468" s="41">
        <f>表1[[#This Row],[订单日期]]</f>
        <v>45909</v>
      </c>
      <c r="B468" s="42">
        <f>原始数据!G468/(原始数据!G$2/100)</f>
        <v>250</v>
      </c>
      <c r="C468" s="42">
        <f>原始数据!J468/(原始数据!J$2/100)</f>
        <v>404.0325499364659</v>
      </c>
    </row>
    <row r="469" spans="1:3" ht="18" customHeight="1" x14ac:dyDescent="0.3">
      <c r="A469" s="41">
        <f>表1[[#This Row],[订单日期]]</f>
        <v>45909</v>
      </c>
      <c r="B469" s="42">
        <f>原始数据!G469/(原始数据!G$2/100)</f>
        <v>250</v>
      </c>
      <c r="C469" s="42">
        <f>原始数据!J469/(原始数据!J$2/100)</f>
        <v>377.74362146187121</v>
      </c>
    </row>
    <row r="470" spans="1:3" ht="18" customHeight="1" x14ac:dyDescent="0.3">
      <c r="A470" s="41">
        <f>表1[[#This Row],[订单日期]]</f>
        <v>45909</v>
      </c>
      <c r="B470" s="42">
        <f>原始数据!G470/(原始数据!G$2/100)</f>
        <v>250</v>
      </c>
      <c r="C470" s="42">
        <f>原始数据!J470/(原始数据!J$2/100)</f>
        <v>335.99412281572233</v>
      </c>
    </row>
    <row r="471" spans="1:3" ht="18" customHeight="1" x14ac:dyDescent="0.3">
      <c r="A471" s="41">
        <f>表1[[#This Row],[订单日期]]</f>
        <v>45909</v>
      </c>
      <c r="B471" s="42">
        <f>原始数据!G471/(原始数据!G$2/100)</f>
        <v>250</v>
      </c>
      <c r="C471" s="42">
        <f>原始数据!J471/(原始数据!J$2/100)</f>
        <v>347.15957278870309</v>
      </c>
    </row>
    <row r="472" spans="1:3" ht="18" customHeight="1" x14ac:dyDescent="0.3">
      <c r="A472" s="41">
        <f>表1[[#This Row],[订单日期]]</f>
        <v>45909</v>
      </c>
      <c r="B472" s="42">
        <f>原始数据!G472/(原始数据!G$2/100)</f>
        <v>250</v>
      </c>
      <c r="C472" s="42">
        <f>原始数据!J472/(原始数据!J$2/100)</f>
        <v>417.55158594417065</v>
      </c>
    </row>
    <row r="473" spans="1:3" ht="18" customHeight="1" x14ac:dyDescent="0.3">
      <c r="A473" s="41">
        <f>表1[[#This Row],[订单日期]]</f>
        <v>45909</v>
      </c>
      <c r="B473" s="42">
        <f>原始数据!G473/(原始数据!G$2/100)</f>
        <v>250</v>
      </c>
      <c r="C473" s="42">
        <f>原始数据!J473/(原始数据!J$2/100)</f>
        <v>345.0541491481589</v>
      </c>
    </row>
    <row r="474" spans="1:3" ht="18" customHeight="1" x14ac:dyDescent="0.3">
      <c r="A474" s="41">
        <f>表1[[#This Row],[订单日期]]</f>
        <v>45909</v>
      </c>
      <c r="B474" s="42">
        <f>原始数据!G474/(原始数据!G$2/100)</f>
        <v>250</v>
      </c>
      <c r="C474" s="42">
        <f>原始数据!J474/(原始数据!J$2/100)</f>
        <v>297.09919135093241</v>
      </c>
    </row>
    <row r="475" spans="1:3" ht="18" customHeight="1" x14ac:dyDescent="0.3">
      <c r="A475" s="41">
        <f>表1[[#This Row],[订单日期]]</f>
        <v>45909</v>
      </c>
      <c r="B475" s="42">
        <f>原始数据!G475/(原始数据!G$2/100)</f>
        <v>250</v>
      </c>
      <c r="C475" s="42">
        <f>原始数据!J475/(原始数据!J$2/100)</f>
        <v>455.20104907978617</v>
      </c>
    </row>
    <row r="476" spans="1:3" ht="18" customHeight="1" x14ac:dyDescent="0.3">
      <c r="A476" s="41">
        <f>表1[[#This Row],[订单日期]]</f>
        <v>45909</v>
      </c>
      <c r="B476" s="42">
        <f>原始数据!G476/(原始数据!G$2/100)</f>
        <v>250</v>
      </c>
      <c r="C476" s="42">
        <f>原始数据!J476/(原始数据!J$2/100)</f>
        <v>545.98242801736581</v>
      </c>
    </row>
    <row r="477" spans="1:3" ht="18" customHeight="1" x14ac:dyDescent="0.3">
      <c r="A477" s="41">
        <f>表1[[#This Row],[订单日期]]</f>
        <v>45909</v>
      </c>
      <c r="B477" s="42">
        <f>原始数据!G477/(原始数据!G$2/100)</f>
        <v>250</v>
      </c>
      <c r="C477" s="42">
        <f>原始数据!J477/(原始数据!J$2/100)</f>
        <v>537.20175929045433</v>
      </c>
    </row>
    <row r="478" spans="1:3" ht="18" customHeight="1" x14ac:dyDescent="0.3">
      <c r="A478" s="41">
        <f>表1[[#This Row],[订单日期]]</f>
        <v>45909</v>
      </c>
      <c r="B478" s="42">
        <f>原始数据!G478/(原始数据!G$2/100)</f>
        <v>250</v>
      </c>
      <c r="C478" s="42">
        <f>原始数据!J478/(原始数据!J$2/100)</f>
        <v>328.68054595909513</v>
      </c>
    </row>
    <row r="479" spans="1:3" ht="18" customHeight="1" x14ac:dyDescent="0.3">
      <c r="A479" s="41">
        <f>表1[[#This Row],[订单日期]]</f>
        <v>45909</v>
      </c>
      <c r="B479" s="42">
        <f>原始数据!G479/(原始数据!G$2/100)</f>
        <v>250</v>
      </c>
      <c r="C479" s="42">
        <f>原始数据!J479/(原始数据!J$2/100)</f>
        <v>313.58360631055115</v>
      </c>
    </row>
    <row r="480" spans="1:3" ht="18" customHeight="1" x14ac:dyDescent="0.3">
      <c r="A480" s="41">
        <f>表1[[#This Row],[订单日期]]</f>
        <v>45909</v>
      </c>
      <c r="B480" s="42">
        <f>原始数据!G480/(原始数据!G$2/100)</f>
        <v>250</v>
      </c>
      <c r="C480" s="42">
        <f>原始数据!J480/(原始数据!J$2/100)</f>
        <v>75.03240315879853</v>
      </c>
    </row>
    <row r="481" spans="1:3" ht="18" customHeight="1" x14ac:dyDescent="0.3">
      <c r="A481" s="41">
        <f>表1[[#This Row],[订单日期]]</f>
        <v>45909</v>
      </c>
      <c r="B481" s="42">
        <f>原始数据!G481/(原始数据!G$2/100)</f>
        <v>250</v>
      </c>
      <c r="C481" s="42">
        <f>原始数据!J481/(原始数据!J$2/100)</f>
        <v>97.168218416720066</v>
      </c>
    </row>
    <row r="482" spans="1:3" ht="18" customHeight="1" x14ac:dyDescent="0.3">
      <c r="A482" s="41">
        <f>表1[[#This Row],[订单日期]]</f>
        <v>45910</v>
      </c>
      <c r="B482" s="42">
        <f>原始数据!G482/(原始数据!G$2/100)</f>
        <v>400</v>
      </c>
      <c r="C482" s="42">
        <f>原始数据!J482/(原始数据!J$2/100)</f>
        <v>117.33220662936814</v>
      </c>
    </row>
    <row r="483" spans="1:3" ht="18" customHeight="1" x14ac:dyDescent="0.3">
      <c r="A483" s="41">
        <f>表1[[#This Row],[订单日期]]</f>
        <v>45910</v>
      </c>
      <c r="B483" s="42">
        <f>原始数据!G483/(原始数据!G$2/100)</f>
        <v>400</v>
      </c>
      <c r="C483" s="42">
        <f>原始数据!J483/(原始数据!J$2/100)</f>
        <v>388.04536209512816</v>
      </c>
    </row>
    <row r="484" spans="1:3" ht="18" customHeight="1" x14ac:dyDescent="0.3">
      <c r="A484" s="41">
        <f>表1[[#This Row],[订单日期]]</f>
        <v>45910</v>
      </c>
      <c r="B484" s="42">
        <f>原始数据!G484/(原始数据!G$2/100)</f>
        <v>400</v>
      </c>
      <c r="C484" s="42">
        <f>原始数据!J484/(原始数据!J$2/100)</f>
        <v>279.56063872182523</v>
      </c>
    </row>
    <row r="485" spans="1:3" ht="18" customHeight="1" x14ac:dyDescent="0.3">
      <c r="A485" s="41">
        <f>表1[[#This Row],[订单日期]]</f>
        <v>45910</v>
      </c>
      <c r="B485" s="42">
        <f>原始数据!G485/(原始数据!G$2/100)</f>
        <v>400</v>
      </c>
      <c r="C485" s="42">
        <f>原始数据!J485/(原始数据!J$2/100)</f>
        <v>293.63373358230479</v>
      </c>
    </row>
    <row r="486" spans="1:3" ht="18" customHeight="1" x14ac:dyDescent="0.3">
      <c r="A486" s="41">
        <f>表1[[#This Row],[订单日期]]</f>
        <v>45910</v>
      </c>
      <c r="B486" s="42">
        <f>原始数据!G486/(原始数据!G$2/100)</f>
        <v>400</v>
      </c>
      <c r="C486" s="42">
        <f>原始数据!J486/(原始数据!J$2/100)</f>
        <v>161.32447953968608</v>
      </c>
    </row>
    <row r="487" spans="1:3" ht="18" customHeight="1" x14ac:dyDescent="0.3">
      <c r="A487" s="41">
        <f>表1[[#This Row],[订单日期]]</f>
        <v>45910</v>
      </c>
      <c r="B487" s="42">
        <f>原始数据!G487/(原始数据!G$2/100)</f>
        <v>400</v>
      </c>
      <c r="C487" s="42">
        <f>原始数据!J487/(原始数据!J$2/100)</f>
        <v>516.80863947998819</v>
      </c>
    </row>
    <row r="488" spans="1:3" ht="18" customHeight="1" x14ac:dyDescent="0.3">
      <c r="A488" s="41">
        <f>表1[[#This Row],[订单日期]]</f>
        <v>45910</v>
      </c>
      <c r="B488" s="42">
        <f>原始数据!G488/(原始数据!G$2/100)</f>
        <v>400</v>
      </c>
      <c r="C488" s="42">
        <f>原始数据!J488/(原始数据!J$2/100)</f>
        <v>550.71704126980501</v>
      </c>
    </row>
    <row r="489" spans="1:3" ht="18" customHeight="1" x14ac:dyDescent="0.3">
      <c r="A489" s="41">
        <f>表1[[#This Row],[订单日期]]</f>
        <v>45910</v>
      </c>
      <c r="B489" s="42">
        <f>原始数据!G489/(原始数据!G$2/100)</f>
        <v>400</v>
      </c>
      <c r="C489" s="42">
        <f>原始数据!J489/(原始数据!J$2/100)</f>
        <v>314.68796998774661</v>
      </c>
    </row>
    <row r="490" spans="1:3" ht="18" customHeight="1" x14ac:dyDescent="0.3">
      <c r="A490" s="41">
        <f>表1[[#This Row],[订单日期]]</f>
        <v>45910</v>
      </c>
      <c r="B490" s="42">
        <f>原始数据!G490/(原始数据!G$2/100)</f>
        <v>400</v>
      </c>
      <c r="C490" s="42">
        <f>原始数据!J490/(原始数据!J$2/100)</f>
        <v>148.47031415531106</v>
      </c>
    </row>
    <row r="491" spans="1:3" ht="18" customHeight="1" x14ac:dyDescent="0.3">
      <c r="A491" s="41">
        <f>表1[[#This Row],[订单日期]]</f>
        <v>45910</v>
      </c>
      <c r="B491" s="42">
        <f>原始数据!G491/(原始数据!G$2/100)</f>
        <v>500</v>
      </c>
      <c r="C491" s="42">
        <f>原始数据!J491/(原始数据!J$2/100)</f>
        <v>300.8779387225681</v>
      </c>
    </row>
    <row r="492" spans="1:3" ht="18" customHeight="1" x14ac:dyDescent="0.3">
      <c r="A492" s="41">
        <f>表1[[#This Row],[订单日期]]</f>
        <v>45910</v>
      </c>
      <c r="B492" s="42">
        <f>原始数据!G492/(原始数据!G$2/100)</f>
        <v>500</v>
      </c>
      <c r="C492" s="42">
        <f>原始数据!J492/(原始数据!J$2/100)</f>
        <v>203.65805727194274</v>
      </c>
    </row>
    <row r="493" spans="1:3" ht="18" customHeight="1" x14ac:dyDescent="0.3">
      <c r="A493" s="41">
        <f>表1[[#This Row],[订单日期]]</f>
        <v>45910</v>
      </c>
      <c r="B493" s="42">
        <f>原始数据!G493/(原始数据!G$2/100)</f>
        <v>500</v>
      </c>
      <c r="C493" s="42">
        <f>原始数据!J493/(原始数据!J$2/100)</f>
        <v>102.74649297030496</v>
      </c>
    </row>
    <row r="494" spans="1:3" ht="18" customHeight="1" x14ac:dyDescent="0.3">
      <c r="A494" s="41">
        <f>表1[[#This Row],[订单日期]]</f>
        <v>45910</v>
      </c>
      <c r="B494" s="42">
        <f>原始数据!G494/(原始数据!G$2/100)</f>
        <v>500</v>
      </c>
      <c r="C494" s="42">
        <f>原始数据!J494/(原始数据!J$2/100)</f>
        <v>275.68570813266479</v>
      </c>
    </row>
    <row r="495" spans="1:3" ht="18" customHeight="1" x14ac:dyDescent="0.3">
      <c r="A495" s="41">
        <f>表1[[#This Row],[订单日期]]</f>
        <v>45910</v>
      </c>
      <c r="B495" s="42">
        <f>原始数据!G495/(原始数据!G$2/100)</f>
        <v>500</v>
      </c>
      <c r="C495" s="42">
        <f>原始数据!J495/(原始数据!J$2/100)</f>
        <v>20.413347447971894</v>
      </c>
    </row>
    <row r="496" spans="1:3" ht="18" customHeight="1" x14ac:dyDescent="0.3">
      <c r="A496" s="41">
        <f>表1[[#This Row],[订单日期]]</f>
        <v>45910</v>
      </c>
      <c r="B496" s="42">
        <f>原始数据!G496/(原始数据!G$2/100)</f>
        <v>500</v>
      </c>
      <c r="C496" s="42">
        <f>原始数据!J496/(原始数据!J$2/100)</f>
        <v>292.97234433923808</v>
      </c>
    </row>
    <row r="497" spans="1:3" ht="18" customHeight="1" x14ac:dyDescent="0.3">
      <c r="A497" s="41">
        <f>表1[[#This Row],[订单日期]]</f>
        <v>45910</v>
      </c>
      <c r="B497" s="42">
        <f>原始数据!G497/(原始数据!G$2/100)</f>
        <v>500</v>
      </c>
      <c r="C497" s="42">
        <f>原始数据!J497/(原始数据!J$2/100)</f>
        <v>119.14663501243859</v>
      </c>
    </row>
    <row r="498" spans="1:3" ht="18" customHeight="1" x14ac:dyDescent="0.3">
      <c r="A498" s="41">
        <f>表1[[#This Row],[订单日期]]</f>
        <v>45910</v>
      </c>
      <c r="B498" s="42">
        <f>原始数据!G498/(原始数据!G$2/100)</f>
        <v>500</v>
      </c>
      <c r="C498" s="42">
        <f>原始数据!J498/(原始数据!J$2/100)</f>
        <v>540.74746330012192</v>
      </c>
    </row>
    <row r="499" spans="1:3" ht="18" customHeight="1" x14ac:dyDescent="0.3">
      <c r="A499" s="41">
        <f>表1[[#This Row],[订单日期]]</f>
        <v>45910</v>
      </c>
      <c r="B499" s="42">
        <f>原始数据!G499/(原始数据!G$2/100)</f>
        <v>500</v>
      </c>
      <c r="C499" s="42">
        <f>原始数据!J499/(原始数据!J$2/100)</f>
        <v>327.80519896742265</v>
      </c>
    </row>
    <row r="500" spans="1:3" ht="18" customHeight="1" x14ac:dyDescent="0.3">
      <c r="A500" s="41">
        <f>表1[[#This Row],[订单日期]]</f>
        <v>45910</v>
      </c>
      <c r="B500" s="42">
        <f>原始数据!G500/(原始数据!G$2/100)</f>
        <v>500</v>
      </c>
      <c r="C500" s="42">
        <f>原始数据!J500/(原始数据!J$2/100)</f>
        <v>385.27854921151732</v>
      </c>
    </row>
    <row r="501" spans="1:3" ht="18" customHeight="1" x14ac:dyDescent="0.3">
      <c r="A501" s="41">
        <f>表1[[#This Row],[订单日期]]</f>
        <v>45910</v>
      </c>
      <c r="B501" s="42">
        <f>原始数据!G501/(原始数据!G$2/100)</f>
        <v>500</v>
      </c>
      <c r="C501" s="42">
        <f>原始数据!J501/(原始数据!J$2/100)</f>
        <v>176.1038850776865</v>
      </c>
    </row>
    <row r="502" spans="1:3" ht="18" customHeight="1" x14ac:dyDescent="0.3">
      <c r="A502" s="41">
        <f>表1[[#This Row],[订单日期]]</f>
        <v>45910</v>
      </c>
      <c r="B502" s="42">
        <f>原始数据!G502/(原始数据!G$2/100)</f>
        <v>500</v>
      </c>
      <c r="C502" s="42">
        <f>原始数据!J502/(原始数据!J$2/100)</f>
        <v>144.1521364839308</v>
      </c>
    </row>
    <row r="503" spans="1:3" ht="18" customHeight="1" x14ac:dyDescent="0.3">
      <c r="A503" s="41">
        <f>表1[[#This Row],[订单日期]]</f>
        <v>45910</v>
      </c>
      <c r="B503" s="42">
        <f>原始数据!G503/(原始数据!G$2/100)</f>
        <v>500</v>
      </c>
      <c r="C503" s="42">
        <f>原始数据!J503/(原始数据!J$2/100)</f>
        <v>37.035113031215445</v>
      </c>
    </row>
    <row r="504" spans="1:3" ht="18" customHeight="1" x14ac:dyDescent="0.3">
      <c r="A504" s="41">
        <f>表1[[#This Row],[订单日期]]</f>
        <v>45910</v>
      </c>
      <c r="B504" s="42">
        <f>原始数据!G504/(原始数据!G$2/100)</f>
        <v>500</v>
      </c>
      <c r="C504" s="42">
        <f>原始数据!J504/(原始数据!J$2/100)</f>
        <v>100.04905180305792</v>
      </c>
    </row>
    <row r="505" spans="1:3" ht="18" customHeight="1" x14ac:dyDescent="0.3">
      <c r="A505" s="41">
        <f>表1[[#This Row],[订单日期]]</f>
        <v>45910</v>
      </c>
      <c r="B505" s="42">
        <f>原始数据!G505/(原始数据!G$2/100)</f>
        <v>500</v>
      </c>
      <c r="C505" s="42">
        <f>原始数据!J505/(原始数据!J$2/100)</f>
        <v>441.27645201569868</v>
      </c>
    </row>
    <row r="506" spans="1:3" ht="18" customHeight="1" x14ac:dyDescent="0.3">
      <c r="A506" s="41">
        <f>表1[[#This Row],[订单日期]]</f>
        <v>45910</v>
      </c>
      <c r="B506" s="42">
        <f>原始数据!G506/(原始数据!G$2/100)</f>
        <v>500</v>
      </c>
      <c r="C506" s="42">
        <f>原始数据!J506/(原始数据!J$2/100)</f>
        <v>116.56000561574652</v>
      </c>
    </row>
    <row r="507" spans="1:3" ht="18" customHeight="1" x14ac:dyDescent="0.3">
      <c r="A507" s="41">
        <f>表1[[#This Row],[订单日期]]</f>
        <v>45910</v>
      </c>
      <c r="B507" s="42">
        <f>原始数据!G507/(原始数据!G$2/100)</f>
        <v>500</v>
      </c>
      <c r="C507" s="42">
        <f>原始数据!J507/(原始数据!J$2/100)</f>
        <v>158.37400178889339</v>
      </c>
    </row>
    <row r="508" spans="1:3" ht="18" customHeight="1" x14ac:dyDescent="0.3">
      <c r="A508" s="41">
        <f>表1[[#This Row],[订单日期]]</f>
        <v>45910</v>
      </c>
      <c r="B508" s="42">
        <f>原始数据!G508/(原始数据!G$2/100)</f>
        <v>500</v>
      </c>
      <c r="C508" s="42">
        <f>原始数据!J508/(原始数据!J$2/100)</f>
        <v>114.12214666353746</v>
      </c>
    </row>
    <row r="509" spans="1:3" ht="18" customHeight="1" x14ac:dyDescent="0.3">
      <c r="A509" s="41">
        <f>表1[[#This Row],[订单日期]]</f>
        <v>45910</v>
      </c>
      <c r="B509" s="42">
        <f>原始数据!G509/(原始数据!G$2/100)</f>
        <v>950</v>
      </c>
      <c r="C509" s="42">
        <f>原始数据!J509/(原始数据!J$2/100)</f>
        <v>11.370411612440726</v>
      </c>
    </row>
    <row r="510" spans="1:3" ht="18" customHeight="1" x14ac:dyDescent="0.3">
      <c r="A510" s="41">
        <f>表1[[#This Row],[订单日期]]</f>
        <v>45910</v>
      </c>
      <c r="B510" s="42">
        <f>原始数据!G510/(原始数据!G$2/100)</f>
        <v>950</v>
      </c>
      <c r="C510" s="42">
        <f>原始数据!J510/(原始数据!J$2/100)</f>
        <v>8.2676820369019293</v>
      </c>
    </row>
    <row r="511" spans="1:3" ht="18" customHeight="1" x14ac:dyDescent="0.3">
      <c r="A511" s="41">
        <f>表1[[#This Row],[订单日期]]</f>
        <v>45910</v>
      </c>
      <c r="B511" s="42">
        <f>原始数据!G511/(原始数据!G$2/100)</f>
        <v>950</v>
      </c>
      <c r="C511" s="42">
        <f>原始数据!J511/(原始数据!J$2/100)</f>
        <v>422.48208037133128</v>
      </c>
    </row>
    <row r="512" spans="1:3" ht="18" customHeight="1" x14ac:dyDescent="0.3">
      <c r="A512" s="41">
        <f>表1[[#This Row],[订单日期]]</f>
        <v>45910</v>
      </c>
      <c r="B512" s="42">
        <f>原始数据!G512/(原始数据!G$2/100)</f>
        <v>950</v>
      </c>
      <c r="C512" s="42">
        <f>原始数据!J512/(原始数据!J$2/100)</f>
        <v>497.05840195481733</v>
      </c>
    </row>
    <row r="513" spans="1:3" ht="18" customHeight="1" x14ac:dyDescent="0.3">
      <c r="A513" s="41">
        <f>表1[[#This Row],[订单日期]]</f>
        <v>45910</v>
      </c>
      <c r="B513" s="42">
        <f>原始数据!G513/(原始数据!G$2/100)</f>
        <v>950</v>
      </c>
      <c r="C513" s="42">
        <f>原始数据!J513/(原始数据!J$2/100)</f>
        <v>64.560061478820103</v>
      </c>
    </row>
    <row r="514" spans="1:3" ht="18" customHeight="1" x14ac:dyDescent="0.3">
      <c r="A514" s="41">
        <f>表1[[#This Row],[订单日期]]</f>
        <v>45910</v>
      </c>
      <c r="B514" s="42">
        <f>原始数据!G514/(原始数据!G$2/100)</f>
        <v>950</v>
      </c>
      <c r="C514" s="42">
        <f>原始数据!J514/(原始数据!J$2/100)</f>
        <v>332.39211091015119</v>
      </c>
    </row>
    <row r="515" spans="1:3" ht="18" customHeight="1" x14ac:dyDescent="0.3">
      <c r="A515" s="41">
        <f>表1[[#This Row],[订单日期]]</f>
        <v>45910</v>
      </c>
      <c r="B515" s="42">
        <f>原始数据!G515/(原始数据!G$2/100)</f>
        <v>950</v>
      </c>
      <c r="C515" s="42">
        <f>原始数据!J515/(原始数据!J$2/100)</f>
        <v>212.60458694024268</v>
      </c>
    </row>
    <row r="516" spans="1:3" ht="18" customHeight="1" x14ac:dyDescent="0.3">
      <c r="A516" s="41">
        <f>表1[[#This Row],[订单日期]]</f>
        <v>45910</v>
      </c>
      <c r="B516" s="42">
        <f>原始数据!G516/(原始数据!G$2/100)</f>
        <v>950</v>
      </c>
      <c r="C516" s="42">
        <f>原始数据!J516/(原始数据!J$2/100)</f>
        <v>362.53291250109953</v>
      </c>
    </row>
    <row r="517" spans="1:3" ht="18" customHeight="1" x14ac:dyDescent="0.3">
      <c r="A517" s="41">
        <f>表1[[#This Row],[订单日期]]</f>
        <v>45910</v>
      </c>
      <c r="B517" s="42">
        <f>原始数据!G517/(原始数据!G$2/100)</f>
        <v>950</v>
      </c>
      <c r="C517" s="42">
        <f>原始数据!J517/(原始数据!J$2/100)</f>
        <v>155.97977218665963</v>
      </c>
    </row>
    <row r="518" spans="1:3" ht="18" customHeight="1" x14ac:dyDescent="0.3">
      <c r="A518" s="41">
        <f>表1[[#This Row],[订单日期]]</f>
        <v>45911</v>
      </c>
      <c r="B518" s="42">
        <f>原始数据!G518/(原始数据!G$2/100)</f>
        <v>200</v>
      </c>
      <c r="C518" s="42">
        <f>原始数据!J518/(原始数据!J$2/100)</f>
        <v>446.88484719598324</v>
      </c>
    </row>
    <row r="519" spans="1:3" ht="18" customHeight="1" x14ac:dyDescent="0.3">
      <c r="A519" s="41">
        <f>表1[[#This Row],[订单日期]]</f>
        <v>45911</v>
      </c>
      <c r="B519" s="42">
        <f>原始数据!G519/(原始数据!G$2/100)</f>
        <v>200</v>
      </c>
      <c r="C519" s="42">
        <f>原始数据!J519/(原始数据!J$2/100)</f>
        <v>155.22826709533638</v>
      </c>
    </row>
    <row r="520" spans="1:3" ht="18" customHeight="1" x14ac:dyDescent="0.3">
      <c r="A520" s="41">
        <f>表1[[#This Row],[订单日期]]</f>
        <v>45911</v>
      </c>
      <c r="B520" s="42">
        <f>原始数据!G520/(原始数据!G$2/100)</f>
        <v>200</v>
      </c>
      <c r="C520" s="42">
        <f>原始数据!J520/(原始数据!J$2/100)</f>
        <v>392.80870316516422</v>
      </c>
    </row>
    <row r="521" spans="1:3" ht="18" customHeight="1" x14ac:dyDescent="0.3">
      <c r="A521" s="41">
        <f>表1[[#This Row],[订单日期]]</f>
        <v>45911</v>
      </c>
      <c r="B521" s="42">
        <f>原始数据!G521/(原始数据!G$2/100)</f>
        <v>200</v>
      </c>
      <c r="C521" s="42">
        <f>原始数据!J521/(原始数据!J$2/100)</f>
        <v>202.3232695811931</v>
      </c>
    </row>
    <row r="522" spans="1:3" ht="18" customHeight="1" x14ac:dyDescent="0.3">
      <c r="A522" s="41">
        <f>表1[[#This Row],[订单日期]]</f>
        <v>45911</v>
      </c>
      <c r="B522" s="42">
        <f>原始数据!G522/(原始数据!G$2/100)</f>
        <v>200</v>
      </c>
      <c r="C522" s="42">
        <f>原始数据!J522/(原始数据!J$2/100)</f>
        <v>271.02656732526646</v>
      </c>
    </row>
    <row r="523" spans="1:3" ht="18" customHeight="1" x14ac:dyDescent="0.3">
      <c r="A523" s="41">
        <f>表1[[#This Row],[订单日期]]</f>
        <v>45911</v>
      </c>
      <c r="B523" s="42">
        <f>原始数据!G523/(原始数据!G$2/100)</f>
        <v>200</v>
      </c>
      <c r="C523" s="42">
        <f>原始数据!J523/(原始数据!J$2/100)</f>
        <v>120.98742999385466</v>
      </c>
    </row>
    <row r="524" spans="1:3" ht="18" customHeight="1" x14ac:dyDescent="0.3">
      <c r="A524" s="41">
        <f>表1[[#This Row],[订单日期]]</f>
        <v>45911</v>
      </c>
      <c r="B524" s="42">
        <f>原始数据!G524/(原始数据!G$2/100)</f>
        <v>200</v>
      </c>
      <c r="C524" s="42">
        <f>原始数据!J524/(原始数据!J$2/100)</f>
        <v>430.92795223606947</v>
      </c>
    </row>
    <row r="525" spans="1:3" ht="18" customHeight="1" x14ac:dyDescent="0.3">
      <c r="A525" s="41">
        <f>表1[[#This Row],[订单日期]]</f>
        <v>45911</v>
      </c>
      <c r="B525" s="42">
        <f>原始数据!G525/(原始数据!G$2/100)</f>
        <v>200</v>
      </c>
      <c r="C525" s="42">
        <f>原始数据!J525/(原始数据!J$2/100)</f>
        <v>279.44826188744321</v>
      </c>
    </row>
    <row r="526" spans="1:3" ht="18" customHeight="1" x14ac:dyDescent="0.3">
      <c r="A526" s="41">
        <f>表1[[#This Row],[订单日期]]</f>
        <v>45911</v>
      </c>
      <c r="B526" s="42">
        <f>原始数据!G526/(原始数据!G$2/100)</f>
        <v>300</v>
      </c>
      <c r="C526" s="42">
        <f>原始数据!J526/(原始数据!J$2/100)</f>
        <v>283.57055553697444</v>
      </c>
    </row>
    <row r="527" spans="1:3" ht="18" customHeight="1" x14ac:dyDescent="0.3">
      <c r="A527" s="41">
        <f>表1[[#This Row],[订单日期]]</f>
        <v>45911</v>
      </c>
      <c r="B527" s="42">
        <f>原始数据!G527/(原始数据!G$2/100)</f>
        <v>300</v>
      </c>
      <c r="C527" s="42">
        <f>原始数据!J527/(原始数据!J$2/100)</f>
        <v>504.86166133522352</v>
      </c>
    </row>
    <row r="528" spans="1:3" ht="18" customHeight="1" x14ac:dyDescent="0.3">
      <c r="A528" s="41">
        <f>表1[[#This Row],[订单日期]]</f>
        <v>45911</v>
      </c>
      <c r="B528" s="42">
        <f>原始数据!G528/(原始数据!G$2/100)</f>
        <v>300</v>
      </c>
      <c r="C528" s="42">
        <f>原始数据!J528/(原始数据!J$2/100)</f>
        <v>95.079733822992537</v>
      </c>
    </row>
    <row r="529" spans="1:3" ht="18" customHeight="1" x14ac:dyDescent="0.3">
      <c r="A529" s="41">
        <f>表1[[#This Row],[订单日期]]</f>
        <v>45911</v>
      </c>
      <c r="B529" s="42">
        <f>原始数据!G529/(原始数据!G$2/100)</f>
        <v>300</v>
      </c>
      <c r="C529" s="42">
        <f>原始数据!J529/(原始数据!J$2/100)</f>
        <v>374.21458385092927</v>
      </c>
    </row>
    <row r="530" spans="1:3" ht="18" customHeight="1" x14ac:dyDescent="0.3">
      <c r="A530" s="41">
        <f>表1[[#This Row],[订单日期]]</f>
        <v>45911</v>
      </c>
      <c r="B530" s="42">
        <f>原始数据!G530/(原始数据!G$2/100)</f>
        <v>300</v>
      </c>
      <c r="C530" s="42">
        <f>原始数据!J530/(原始数据!J$2/100)</f>
        <v>346.40082944163504</v>
      </c>
    </row>
    <row r="531" spans="1:3" ht="18" customHeight="1" x14ac:dyDescent="0.3">
      <c r="A531" s="41">
        <f>表1[[#This Row],[订单日期]]</f>
        <v>45911</v>
      </c>
      <c r="B531" s="42">
        <f>原始数据!G531/(原始数据!G$2/100)</f>
        <v>300</v>
      </c>
      <c r="C531" s="42">
        <f>原始数据!J531/(原始数据!J$2/100)</f>
        <v>134.63953591111218</v>
      </c>
    </row>
    <row r="532" spans="1:3" ht="18" customHeight="1" x14ac:dyDescent="0.3">
      <c r="A532" s="41">
        <f>表1[[#This Row],[订单日期]]</f>
        <v>45911</v>
      </c>
      <c r="B532" s="42">
        <f>原始数据!G532/(原始数据!G$2/100)</f>
        <v>300</v>
      </c>
      <c r="C532" s="42">
        <f>原始数据!J532/(原始数据!J$2/100)</f>
        <v>23.052082962270468</v>
      </c>
    </row>
    <row r="533" spans="1:3" ht="18" customHeight="1" x14ac:dyDescent="0.3">
      <c r="A533" s="41">
        <f>表1[[#This Row],[订单日期]]</f>
        <v>45911</v>
      </c>
      <c r="B533" s="42">
        <f>原始数据!G533/(原始数据!G$2/100)</f>
        <v>300</v>
      </c>
      <c r="C533" s="42">
        <f>原始数据!J533/(原始数据!J$2/100)</f>
        <v>495.88590792027202</v>
      </c>
    </row>
    <row r="534" spans="1:3" ht="18" customHeight="1" x14ac:dyDescent="0.3">
      <c r="A534" s="41">
        <f>表1[[#This Row],[订单日期]]</f>
        <v>45911</v>
      </c>
      <c r="B534" s="42">
        <f>原始数据!G534/(原始数据!G$2/100)</f>
        <v>300</v>
      </c>
      <c r="C534" s="42">
        <f>原始数据!J534/(原始数据!J$2/100)</f>
        <v>482.92093076534206</v>
      </c>
    </row>
    <row r="535" spans="1:3" ht="18" customHeight="1" x14ac:dyDescent="0.3">
      <c r="A535" s="41">
        <f>表1[[#This Row],[订单日期]]</f>
        <v>45911</v>
      </c>
      <c r="B535" s="42">
        <f>原始数据!G535/(原始数据!G$2/100)</f>
        <v>350</v>
      </c>
      <c r="C535" s="42">
        <f>原始数据!J535/(原始数据!J$2/100)</f>
        <v>283.46028880769626</v>
      </c>
    </row>
    <row r="536" spans="1:3" ht="18" customHeight="1" x14ac:dyDescent="0.3">
      <c r="A536" s="41">
        <f>表1[[#This Row],[订单日期]]</f>
        <v>45911</v>
      </c>
      <c r="B536" s="42">
        <f>原始数据!G536/(原始数据!G$2/100)</f>
        <v>350</v>
      </c>
      <c r="C536" s="42">
        <f>原始数据!J536/(原始数据!J$2/100)</f>
        <v>49.86907647784686</v>
      </c>
    </row>
    <row r="537" spans="1:3" ht="18" customHeight="1" x14ac:dyDescent="0.3">
      <c r="A537" s="41">
        <f>表1[[#This Row],[订单日期]]</f>
        <v>45911</v>
      </c>
      <c r="B537" s="42">
        <f>原始数据!G537/(原始数据!G$2/100)</f>
        <v>350</v>
      </c>
      <c r="C537" s="42">
        <f>原始数据!J537/(原始数据!J$2/100)</f>
        <v>117.79669182803552</v>
      </c>
    </row>
    <row r="538" spans="1:3" ht="18" customHeight="1" x14ac:dyDescent="0.3">
      <c r="A538" s="41">
        <f>表1[[#This Row],[订单日期]]</f>
        <v>45911</v>
      </c>
      <c r="B538" s="42">
        <f>原始数据!G538/(原始数据!G$2/100)</f>
        <v>350</v>
      </c>
      <c r="C538" s="42">
        <f>原始数据!J538/(原始数据!J$2/100)</f>
        <v>212.09750857030394</v>
      </c>
    </row>
    <row r="539" spans="1:3" ht="18" customHeight="1" x14ac:dyDescent="0.3">
      <c r="A539" s="41">
        <f>表1[[#This Row],[订单日期]]</f>
        <v>45911</v>
      </c>
      <c r="B539" s="42">
        <f>原始数据!G539/(原始数据!G$2/100)</f>
        <v>350</v>
      </c>
      <c r="C539" s="42">
        <f>原始数据!J539/(原始数据!J$2/100)</f>
        <v>418.76146065529878</v>
      </c>
    </row>
    <row r="540" spans="1:3" ht="18" customHeight="1" x14ac:dyDescent="0.3">
      <c r="A540" s="41">
        <f>表1[[#This Row],[订单日期]]</f>
        <v>45911</v>
      </c>
      <c r="B540" s="42">
        <f>原始数据!G540/(原始数据!G$2/100)</f>
        <v>350</v>
      </c>
      <c r="C540" s="42">
        <f>原始数据!J540/(原始数据!J$2/100)</f>
        <v>220.51920313248067</v>
      </c>
    </row>
    <row r="541" spans="1:3" ht="18" customHeight="1" x14ac:dyDescent="0.3">
      <c r="A541" s="41">
        <f>表1[[#This Row],[订单日期]]</f>
        <v>45911</v>
      </c>
      <c r="B541" s="42">
        <f>原始数据!G541/(原始数据!G$2/100)</f>
        <v>350</v>
      </c>
      <c r="C541" s="42">
        <f>原始数据!J541/(原始数据!J$2/100)</f>
        <v>343.74189198959289</v>
      </c>
    </row>
    <row r="542" spans="1:3" ht="18" customHeight="1" x14ac:dyDescent="0.3">
      <c r="A542" s="41">
        <f>表1[[#This Row],[订单日期]]</f>
        <v>45911</v>
      </c>
      <c r="B542" s="42">
        <f>原始数据!G542/(原始数据!G$2/100)</f>
        <v>350</v>
      </c>
      <c r="C542" s="42">
        <f>原始数据!J542/(原始数据!J$2/100)</f>
        <v>439.8156970607406</v>
      </c>
    </row>
    <row r="543" spans="1:3" ht="18" customHeight="1" x14ac:dyDescent="0.3">
      <c r="A543" s="41">
        <f>表1[[#This Row],[订单日期]]</f>
        <v>45911</v>
      </c>
      <c r="B543" s="42">
        <f>原始数据!G543/(原始数据!G$2/100)</f>
        <v>350</v>
      </c>
      <c r="C543" s="42">
        <f>原始数据!J543/(原始数据!J$2/100)</f>
        <v>410.56138963423194</v>
      </c>
    </row>
    <row r="544" spans="1:3" ht="18" customHeight="1" x14ac:dyDescent="0.3">
      <c r="A544" s="41">
        <f>表1[[#This Row],[订单日期]]</f>
        <v>45911</v>
      </c>
      <c r="B544" s="42">
        <f>原始数据!G544/(原始数据!G$2/100)</f>
        <v>450</v>
      </c>
      <c r="C544" s="42">
        <f>原始数据!J544/(原始数据!J$2/100)</f>
        <v>164.42185106051056</v>
      </c>
    </row>
    <row r="545" spans="1:3" ht="18" customHeight="1" x14ac:dyDescent="0.3">
      <c r="A545" s="41">
        <f>表1[[#This Row],[订单日期]]</f>
        <v>45911</v>
      </c>
      <c r="B545" s="42">
        <f>原始数据!G545/(原始数据!G$2/100)</f>
        <v>450</v>
      </c>
      <c r="C545" s="42">
        <f>原始数据!J545/(原始数据!J$2/100)</f>
        <v>195.00589973367872</v>
      </c>
    </row>
    <row r="546" spans="1:3" ht="18" customHeight="1" x14ac:dyDescent="0.3">
      <c r="A546" s="41">
        <f>表1[[#This Row],[订单日期]]</f>
        <v>45911</v>
      </c>
      <c r="B546" s="42">
        <f>原始数据!G546/(原始数据!G$2/100)</f>
        <v>450</v>
      </c>
      <c r="C546" s="42">
        <f>原始数据!J546/(原始数据!J$2/100)</f>
        <v>293.40675198648051</v>
      </c>
    </row>
    <row r="547" spans="1:3" ht="18" customHeight="1" x14ac:dyDescent="0.3">
      <c r="A547" s="41">
        <f>表1[[#This Row],[订单日期]]</f>
        <v>45911</v>
      </c>
      <c r="B547" s="42">
        <f>原始数据!G547/(原始数据!G$2/100)</f>
        <v>450</v>
      </c>
      <c r="C547" s="42">
        <f>原始数据!J547/(原始数据!J$2/100)</f>
        <v>183.924722678183</v>
      </c>
    </row>
    <row r="548" spans="1:3" ht="18" customHeight="1" x14ac:dyDescent="0.3">
      <c r="A548" s="41">
        <f>表1[[#This Row],[订单日期]]</f>
        <v>45911</v>
      </c>
      <c r="B548" s="42">
        <f>原始数据!G548/(原始数据!G$2/100)</f>
        <v>450</v>
      </c>
      <c r="C548" s="42">
        <f>原始数据!J548/(原始数据!J$2/100)</f>
        <v>533.20342346740745</v>
      </c>
    </row>
    <row r="549" spans="1:3" ht="18" customHeight="1" x14ac:dyDescent="0.3">
      <c r="A549" s="41">
        <f>表1[[#This Row],[订单日期]]</f>
        <v>45911</v>
      </c>
      <c r="B549" s="42">
        <f>原始数据!G549/(原始数据!G$2/100)</f>
        <v>450</v>
      </c>
      <c r="C549" s="42">
        <f>原始数据!J549/(原始数据!J$2/100)</f>
        <v>253.62532635725097</v>
      </c>
    </row>
    <row r="550" spans="1:3" ht="18" customHeight="1" x14ac:dyDescent="0.3">
      <c r="A550" s="41">
        <f>表1[[#This Row],[订单日期]]</f>
        <v>45911</v>
      </c>
      <c r="B550" s="42">
        <f>原始数据!G550/(原始数据!G$2/100)</f>
        <v>450</v>
      </c>
      <c r="C550" s="42">
        <f>原始数据!J550/(原始数据!J$2/100)</f>
        <v>39.536985645074004</v>
      </c>
    </row>
    <row r="551" spans="1:3" ht="18" customHeight="1" x14ac:dyDescent="0.3">
      <c r="A551" s="41">
        <f>表1[[#This Row],[订单日期]]</f>
        <v>45911</v>
      </c>
      <c r="B551" s="42">
        <f>原始数据!G551/(原始数据!G$2/100)</f>
        <v>450</v>
      </c>
      <c r="C551" s="42">
        <f>原始数据!J551/(原始数据!J$2/100)</f>
        <v>16.377325599087985</v>
      </c>
    </row>
    <row r="552" spans="1:3" ht="18" customHeight="1" x14ac:dyDescent="0.3">
      <c r="A552" s="41">
        <f>表1[[#This Row],[订单日期]]</f>
        <v>45911</v>
      </c>
      <c r="B552" s="42">
        <f>原始数据!G552/(原始数据!G$2/100)</f>
        <v>450</v>
      </c>
      <c r="C552" s="42">
        <f>原始数据!J552/(原始数据!J$2/100)</f>
        <v>490.09764472152921</v>
      </c>
    </row>
    <row r="553" spans="1:3" ht="18" customHeight="1" x14ac:dyDescent="0.3">
      <c r="A553" s="41">
        <f>表1[[#This Row],[订单日期]]</f>
        <v>45911</v>
      </c>
      <c r="B553" s="42">
        <f>原始数据!G553/(原始数据!G$2/100)</f>
        <v>550</v>
      </c>
      <c r="C553" s="42">
        <f>原始数据!J553/(原始数据!J$2/100)</f>
        <v>539.81355681624893</v>
      </c>
    </row>
    <row r="554" spans="1:3" ht="18" customHeight="1" x14ac:dyDescent="0.3">
      <c r="A554" s="41">
        <f>表1[[#This Row],[订单日期]]</f>
        <v>45911</v>
      </c>
      <c r="B554" s="42">
        <f>原始数据!G554/(原始数据!G$2/100)</f>
        <v>550</v>
      </c>
      <c r="C554" s="42">
        <f>原始数据!J554/(原始数据!J$2/100)</f>
        <v>58.225601984405728</v>
      </c>
    </row>
    <row r="555" spans="1:3" ht="18" customHeight="1" x14ac:dyDescent="0.3">
      <c r="A555" s="41">
        <f>表1[[#This Row],[订单日期]]</f>
        <v>45911</v>
      </c>
      <c r="B555" s="42">
        <f>原始数据!G555/(原始数据!G$2/100)</f>
        <v>550</v>
      </c>
      <c r="C555" s="42">
        <f>原始数据!J555/(原始数据!J$2/100)</f>
        <v>507.78895512586638</v>
      </c>
    </row>
    <row r="556" spans="1:3" ht="18" customHeight="1" x14ac:dyDescent="0.3">
      <c r="A556" s="41">
        <f>表1[[#This Row],[订单日期]]</f>
        <v>45911</v>
      </c>
      <c r="B556" s="42">
        <f>原始数据!G556/(原始数据!G$2/100)</f>
        <v>550</v>
      </c>
      <c r="C556" s="42">
        <f>原始数据!J556/(原始数据!J$2/100)</f>
        <v>74.071685173764578</v>
      </c>
    </row>
    <row r="557" spans="1:3" ht="18" customHeight="1" x14ac:dyDescent="0.3">
      <c r="A557" s="41">
        <f>表1[[#This Row],[订单日期]]</f>
        <v>45911</v>
      </c>
      <c r="B557" s="42">
        <f>原始数据!G557/(原始数据!G$2/100)</f>
        <v>550</v>
      </c>
      <c r="C557" s="42">
        <f>原始数据!J557/(原始数据!J$2/100)</f>
        <v>459.69664670501498</v>
      </c>
    </row>
    <row r="558" spans="1:3" ht="18" customHeight="1" x14ac:dyDescent="0.3">
      <c r="A558" s="41">
        <f>表1[[#This Row],[订单日期]]</f>
        <v>45911</v>
      </c>
      <c r="B558" s="42">
        <f>原始数据!G558/(原始数据!G$2/100)</f>
        <v>550</v>
      </c>
      <c r="C558" s="42">
        <f>原始数据!J558/(原始数据!J$2/100)</f>
        <v>443.96137528621114</v>
      </c>
    </row>
    <row r="559" spans="1:3" ht="18" customHeight="1" x14ac:dyDescent="0.3">
      <c r="A559" s="41">
        <f>表1[[#This Row],[订单日期]]</f>
        <v>45911</v>
      </c>
      <c r="B559" s="42">
        <f>原始数据!G559/(原始数据!G$2/100)</f>
        <v>550</v>
      </c>
      <c r="C559" s="42">
        <f>原始数据!J559/(原始数据!J$2/100)</f>
        <v>226.77030499849536</v>
      </c>
    </row>
    <row r="560" spans="1:3" ht="18" customHeight="1" x14ac:dyDescent="0.3">
      <c r="A560" s="41">
        <f>表1[[#This Row],[订单日期]]</f>
        <v>45911</v>
      </c>
      <c r="B560" s="42">
        <f>原始数据!G560/(原始数据!G$2/100)</f>
        <v>550</v>
      </c>
      <c r="C560" s="42">
        <f>原始数据!J560/(原始数据!J$2/100)</f>
        <v>141.33442990062349</v>
      </c>
    </row>
    <row r="561" spans="1:3" ht="18" customHeight="1" x14ac:dyDescent="0.3">
      <c r="A561" s="41">
        <f>表1[[#This Row],[订单日期]]</f>
        <v>45911</v>
      </c>
      <c r="B561" s="42">
        <f>原始数据!G561/(原始数据!G$2/100)</f>
        <v>550</v>
      </c>
      <c r="C561" s="42">
        <f>原始数据!J561/(原始数据!J$2/100)</f>
        <v>104.54492207637776</v>
      </c>
    </row>
    <row r="562" spans="1:3" ht="18" customHeight="1" x14ac:dyDescent="0.3">
      <c r="A562" s="41">
        <f>表1[[#This Row],[订单日期]]</f>
        <v>45911</v>
      </c>
      <c r="B562" s="42">
        <f>原始数据!G562/(原始数据!G$2/100)</f>
        <v>700</v>
      </c>
      <c r="C562" s="42">
        <f>原始数据!J562/(原始数据!J$2/100)</f>
        <v>268.69124271267452</v>
      </c>
    </row>
    <row r="563" spans="1:3" ht="18" customHeight="1" x14ac:dyDescent="0.3">
      <c r="A563" s="41">
        <f>表1[[#This Row],[订单日期]]</f>
        <v>45911</v>
      </c>
      <c r="B563" s="42">
        <f>原始数据!G563/(原始数据!G$2/100)</f>
        <v>700</v>
      </c>
      <c r="C563" s="42">
        <f>原始数据!J563/(原始数据!J$2/100)</f>
        <v>156.21729559939311</v>
      </c>
    </row>
    <row r="564" spans="1:3" ht="18" customHeight="1" x14ac:dyDescent="0.3">
      <c r="A564" s="41">
        <f>表1[[#This Row],[订单日期]]</f>
        <v>45911</v>
      </c>
      <c r="B564" s="42">
        <f>原始数据!G564/(原始数据!G$2/100)</f>
        <v>700</v>
      </c>
      <c r="C564" s="42">
        <f>原始数据!J564/(原始数据!J$2/100)</f>
        <v>527.65835049960913</v>
      </c>
    </row>
    <row r="565" spans="1:3" ht="18" customHeight="1" x14ac:dyDescent="0.3">
      <c r="A565" s="41">
        <f>表1[[#This Row],[订单日期]]</f>
        <v>45911</v>
      </c>
      <c r="B565" s="42">
        <f>原始数据!G565/(原始数据!G$2/100)</f>
        <v>700</v>
      </c>
      <c r="C565" s="42">
        <f>原始数据!J565/(原始数据!J$2/100)</f>
        <v>18.589076570136498</v>
      </c>
    </row>
    <row r="566" spans="1:3" ht="18" customHeight="1" x14ac:dyDescent="0.3">
      <c r="A566" s="41">
        <f>表1[[#This Row],[订单日期]]</f>
        <v>45911</v>
      </c>
      <c r="B566" s="42">
        <f>原始数据!G566/(原始数据!G$2/100)</f>
        <v>700</v>
      </c>
      <c r="C566" s="42">
        <f>原始数据!J566/(原始数据!J$2/100)</f>
        <v>85.076138903110703</v>
      </c>
    </row>
    <row r="567" spans="1:3" ht="18" customHeight="1" x14ac:dyDescent="0.3">
      <c r="A567" s="41">
        <f>表1[[#This Row],[订单日期]]</f>
        <v>45911</v>
      </c>
      <c r="B567" s="42">
        <f>原始数据!G567/(原始数据!G$2/100)</f>
        <v>700</v>
      </c>
      <c r="C567" s="42">
        <f>原始数据!J567/(原始数据!J$2/100)</f>
        <v>181.26075574481339</v>
      </c>
    </row>
    <row r="568" spans="1:3" ht="18" customHeight="1" x14ac:dyDescent="0.3">
      <c r="A568" s="41">
        <f>表1[[#This Row],[订单日期]]</f>
        <v>45911</v>
      </c>
      <c r="B568" s="42">
        <f>原始数据!G568/(原始数据!G$2/100)</f>
        <v>700</v>
      </c>
      <c r="C568" s="42">
        <f>原始数据!J568/(原始数据!J$2/100)</f>
        <v>198.43658018083175</v>
      </c>
    </row>
    <row r="569" spans="1:3" ht="18" customHeight="1" x14ac:dyDescent="0.3">
      <c r="A569" s="41">
        <f>表1[[#This Row],[订单日期]]</f>
        <v>45911</v>
      </c>
      <c r="B569" s="42">
        <f>原始数据!G569/(原始数据!G$2/100)</f>
        <v>700</v>
      </c>
      <c r="C569" s="42">
        <f>原始数据!J569/(原始数据!J$2/100)</f>
        <v>239.43693528616586</v>
      </c>
    </row>
    <row r="570" spans="1:3" ht="18" customHeight="1" x14ac:dyDescent="0.3">
      <c r="A570" s="41">
        <f>表1[[#This Row],[订单日期]]</f>
        <v>45911</v>
      </c>
      <c r="B570" s="42">
        <f>原始数据!G570/(原始数据!G$2/100)</f>
        <v>700</v>
      </c>
      <c r="C570" s="42">
        <f>原始数据!J570/(原始数据!J$2/100)</f>
        <v>474.02545355100989</v>
      </c>
    </row>
    <row r="571" spans="1:3" ht="18" customHeight="1" x14ac:dyDescent="0.3">
      <c r="A571" s="41">
        <f>表1[[#This Row],[订单日期]]</f>
        <v>45911</v>
      </c>
      <c r="B571" s="42">
        <f>原始数据!G571/(原始数据!G$2/100)</f>
        <v>800</v>
      </c>
      <c r="C571" s="42">
        <f>原始数据!J571/(原始数据!J$2/100)</f>
        <v>493.97003862881104</v>
      </c>
    </row>
    <row r="572" spans="1:3" ht="18" customHeight="1" x14ac:dyDescent="0.3">
      <c r="A572" s="41">
        <f>表1[[#This Row],[订单日期]]</f>
        <v>45911</v>
      </c>
      <c r="B572" s="42">
        <f>原始数据!G572/(原始数据!G$2/100)</f>
        <v>800</v>
      </c>
      <c r="C572" s="42">
        <f>原始数据!J572/(原始数据!J$2/100)</f>
        <v>377.72849131666112</v>
      </c>
    </row>
    <row r="573" spans="1:3" ht="18" customHeight="1" x14ac:dyDescent="0.3">
      <c r="A573" s="41">
        <f>表1[[#This Row],[订单日期]]</f>
        <v>45911</v>
      </c>
      <c r="B573" s="42">
        <f>原始数据!G573/(原始数据!G$2/100)</f>
        <v>800</v>
      </c>
      <c r="C573" s="42">
        <f>原始数据!J573/(原始数据!J$2/100)</f>
        <v>298.38726359931189</v>
      </c>
    </row>
    <row r="574" spans="1:3" ht="18" customHeight="1" x14ac:dyDescent="0.3">
      <c r="A574" s="41">
        <f>表1[[#This Row],[订单日期]]</f>
        <v>45911</v>
      </c>
      <c r="B574" s="42">
        <f>原始数据!G574/(原始数据!G$2/100)</f>
        <v>800</v>
      </c>
      <c r="C574" s="42">
        <f>原始数据!J574/(原始数据!J$2/100)</f>
        <v>207.29998820313719</v>
      </c>
    </row>
    <row r="575" spans="1:3" ht="18" customHeight="1" x14ac:dyDescent="0.3">
      <c r="A575" s="41">
        <f>表1[[#This Row],[订单日期]]</f>
        <v>45911</v>
      </c>
      <c r="B575" s="42">
        <f>原始数据!G575/(原始数据!G$2/100)</f>
        <v>800</v>
      </c>
      <c r="C575" s="42">
        <f>原始数据!J575/(原始数据!J$2/100)</f>
        <v>100.25581784704872</v>
      </c>
    </row>
    <row r="576" spans="1:3" ht="18" customHeight="1" x14ac:dyDescent="0.3">
      <c r="A576" s="41">
        <f>表1[[#This Row],[订单日期]]</f>
        <v>45911</v>
      </c>
      <c r="B576" s="42">
        <f>原始数据!G576/(原始数据!G$2/100)</f>
        <v>800</v>
      </c>
      <c r="C576" s="42">
        <f>原始数据!J576/(原始数据!J$2/100)</f>
        <v>468.26170786006099</v>
      </c>
    </row>
    <row r="577" spans="1:3" ht="18" customHeight="1" x14ac:dyDescent="0.3">
      <c r="A577" s="41">
        <f>表1[[#This Row],[订单日期]]</f>
        <v>45911</v>
      </c>
      <c r="B577" s="42">
        <f>原始数据!G577/(原始数据!G$2/100)</f>
        <v>800</v>
      </c>
      <c r="C577" s="42">
        <f>原始数据!J577/(原始数据!J$2/100)</f>
        <v>115.21540687196791</v>
      </c>
    </row>
    <row r="578" spans="1:3" ht="18" customHeight="1" x14ac:dyDescent="0.3">
      <c r="A578" s="41">
        <f>表1[[#This Row],[订单日期]]</f>
        <v>45911</v>
      </c>
      <c r="B578" s="42">
        <f>原始数据!G578/(原始数据!G$2/100)</f>
        <v>800</v>
      </c>
      <c r="C578" s="42">
        <f>原始数据!J578/(原始数据!J$2/100)</f>
        <v>427.48297629583681</v>
      </c>
    </row>
    <row r="579" spans="1:3" ht="18" customHeight="1" x14ac:dyDescent="0.3">
      <c r="A579" s="41">
        <f>表1[[#This Row],[订单日期]]</f>
        <v>45911</v>
      </c>
      <c r="B579" s="42">
        <f>原始数据!G579/(原始数据!G$2/100)</f>
        <v>850</v>
      </c>
      <c r="C579" s="42">
        <f>原始数据!J579/(原始数据!J$2/100)</f>
        <v>85.486871870226878</v>
      </c>
    </row>
    <row r="580" spans="1:3" ht="18" customHeight="1" x14ac:dyDescent="0.3">
      <c r="A580" s="41">
        <f>表1[[#This Row],[订单日期]]</f>
        <v>45911</v>
      </c>
      <c r="B580" s="42">
        <f>原始数据!G580/(原始数据!G$2/100)</f>
        <v>850</v>
      </c>
      <c r="C580" s="42">
        <f>原始数据!J580/(原始数据!J$2/100)</f>
        <v>144.99279265823881</v>
      </c>
    </row>
    <row r="581" spans="1:3" ht="18" customHeight="1" x14ac:dyDescent="0.3">
      <c r="A581" s="41">
        <f>表1[[#This Row],[订单日期]]</f>
        <v>45911</v>
      </c>
      <c r="B581" s="42">
        <f>原始数据!G581/(原始数据!G$2/100)</f>
        <v>850</v>
      </c>
      <c r="C581" s="42">
        <f>原始数据!J581/(原始数据!J$2/100)</f>
        <v>175.1335942491871</v>
      </c>
    </row>
    <row r="582" spans="1:3" ht="18" customHeight="1" x14ac:dyDescent="0.3">
      <c r="A582" s="41">
        <f>表1[[#This Row],[订单日期]]</f>
        <v>45911</v>
      </c>
      <c r="B582" s="42">
        <f>原始数据!G582/(原始数据!G$2/100)</f>
        <v>850</v>
      </c>
      <c r="C582" s="42">
        <f>原始数据!J582/(原始数据!J$2/100)</f>
        <v>334.0376732249955</v>
      </c>
    </row>
    <row r="583" spans="1:3" ht="18" customHeight="1" x14ac:dyDescent="0.3">
      <c r="A583" s="41">
        <f>表1[[#This Row],[订单日期]]</f>
        <v>45911</v>
      </c>
      <c r="B583" s="42">
        <f>原始数据!G583/(原始数据!G$2/100)</f>
        <v>850</v>
      </c>
      <c r="C583" s="42">
        <f>原始数据!J583/(原始数据!J$2/100)</f>
        <v>211.92310207343283</v>
      </c>
    </row>
    <row r="584" spans="1:3" ht="18" customHeight="1" x14ac:dyDescent="0.3">
      <c r="A584" s="41">
        <f>表1[[#This Row],[订单日期]]</f>
        <v>45911</v>
      </c>
      <c r="B584" s="42">
        <f>原始数据!G584/(原始数据!G$2/100)</f>
        <v>850</v>
      </c>
      <c r="C584" s="42">
        <f>原始数据!J584/(原始数据!J$2/100)</f>
        <v>301.56982445239305</v>
      </c>
    </row>
    <row r="585" spans="1:3" ht="18" customHeight="1" x14ac:dyDescent="0.3">
      <c r="A585" s="41">
        <f>表1[[#This Row],[订单日期]]</f>
        <v>45911</v>
      </c>
      <c r="B585" s="42">
        <f>原始数据!G585/(原始数据!G$2/100)</f>
        <v>850</v>
      </c>
      <c r="C585" s="42">
        <f>原始数据!J585/(原始数据!J$2/100)</f>
        <v>470.77939808981245</v>
      </c>
    </row>
    <row r="586" spans="1:3" ht="18" customHeight="1" x14ac:dyDescent="0.3">
      <c r="A586" s="41">
        <f>表1[[#This Row],[订单日期]]</f>
        <v>45911</v>
      </c>
      <c r="B586" s="42">
        <f>原始数据!G586/(原始数据!G$2/100)</f>
        <v>850</v>
      </c>
      <c r="C586" s="42">
        <f>原始数据!J586/(原始数据!J$2/100)</f>
        <v>364.28928658649875</v>
      </c>
    </row>
    <row r="587" spans="1:3" ht="18" customHeight="1" x14ac:dyDescent="0.3">
      <c r="A587" s="41">
        <f>表1[[#This Row],[订单日期]]</f>
        <v>45911</v>
      </c>
      <c r="B587" s="42">
        <f>原始数据!G587/(原始数据!G$2/100)</f>
        <v>850</v>
      </c>
      <c r="C587" s="42">
        <f>原始数据!J587/(原始数据!J$2/100)</f>
        <v>529.62044825449459</v>
      </c>
    </row>
    <row r="588" spans="1:3" ht="18" customHeight="1" x14ac:dyDescent="0.3">
      <c r="A588" s="41">
        <f>表1[[#This Row],[订单日期]]</f>
        <v>45911</v>
      </c>
      <c r="B588" s="42">
        <f>原始数据!G588/(原始数据!G$2/100)</f>
        <v>1000</v>
      </c>
      <c r="C588" s="42">
        <f>原始数据!J588/(原始数据!J$2/100)</f>
        <v>440.49641091232758</v>
      </c>
    </row>
    <row r="589" spans="1:3" ht="18" customHeight="1" x14ac:dyDescent="0.3">
      <c r="A589" s="41">
        <f>表1[[#This Row],[订单日期]]</f>
        <v>45911</v>
      </c>
      <c r="B589" s="42">
        <f>原始数据!G589/(原始数据!G$2/100)</f>
        <v>1000</v>
      </c>
      <c r="C589" s="42">
        <f>原始数据!J589/(原始数据!J$2/100)</f>
        <v>95.206177219776535</v>
      </c>
    </row>
    <row r="590" spans="1:3" ht="18" customHeight="1" x14ac:dyDescent="0.3">
      <c r="A590" s="41">
        <f>表1[[#This Row],[订单日期]]</f>
        <v>45911</v>
      </c>
      <c r="B590" s="42">
        <f>原始数据!G590/(原始数据!G$2/100)</f>
        <v>1000</v>
      </c>
      <c r="C590" s="42">
        <f>原始数据!J590/(原始数据!J$2/100)</f>
        <v>58.306614268280832</v>
      </c>
    </row>
    <row r="591" spans="1:3" ht="18" customHeight="1" x14ac:dyDescent="0.3">
      <c r="A591" s="41">
        <f>表1[[#This Row],[订单日期]]</f>
        <v>45911</v>
      </c>
      <c r="B591" s="42">
        <f>原始数据!G591/(原始数据!G$2/100)</f>
        <v>1000</v>
      </c>
      <c r="C591" s="42">
        <f>原始数据!J591/(原始数据!J$2/100)</f>
        <v>465.42830264388795</v>
      </c>
    </row>
    <row r="592" spans="1:3" ht="18" customHeight="1" x14ac:dyDescent="0.3">
      <c r="A592" s="41">
        <f>表1[[#This Row],[订单日期]]</f>
        <v>45911</v>
      </c>
      <c r="B592" s="42">
        <f>原始数据!G592/(原始数据!G$2/100)</f>
        <v>1000</v>
      </c>
      <c r="C592" s="42">
        <f>原始数据!J592/(原始数据!J$2/100)</f>
        <v>104.51512258969791</v>
      </c>
    </row>
    <row r="593" spans="1:3" ht="18" customHeight="1" x14ac:dyDescent="0.3">
      <c r="A593" s="41">
        <f>表1[[#This Row],[订单日期]]</f>
        <v>45911</v>
      </c>
      <c r="B593" s="42">
        <f>原始数据!G593/(原始数据!G$2/100)</f>
        <v>1000</v>
      </c>
      <c r="C593" s="42">
        <f>原始数据!J593/(原始数据!J$2/100)</f>
        <v>280.59426935821961</v>
      </c>
    </row>
    <row r="594" spans="1:3" ht="18" customHeight="1" x14ac:dyDescent="0.3">
      <c r="A594" s="41">
        <f>表1[[#This Row],[订单日期]]</f>
        <v>45911</v>
      </c>
      <c r="B594" s="42">
        <f>原始数据!G594/(原始数据!G$2/100)</f>
        <v>1000</v>
      </c>
      <c r="C594" s="42">
        <f>原始数据!J594/(原始数据!J$2/100)</f>
        <v>286.5788616114923</v>
      </c>
    </row>
    <row r="595" spans="1:3" ht="18" customHeight="1" x14ac:dyDescent="0.3">
      <c r="A595" s="41">
        <f>表1[[#This Row],[订单日期]]</f>
        <v>45911</v>
      </c>
      <c r="B595" s="42">
        <f>原始数据!G595/(原始数据!G$2/100)</f>
        <v>1000</v>
      </c>
      <c r="C595" s="42">
        <f>原始数据!J595/(原始数据!J$2/100)</f>
        <v>345.52996690342445</v>
      </c>
    </row>
    <row r="596" spans="1:3" ht="18" customHeight="1" x14ac:dyDescent="0.3">
      <c r="A596" s="41">
        <f>表1[[#This Row],[订单日期]]</f>
        <v>45911</v>
      </c>
      <c r="B596" s="42">
        <f>原始数据!G596/(原始数据!G$2/100)</f>
        <v>1000</v>
      </c>
      <c r="C596" s="42">
        <f>原始数据!J596/(原始数据!J$2/100)</f>
        <v>195.38077444476266</v>
      </c>
    </row>
    <row r="597" spans="1:3" ht="18" customHeight="1" x14ac:dyDescent="0.3">
      <c r="A597" s="41">
        <f>表1[[#This Row],[订单日期]]</f>
        <v>45911</v>
      </c>
      <c r="B597" s="42">
        <f>原始数据!G597/(原始数据!G$2/100)</f>
        <v>1000</v>
      </c>
      <c r="C597" s="42">
        <f>原始数据!J597/(原始数据!J$2/100)</f>
        <v>427.64148888464757</v>
      </c>
    </row>
    <row r="598" spans="1:3" ht="18" customHeight="1" x14ac:dyDescent="0.3">
      <c r="A598" s="41">
        <f>表1[[#This Row],[订单日期]]</f>
        <v>45911</v>
      </c>
      <c r="B598" s="42">
        <f>原始数据!G598/(原始数据!G$2/100)</f>
        <v>1000</v>
      </c>
      <c r="C598" s="42">
        <f>原始数据!J598/(原始数据!J$2/100)</f>
        <v>369.90931306881998</v>
      </c>
    </row>
    <row r="599" spans="1:3" ht="18" customHeight="1" x14ac:dyDescent="0.3">
      <c r="A599" s="41">
        <f>表1[[#This Row],[订单日期]]</f>
        <v>45911</v>
      </c>
      <c r="B599" s="42">
        <f>原始数据!G599/(原始数据!G$2/100)</f>
        <v>1000</v>
      </c>
      <c r="C599" s="42">
        <f>原始数据!J599/(原始数据!J$2/100)</f>
        <v>363.25985019221758</v>
      </c>
    </row>
    <row r="600" spans="1:3" ht="18" customHeight="1" x14ac:dyDescent="0.3">
      <c r="A600" s="41">
        <f>表1[[#This Row],[订单日期]]</f>
        <v>45911</v>
      </c>
      <c r="B600" s="42">
        <f>原始数据!G600/(原始数据!G$2/100)</f>
        <v>1000</v>
      </c>
      <c r="C600" s="42">
        <f>原始数据!J600/(原始数据!J$2/100)</f>
        <v>12.762976570193498</v>
      </c>
    </row>
    <row r="601" spans="1:3" ht="18" customHeight="1" x14ac:dyDescent="0.3">
      <c r="A601" s="41">
        <f>表1[[#This Row],[订单日期]]</f>
        <v>45911</v>
      </c>
      <c r="B601" s="42">
        <f>原始数据!G601/(原始数据!G$2/100)</f>
        <v>1000</v>
      </c>
      <c r="C601" s="42">
        <f>原始数据!J601/(原始数据!J$2/100)</f>
        <v>286.46729319763233</v>
      </c>
    </row>
    <row r="602" spans="1:3" ht="18" customHeight="1" x14ac:dyDescent="0.3">
      <c r="A602" s="41">
        <f>表1[[#This Row],[订单日期]]</f>
        <v>45911</v>
      </c>
      <c r="B602" s="42">
        <f>原始数据!G602/(原始数据!G$2/100)</f>
        <v>1000</v>
      </c>
      <c r="C602" s="42">
        <f>原始数据!J602/(原始数据!J$2/100)</f>
        <v>81.466274314266855</v>
      </c>
    </row>
    <row r="603" spans="1:3" ht="18" customHeight="1" x14ac:dyDescent="0.3">
      <c r="A603" s="41">
        <f>表1[[#This Row],[订单日期]]</f>
        <v>45911</v>
      </c>
      <c r="B603" s="42">
        <f>原始数据!G603/(原始数据!G$2/100)</f>
        <v>1000</v>
      </c>
      <c r="C603" s="42">
        <f>原始数据!J603/(原始数据!J$2/100)</f>
        <v>166.90139276883372</v>
      </c>
    </row>
    <row r="604" spans="1:3" ht="18" customHeight="1" x14ac:dyDescent="0.3">
      <c r="A604" s="41">
        <f>表1[[#This Row],[订单日期]]</f>
        <v>45911</v>
      </c>
      <c r="B604" s="42">
        <f>原始数据!G604/(原始数据!G$2/100)</f>
        <v>1000</v>
      </c>
      <c r="C604" s="42">
        <f>原始数据!J604/(原始数据!J$2/100)</f>
        <v>116.03954672741344</v>
      </c>
    </row>
    <row r="605" spans="1:3" ht="18" customHeight="1" x14ac:dyDescent="0.3">
      <c r="A605" s="41">
        <f>表1[[#This Row],[订单日期]]</f>
        <v>45911</v>
      </c>
      <c r="B605" s="42">
        <f>原始数据!G605/(原始数据!G$2/100)</f>
        <v>1000</v>
      </c>
      <c r="C605" s="42">
        <f>原始数据!J605/(原始数据!J$2/100)</f>
        <v>54.649069196662261</v>
      </c>
    </row>
    <row r="606" spans="1:3" ht="18" customHeight="1" x14ac:dyDescent="0.3">
      <c r="A606" s="41">
        <f>表1[[#This Row],[订单日期]]</f>
        <v>45912</v>
      </c>
      <c r="B606" s="42">
        <f>原始数据!G606/(原始数据!G$2/100)</f>
        <v>200</v>
      </c>
      <c r="C606" s="42">
        <f>原始数据!J606/(原始数据!J$2/100)</f>
        <v>307.13980876371454</v>
      </c>
    </row>
    <row r="607" spans="1:3" ht="18" customHeight="1" x14ac:dyDescent="0.3">
      <c r="A607" s="41">
        <f>表1[[#This Row],[订单日期]]</f>
        <v>45912</v>
      </c>
      <c r="B607" s="42">
        <f>原始数据!G607/(原始数据!G$2/100)</f>
        <v>200</v>
      </c>
      <c r="C607" s="42">
        <f>原始数据!J607/(原始数据!J$2/100)</f>
        <v>73.437784663310168</v>
      </c>
    </row>
    <row r="608" spans="1:3" ht="18" customHeight="1" x14ac:dyDescent="0.3">
      <c r="A608" s="41">
        <f>表1[[#This Row],[订单日期]]</f>
        <v>45912</v>
      </c>
      <c r="B608" s="42">
        <f>原始数据!G608/(原始数据!G$2/100)</f>
        <v>200</v>
      </c>
      <c r="C608" s="42">
        <f>原始数据!J608/(原始数据!J$2/100)</f>
        <v>41.85643005514742</v>
      </c>
    </row>
    <row r="609" spans="1:3" ht="18" customHeight="1" x14ac:dyDescent="0.3">
      <c r="A609" s="41">
        <f>表1[[#This Row],[订单日期]]</f>
        <v>45912</v>
      </c>
      <c r="B609" s="42">
        <f>原始数据!G609/(原始数据!G$2/100)</f>
        <v>200</v>
      </c>
      <c r="C609" s="42">
        <f>原始数据!J609/(原始数据!J$2/100)</f>
        <v>320.43722123030938</v>
      </c>
    </row>
    <row r="610" spans="1:3" ht="18" customHeight="1" x14ac:dyDescent="0.3">
      <c r="A610" s="41">
        <f>表1[[#This Row],[订单日期]]</f>
        <v>45912</v>
      </c>
      <c r="B610" s="42">
        <f>原始数据!G610/(原始数据!G$2/100)</f>
        <v>200</v>
      </c>
      <c r="C610" s="42">
        <f>原始数据!J610/(原始数据!J$2/100)</f>
        <v>318.77504467198503</v>
      </c>
    </row>
    <row r="611" spans="1:3" ht="18" customHeight="1" x14ac:dyDescent="0.3">
      <c r="A611" s="41">
        <f>表1[[#This Row],[订单日期]]</f>
        <v>45912</v>
      </c>
      <c r="B611" s="42">
        <f>原始数据!G611/(原始数据!G$2/100)</f>
        <v>200</v>
      </c>
      <c r="C611" s="42">
        <f>原始数据!J611/(原始数据!J$2/100)</f>
        <v>535.412056106926</v>
      </c>
    </row>
    <row r="612" spans="1:3" ht="18" customHeight="1" x14ac:dyDescent="0.3">
      <c r="A612" s="41">
        <f>表1[[#This Row],[订单日期]]</f>
        <v>45912</v>
      </c>
      <c r="B612" s="42">
        <f>原始数据!G612/(原始数据!G$2/100)</f>
        <v>200</v>
      </c>
      <c r="C612" s="42">
        <f>原始数据!J612/(原始数据!J$2/100)</f>
        <v>435.57065083690969</v>
      </c>
    </row>
    <row r="613" spans="1:3" ht="18" customHeight="1" x14ac:dyDescent="0.3">
      <c r="A613" s="41">
        <f>表1[[#This Row],[订单日期]]</f>
        <v>45912</v>
      </c>
      <c r="B613" s="42">
        <f>原始数据!G613/(原始数据!G$2/100)</f>
        <v>200</v>
      </c>
      <c r="C613" s="42">
        <f>原始数据!J613/(原始数据!J$2/100)</f>
        <v>90.281173787663633</v>
      </c>
    </row>
    <row r="614" spans="1:3" ht="18" customHeight="1" x14ac:dyDescent="0.3">
      <c r="A614" s="41">
        <f>表1[[#This Row],[订单日期]]</f>
        <v>45912</v>
      </c>
      <c r="B614" s="42">
        <f>原始数据!G614/(原始数据!G$2/100)</f>
        <v>200</v>
      </c>
      <c r="C614" s="42">
        <f>原始数据!J614/(原始数据!J$2/100)</f>
        <v>142.25189417793848</v>
      </c>
    </row>
    <row r="615" spans="1:3" ht="18" customHeight="1" x14ac:dyDescent="0.3">
      <c r="A615" s="41">
        <f>表1[[#This Row],[订单日期]]</f>
        <v>45912</v>
      </c>
      <c r="B615" s="42">
        <f>原始数据!G615/(原始数据!G$2/100)</f>
        <v>350</v>
      </c>
      <c r="C615" s="42">
        <f>原始数据!J615/(原始数据!J$2/100)</f>
        <v>172.15150465027733</v>
      </c>
    </row>
    <row r="616" spans="1:3" ht="18" customHeight="1" x14ac:dyDescent="0.3">
      <c r="A616" s="41">
        <f>表1[[#This Row],[订单日期]]</f>
        <v>45912</v>
      </c>
      <c r="B616" s="42">
        <f>原始数据!G616/(原始数据!G$2/100)</f>
        <v>350</v>
      </c>
      <c r="C616" s="42">
        <f>原始数据!J616/(原始数据!J$2/100)</f>
        <v>270.77398044418908</v>
      </c>
    </row>
    <row r="617" spans="1:3" ht="18" customHeight="1" x14ac:dyDescent="0.3">
      <c r="A617" s="41">
        <f>表1[[#This Row],[订单日期]]</f>
        <v>45912</v>
      </c>
      <c r="B617" s="42">
        <f>原始数据!G617/(原始数据!G$2/100)</f>
        <v>350</v>
      </c>
      <c r="C617" s="42">
        <f>原始数据!J617/(原始数据!J$2/100)</f>
        <v>277.92337861286939</v>
      </c>
    </row>
    <row r="618" spans="1:3" ht="18" customHeight="1" x14ac:dyDescent="0.3">
      <c r="A618" s="41">
        <f>表1[[#This Row],[订单日期]]</f>
        <v>45912</v>
      </c>
      <c r="B618" s="42">
        <f>原始数据!G618/(原始数据!G$2/100)</f>
        <v>350</v>
      </c>
      <c r="C618" s="42">
        <f>原始数据!J618/(原始数据!J$2/100)</f>
        <v>18.566390661106912</v>
      </c>
    </row>
    <row r="619" spans="1:3" ht="18" customHeight="1" x14ac:dyDescent="0.3">
      <c r="A619" s="41">
        <f>表1[[#This Row],[订单日期]]</f>
        <v>45912</v>
      </c>
      <c r="B619" s="42">
        <f>原始数据!G619/(原始数据!G$2/100)</f>
        <v>350</v>
      </c>
      <c r="C619" s="42">
        <f>原始数据!J619/(原始数据!J$2/100)</f>
        <v>414.27522331285843</v>
      </c>
    </row>
    <row r="620" spans="1:3" ht="18" customHeight="1" x14ac:dyDescent="0.3">
      <c r="A620" s="41">
        <f>表1[[#This Row],[订单日期]]</f>
        <v>45912</v>
      </c>
      <c r="B620" s="42">
        <f>原始数据!G620/(原始数据!G$2/100)</f>
        <v>350</v>
      </c>
      <c r="C620" s="42">
        <f>原始数据!J620/(原始数据!J$2/100)</f>
        <v>515.50381468269723</v>
      </c>
    </row>
    <row r="621" spans="1:3" ht="18" customHeight="1" x14ac:dyDescent="0.3">
      <c r="A621" s="41">
        <f>表1[[#This Row],[订单日期]]</f>
        <v>45912</v>
      </c>
      <c r="B621" s="42">
        <f>原始数据!G621/(原始数据!G$2/100)</f>
        <v>350</v>
      </c>
      <c r="C621" s="42">
        <f>原始数据!J621/(原始数据!J$2/100)</f>
        <v>339.25565464715254</v>
      </c>
    </row>
    <row r="622" spans="1:3" ht="18" customHeight="1" x14ac:dyDescent="0.3">
      <c r="A622" s="41">
        <f>表1[[#This Row],[订单日期]]</f>
        <v>45912</v>
      </c>
      <c r="B622" s="42">
        <f>原始数据!G622/(原始数据!G$2/100)</f>
        <v>350</v>
      </c>
      <c r="C622" s="42">
        <f>原始数据!J622/(原始数据!J$2/100)</f>
        <v>509.68415776067644</v>
      </c>
    </row>
    <row r="623" spans="1:3" ht="18" customHeight="1" x14ac:dyDescent="0.3">
      <c r="A623" s="41">
        <f>表1[[#This Row],[订单日期]]</f>
        <v>45912</v>
      </c>
      <c r="B623" s="42">
        <f>原始数据!G623/(原始数据!G$2/100)</f>
        <v>350</v>
      </c>
      <c r="C623" s="42">
        <f>原始数据!J623/(原始数据!J$2/100)</f>
        <v>180.40902052450718</v>
      </c>
    </row>
    <row r="624" spans="1:3" ht="18" customHeight="1" x14ac:dyDescent="0.3">
      <c r="A624" s="41">
        <f>表1[[#This Row],[订单日期]]</f>
        <v>45912</v>
      </c>
      <c r="B624" s="42">
        <f>原始数据!G624/(原始数据!G$2/100)</f>
        <v>350</v>
      </c>
      <c r="C624" s="42">
        <f>原始数据!J624/(原始数据!J$2/100)</f>
        <v>479.21092085806322</v>
      </c>
    </row>
    <row r="625" spans="1:3" ht="18" customHeight="1" x14ac:dyDescent="0.3">
      <c r="A625" s="41">
        <f>表1[[#This Row],[订单日期]]</f>
        <v>45912</v>
      </c>
      <c r="B625" s="42">
        <f>原始数据!G625/(原始数据!G$2/100)</f>
        <v>350</v>
      </c>
      <c r="C625" s="42">
        <f>原始数据!J625/(原始数据!J$2/100)</f>
        <v>369.39645623810082</v>
      </c>
    </row>
    <row r="626" spans="1:3" ht="18" customHeight="1" x14ac:dyDescent="0.3">
      <c r="A626" s="41">
        <f>表1[[#This Row],[订单日期]]</f>
        <v>45912</v>
      </c>
      <c r="B626" s="42">
        <f>原始数据!G626/(原始数据!G$2/100)</f>
        <v>350</v>
      </c>
      <c r="C626" s="42">
        <f>原始数据!J626/(原始数据!J$2/100)</f>
        <v>296.53975606610214</v>
      </c>
    </row>
    <row r="627" spans="1:3" ht="18" customHeight="1" x14ac:dyDescent="0.3">
      <c r="A627" s="41">
        <f>表1[[#This Row],[订单日期]]</f>
        <v>45912</v>
      </c>
      <c r="B627" s="42">
        <f>原始数据!G627/(原始数据!G$2/100)</f>
        <v>350</v>
      </c>
      <c r="C627" s="42">
        <f>原始数据!J627/(原始数据!J$2/100)</f>
        <v>494.7245687357572</v>
      </c>
    </row>
    <row r="628" spans="1:3" ht="18" customHeight="1" x14ac:dyDescent="0.3">
      <c r="A628" s="41">
        <f>表1[[#This Row],[订单日期]]</f>
        <v>45912</v>
      </c>
      <c r="B628" s="42">
        <f>原始数据!G628/(原始数据!G$2/100)</f>
        <v>350</v>
      </c>
      <c r="C628" s="42">
        <f>原始数据!J628/(原始数据!J$2/100)</f>
        <v>540.82226528661931</v>
      </c>
    </row>
    <row r="629" spans="1:3" ht="18" customHeight="1" x14ac:dyDescent="0.3">
      <c r="A629" s="41">
        <f>表1[[#This Row],[订单日期]]</f>
        <v>45912</v>
      </c>
      <c r="B629" s="42">
        <f>原始数据!G629/(原始数据!G$2/100)</f>
        <v>350</v>
      </c>
      <c r="C629" s="42">
        <f>原始数据!J629/(原始数据!J$2/100)</f>
        <v>401.03525569942661</v>
      </c>
    </row>
    <row r="630" spans="1:3" ht="18" customHeight="1" x14ac:dyDescent="0.3">
      <c r="A630" s="41">
        <f>表1[[#This Row],[订单日期]]</f>
        <v>45912</v>
      </c>
      <c r="B630" s="42">
        <f>原始数据!G630/(原始数据!G$2/100)</f>
        <v>350</v>
      </c>
      <c r="C630" s="42">
        <f>原始数据!J630/(原始数据!J$2/100)</f>
        <v>457.15937851762681</v>
      </c>
    </row>
    <row r="631" spans="1:3" ht="18" customHeight="1" x14ac:dyDescent="0.3">
      <c r="A631" s="41">
        <f>表1[[#This Row],[订单日期]]</f>
        <v>45912</v>
      </c>
      <c r="B631" s="42">
        <f>原始数据!G631/(原始数据!G$2/100)</f>
        <v>350</v>
      </c>
      <c r="C631" s="42">
        <f>原始数据!J631/(原始数据!J$2/100)</f>
        <v>156.97029208424823</v>
      </c>
    </row>
    <row r="632" spans="1:3" ht="18" customHeight="1" x14ac:dyDescent="0.3">
      <c r="A632" s="41">
        <f>表1[[#This Row],[订单日期]]</f>
        <v>45912</v>
      </c>
      <c r="B632" s="42">
        <f>原始数据!G632/(原始数据!G$2/100)</f>
        <v>350</v>
      </c>
      <c r="C632" s="42">
        <f>原始数据!J632/(原始数据!J$2/100)</f>
        <v>188.83071508668391</v>
      </c>
    </row>
    <row r="633" spans="1:3" ht="18" customHeight="1" x14ac:dyDescent="0.3">
      <c r="A633" s="41">
        <f>表1[[#This Row],[订单日期]]</f>
        <v>45912</v>
      </c>
      <c r="B633" s="42">
        <f>原始数据!G633/(原始数据!G$2/100)</f>
        <v>350</v>
      </c>
      <c r="C633" s="42">
        <f>原始数据!J633/(原始数据!J$2/100)</f>
        <v>221.79517785889809</v>
      </c>
    </row>
    <row r="634" spans="1:3" ht="18" customHeight="1" x14ac:dyDescent="0.3">
      <c r="A634" s="41">
        <f>表1[[#This Row],[订单日期]]</f>
        <v>45912</v>
      </c>
      <c r="B634" s="42">
        <f>原始数据!G634/(原始数据!G$2/100)</f>
        <v>350</v>
      </c>
      <c r="C634" s="42">
        <f>原始数据!J634/(原始数据!J$2/100)</f>
        <v>164.5054924819853</v>
      </c>
    </row>
    <row r="635" spans="1:3" ht="18" customHeight="1" x14ac:dyDescent="0.3">
      <c r="A635" s="41">
        <f>表1[[#This Row],[订单日期]]</f>
        <v>45912</v>
      </c>
      <c r="B635" s="42">
        <f>原始数据!G635/(原始数据!G$2/100)</f>
        <v>350</v>
      </c>
      <c r="C635" s="42">
        <f>原始数据!J635/(原始数据!J$2/100)</f>
        <v>11.864317510417559</v>
      </c>
    </row>
    <row r="636" spans="1:3" ht="18" customHeight="1" x14ac:dyDescent="0.3">
      <c r="A636" s="41">
        <f>表1[[#This Row],[订单日期]]</f>
        <v>45912</v>
      </c>
      <c r="B636" s="42">
        <f>原始数据!G636/(原始数据!G$2/100)</f>
        <v>350</v>
      </c>
      <c r="C636" s="42">
        <f>原始数据!J636/(原始数据!J$2/100)</f>
        <v>216.3654011017052</v>
      </c>
    </row>
    <row r="637" spans="1:3" ht="18" customHeight="1" x14ac:dyDescent="0.3">
      <c r="A637" s="41">
        <f>表1[[#This Row],[订单日期]]</f>
        <v>45912</v>
      </c>
      <c r="B637" s="42">
        <f>原始数据!G637/(原始数据!G$2/100)</f>
        <v>350</v>
      </c>
      <c r="C637" s="42">
        <f>原始数据!J637/(原始数据!J$2/100)</f>
        <v>506.58142818513761</v>
      </c>
    </row>
    <row r="638" spans="1:3" ht="18" customHeight="1" x14ac:dyDescent="0.3">
      <c r="A638" s="41">
        <f>表1[[#This Row],[订单日期]]</f>
        <v>45912</v>
      </c>
      <c r="B638" s="42">
        <f>原始数据!G638/(原始数据!G$2/100)</f>
        <v>350</v>
      </c>
      <c r="C638" s="42">
        <f>原始数据!J638/(原始数据!J$2/100)</f>
        <v>480.37648341677584</v>
      </c>
    </row>
    <row r="639" spans="1:3" ht="18" customHeight="1" x14ac:dyDescent="0.3">
      <c r="A639" s="41">
        <f>表1[[#This Row],[订单日期]]</f>
        <v>45912</v>
      </c>
      <c r="B639" s="42">
        <f>原始数据!G639/(原始数据!G$2/100)</f>
        <v>350</v>
      </c>
      <c r="C639" s="42">
        <f>原始数据!J639/(原始数据!J$2/100)</f>
        <v>304.01751161067619</v>
      </c>
    </row>
    <row r="640" spans="1:3" ht="18" customHeight="1" x14ac:dyDescent="0.3">
      <c r="A640" s="41">
        <f>表1[[#This Row],[订单日期]]</f>
        <v>45912</v>
      </c>
      <c r="B640" s="42">
        <f>原始数据!G640/(原始数据!G$2/100)</f>
        <v>350</v>
      </c>
      <c r="C640" s="42">
        <f>原始数据!J640/(原始数据!J$2/100)</f>
        <v>112.75639563282037</v>
      </c>
    </row>
    <row r="641" spans="1:3" ht="18" customHeight="1" x14ac:dyDescent="0.3">
      <c r="A641" s="41">
        <f>表1[[#This Row],[订单日期]]</f>
        <v>45912</v>
      </c>
      <c r="B641" s="42">
        <f>原始数据!G641/(原始数据!G$2/100)</f>
        <v>400</v>
      </c>
      <c r="C641" s="42">
        <f>原始数据!J641/(原始数据!J$2/100)</f>
        <v>452.31383042145762</v>
      </c>
    </row>
    <row r="642" spans="1:3" ht="18" customHeight="1" x14ac:dyDescent="0.3">
      <c r="A642" s="41">
        <f>表1[[#This Row],[订单日期]]</f>
        <v>45912</v>
      </c>
      <c r="B642" s="42">
        <f>原始数据!G642/(原始数据!G$2/100)</f>
        <v>400</v>
      </c>
      <c r="C642" s="42">
        <f>原始数据!J642/(原始数据!J$2/100)</f>
        <v>478.02216119020767</v>
      </c>
    </row>
    <row r="643" spans="1:3" ht="18" customHeight="1" x14ac:dyDescent="0.3">
      <c r="A643" s="41">
        <f>表1[[#This Row],[订单日期]]</f>
        <v>45912</v>
      </c>
      <c r="B643" s="42">
        <f>原始数据!G643/(原始数据!G$2/100)</f>
        <v>400</v>
      </c>
      <c r="C643" s="42">
        <f>原始数据!J643/(原始数据!J$2/100)</f>
        <v>26.907443260977637</v>
      </c>
    </row>
    <row r="644" spans="1:3" ht="18" customHeight="1" x14ac:dyDescent="0.3">
      <c r="A644" s="41">
        <f>表1[[#This Row],[订单日期]]</f>
        <v>45912</v>
      </c>
      <c r="B644" s="42">
        <f>原始数据!G644/(原始数据!G$2/100)</f>
        <v>400</v>
      </c>
      <c r="C644" s="42">
        <f>原始数据!J644/(原始数据!J$2/100)</f>
        <v>394.47008619177006</v>
      </c>
    </row>
    <row r="645" spans="1:3" ht="18" customHeight="1" x14ac:dyDescent="0.3">
      <c r="A645" s="41">
        <f>表1[[#This Row],[订单日期]]</f>
        <v>45912</v>
      </c>
      <c r="B645" s="42">
        <f>原始数据!G645/(原始数据!G$2/100)</f>
        <v>400</v>
      </c>
      <c r="C645" s="42">
        <f>原始数据!J645/(原始数据!J$2/100)</f>
        <v>156.55721481027734</v>
      </c>
    </row>
    <row r="646" spans="1:3" ht="18" customHeight="1" x14ac:dyDescent="0.3">
      <c r="A646" s="41">
        <f>表1[[#This Row],[订单日期]]</f>
        <v>45912</v>
      </c>
      <c r="B646" s="42">
        <f>原始数据!G646/(原始数据!G$2/100)</f>
        <v>400</v>
      </c>
      <c r="C646" s="42">
        <f>原始数据!J646/(原始数据!J$2/100)</f>
        <v>436.57855900265372</v>
      </c>
    </row>
    <row r="647" spans="1:3" ht="18" customHeight="1" x14ac:dyDescent="0.3">
      <c r="A647" s="41">
        <f>表1[[#This Row],[订单日期]]</f>
        <v>45912</v>
      </c>
      <c r="B647" s="42">
        <f>原始数据!G647/(原始数据!G$2/100)</f>
        <v>400</v>
      </c>
      <c r="C647" s="42">
        <f>原始数据!J647/(原始数据!J$2/100)</f>
        <v>46.188691337540156</v>
      </c>
    </row>
    <row r="648" spans="1:3" ht="18" customHeight="1" x14ac:dyDescent="0.3">
      <c r="A648" s="41">
        <f>表1[[#This Row],[订单日期]]</f>
        <v>45912</v>
      </c>
      <c r="B648" s="42">
        <f>原始数据!G648/(原始数据!G$2/100)</f>
        <v>400</v>
      </c>
      <c r="C648" s="42">
        <f>原始数据!J648/(原始数据!J$2/100)</f>
        <v>520.68469285386607</v>
      </c>
    </row>
    <row r="649" spans="1:3" ht="18" customHeight="1" x14ac:dyDescent="0.3">
      <c r="A649" s="41">
        <f>表1[[#This Row],[订单日期]]</f>
        <v>45912</v>
      </c>
      <c r="B649" s="42">
        <f>原始数据!G649/(原始数据!G$2/100)</f>
        <v>400</v>
      </c>
      <c r="C649" s="42">
        <f>原始数据!J649/(原始数据!J$2/100)</f>
        <v>60.926656821349447</v>
      </c>
    </row>
    <row r="650" spans="1:3" ht="18" customHeight="1" x14ac:dyDescent="0.3">
      <c r="A650" s="41">
        <f>表1[[#This Row],[订单日期]]</f>
        <v>45912</v>
      </c>
      <c r="B650" s="42">
        <f>原始数据!G650/(原始数据!G$2/100)</f>
        <v>550</v>
      </c>
      <c r="C650" s="42">
        <f>原始数据!J650/(原始数据!J$2/100)</f>
        <v>550.56243000446716</v>
      </c>
    </row>
    <row r="651" spans="1:3" ht="18" customHeight="1" x14ac:dyDescent="0.3">
      <c r="A651" s="41">
        <f>表1[[#This Row],[订单日期]]</f>
        <v>45912</v>
      </c>
      <c r="B651" s="42">
        <f>原始数据!G651/(原始数据!G$2/100)</f>
        <v>550</v>
      </c>
      <c r="C651" s="42">
        <f>原始数据!J651/(原始数据!J$2/100)</f>
        <v>240.40028422114241</v>
      </c>
    </row>
    <row r="652" spans="1:3" ht="18" customHeight="1" x14ac:dyDescent="0.3">
      <c r="A652" s="41">
        <f>表1[[#This Row],[订单日期]]</f>
        <v>45912</v>
      </c>
      <c r="B652" s="42">
        <f>原始数据!G652/(原始数据!G$2/100)</f>
        <v>550</v>
      </c>
      <c r="C652" s="42">
        <f>原始数据!J652/(原始数据!J$2/100)</f>
        <v>414.15314045131504</v>
      </c>
    </row>
    <row r="653" spans="1:3" ht="18" customHeight="1" x14ac:dyDescent="0.3">
      <c r="A653" s="41">
        <f>表1[[#This Row],[订单日期]]</f>
        <v>45912</v>
      </c>
      <c r="B653" s="42">
        <f>原始数据!G653/(原始数据!G$2/100)</f>
        <v>550</v>
      </c>
      <c r="C653" s="42">
        <f>原始数据!J653/(原始数据!J$2/100)</f>
        <v>145.87784393776408</v>
      </c>
    </row>
    <row r="654" spans="1:3" ht="18" customHeight="1" x14ac:dyDescent="0.3">
      <c r="A654" s="41">
        <f>表1[[#This Row],[订单日期]]</f>
        <v>45912</v>
      </c>
      <c r="B654" s="42">
        <f>原始数据!G654/(原始数据!G$2/100)</f>
        <v>550</v>
      </c>
      <c r="C654" s="42">
        <f>原始数据!J654/(原始数据!J$2/100)</f>
        <v>341.79305427892808</v>
      </c>
    </row>
    <row r="655" spans="1:3" ht="18" customHeight="1" x14ac:dyDescent="0.3">
      <c r="A655" s="41">
        <f>表1[[#This Row],[订单日期]]</f>
        <v>45912</v>
      </c>
      <c r="B655" s="42">
        <f>原始数据!G655/(原始数据!G$2/100)</f>
        <v>550</v>
      </c>
      <c r="C655" s="42">
        <f>原始数据!J655/(原始数据!J$2/100)</f>
        <v>254.47337908162194</v>
      </c>
    </row>
    <row r="656" spans="1:3" ht="18" customHeight="1" x14ac:dyDescent="0.3">
      <c r="A656" s="41">
        <f>表1[[#This Row],[订单日期]]</f>
        <v>45912</v>
      </c>
      <c r="B656" s="42">
        <f>原始数据!G656/(原始数据!G$2/100)</f>
        <v>550</v>
      </c>
      <c r="C656" s="42">
        <f>原始数据!J656/(原始数据!J$2/100)</f>
        <v>303.341369896358</v>
      </c>
    </row>
    <row r="657" spans="1:3" ht="18" customHeight="1" x14ac:dyDescent="0.3">
      <c r="A657" s="41">
        <f>表1[[#This Row],[订单日期]]</f>
        <v>45912</v>
      </c>
      <c r="B657" s="42">
        <f>原始数据!G657/(原始数据!G$2/100)</f>
        <v>550</v>
      </c>
      <c r="C657" s="42">
        <f>原始数据!J657/(原始数据!J$2/100)</f>
        <v>336.80652460395504</v>
      </c>
    </row>
    <row r="658" spans="1:3" ht="18" customHeight="1" x14ac:dyDescent="0.3">
      <c r="A658" s="41">
        <f>表1[[#This Row],[订单日期]]</f>
        <v>45912</v>
      </c>
      <c r="B658" s="42">
        <f>原始数据!G658/(原始数据!G$2/100)</f>
        <v>550</v>
      </c>
      <c r="C658" s="42">
        <f>原始数据!J658/(原始数据!J$2/100)</f>
        <v>551.44892416890684</v>
      </c>
    </row>
    <row r="659" spans="1:3" ht="18" customHeight="1" x14ac:dyDescent="0.3">
      <c r="A659" s="41">
        <f>表1[[#This Row],[订单日期]]</f>
        <v>45912</v>
      </c>
      <c r="B659" s="42">
        <f>原始数据!G659/(原始数据!G$2/100)</f>
        <v>550</v>
      </c>
      <c r="C659" s="42">
        <f>原始数据!J659/(原始数据!J$2/100)</f>
        <v>461.58057824883667</v>
      </c>
    </row>
    <row r="660" spans="1:3" ht="18" customHeight="1" x14ac:dyDescent="0.3">
      <c r="A660" s="41">
        <f>表1[[#This Row],[订单日期]]</f>
        <v>45912</v>
      </c>
      <c r="B660" s="42">
        <f>原始数据!G660/(原始数据!G$2/100)</f>
        <v>550</v>
      </c>
      <c r="C660" s="42">
        <f>原始数据!J660/(原始数据!J$2/100)</f>
        <v>532.5001114040092</v>
      </c>
    </row>
    <row r="661" spans="1:3" ht="18" customHeight="1" x14ac:dyDescent="0.3">
      <c r="A661" s="41">
        <f>表1[[#This Row],[订单日期]]</f>
        <v>45912</v>
      </c>
      <c r="B661" s="42">
        <f>原始数据!G661/(原始数据!G$2/100)</f>
        <v>550</v>
      </c>
      <c r="C661" s="42">
        <f>原始数据!J661/(原始数据!J$2/100)</f>
        <v>240.84353130336223</v>
      </c>
    </row>
    <row r="662" spans="1:3" ht="18" customHeight="1" x14ac:dyDescent="0.3">
      <c r="A662" s="41">
        <f>表1[[#This Row],[订单日期]]</f>
        <v>45912</v>
      </c>
      <c r="B662" s="42">
        <f>原始数据!G662/(原始数据!G$2/100)</f>
        <v>550</v>
      </c>
      <c r="C662" s="42">
        <f>原始数据!J662/(原始数据!J$2/100)</f>
        <v>347.88770165945073</v>
      </c>
    </row>
    <row r="663" spans="1:3" ht="18" customHeight="1" x14ac:dyDescent="0.3">
      <c r="A663" s="41">
        <f>表1[[#This Row],[订单日期]]</f>
        <v>45912</v>
      </c>
      <c r="B663" s="42">
        <f>原始数据!G663/(原始数据!G$2/100)</f>
        <v>550</v>
      </c>
      <c r="C663" s="42">
        <f>原始数据!J663/(原始数据!J$2/100)</f>
        <v>76.509675570360969</v>
      </c>
    </row>
    <row r="664" spans="1:3" ht="18" customHeight="1" x14ac:dyDescent="0.3">
      <c r="A664" s="41">
        <f>表1[[#This Row],[订单日期]]</f>
        <v>45912</v>
      </c>
      <c r="B664" s="42">
        <f>原始数据!G664/(原始数据!G$2/100)</f>
        <v>550</v>
      </c>
      <c r="C664" s="42">
        <f>原始数据!J664/(原始数据!J$2/100)</f>
        <v>485.07267360648757</v>
      </c>
    </row>
    <row r="665" spans="1:3" ht="18" customHeight="1" x14ac:dyDescent="0.3">
      <c r="A665" s="41">
        <f>表1[[#This Row],[订单日期]]</f>
        <v>45912</v>
      </c>
      <c r="B665" s="42">
        <f>原始数据!G665/(原始数据!G$2/100)</f>
        <v>550</v>
      </c>
      <c r="C665" s="42">
        <f>原始数据!J665/(原始数据!J$2/100)</f>
        <v>467.89684917046924</v>
      </c>
    </row>
    <row r="666" spans="1:3" ht="18" customHeight="1" x14ac:dyDescent="0.3">
      <c r="A666" s="41">
        <f>表1[[#This Row],[订单日期]]</f>
        <v>45912</v>
      </c>
      <c r="B666" s="42">
        <f>原始数据!G666/(原始数据!G$2/100)</f>
        <v>550</v>
      </c>
      <c r="C666" s="42">
        <f>原始数据!J666/(原始数据!J$2/100)</f>
        <v>104.87748883242998</v>
      </c>
    </row>
    <row r="667" spans="1:3" ht="18" customHeight="1" x14ac:dyDescent="0.3">
      <c r="A667" s="41">
        <f>表1[[#This Row],[订单日期]]</f>
        <v>45912</v>
      </c>
      <c r="B667" s="42">
        <f>原始数据!G667/(原始数据!G$2/100)</f>
        <v>550</v>
      </c>
      <c r="C667" s="42">
        <f>原始数据!J667/(原始数据!J$2/100)</f>
        <v>165.49152732599146</v>
      </c>
    </row>
    <row r="668" spans="1:3" ht="18" customHeight="1" x14ac:dyDescent="0.3">
      <c r="A668" s="41">
        <f>表1[[#This Row],[订单日期]]</f>
        <v>45912</v>
      </c>
      <c r="B668" s="42">
        <f>原始数据!G668/(原始数据!G$2/100)</f>
        <v>800</v>
      </c>
      <c r="C668" s="42">
        <f>原始数据!J668/(原始数据!J$2/100)</f>
        <v>308.60655326864514</v>
      </c>
    </row>
    <row r="669" spans="1:3" ht="18" customHeight="1" x14ac:dyDescent="0.3">
      <c r="A669" s="41">
        <f>表1[[#This Row],[订单日期]]</f>
        <v>45912</v>
      </c>
      <c r="B669" s="42">
        <f>原始数据!G669/(原始数据!G$2/100)</f>
        <v>800</v>
      </c>
      <c r="C669" s="42">
        <f>原始数据!J669/(原始数据!J$2/100)</f>
        <v>93.410094850918597</v>
      </c>
    </row>
    <row r="670" spans="1:3" ht="18" customHeight="1" x14ac:dyDescent="0.3">
      <c r="A670" s="41">
        <f>表1[[#This Row],[订单日期]]</f>
        <v>45912</v>
      </c>
      <c r="B670" s="42">
        <f>原始数据!G670/(原始数据!G$2/100)</f>
        <v>800</v>
      </c>
      <c r="C670" s="42">
        <f>原始数据!J670/(原始数据!J$2/100)</f>
        <v>33.350115210131889</v>
      </c>
    </row>
    <row r="671" spans="1:3" ht="18" customHeight="1" x14ac:dyDescent="0.3">
      <c r="A671" s="41">
        <f>表1[[#This Row],[订单日期]]</f>
        <v>45912</v>
      </c>
      <c r="B671" s="42">
        <f>原始数据!G671/(原始数据!G$2/100)</f>
        <v>800</v>
      </c>
      <c r="C671" s="42">
        <f>原始数据!J671/(原始数据!J$2/100)</f>
        <v>65.374716900514471</v>
      </c>
    </row>
    <row r="672" spans="1:3" ht="18" customHeight="1" x14ac:dyDescent="0.3">
      <c r="A672" s="41">
        <f>表1[[#This Row],[订单日期]]</f>
        <v>45912</v>
      </c>
      <c r="B672" s="42">
        <f>原始数据!G672/(原始数据!G$2/100)</f>
        <v>800</v>
      </c>
      <c r="C672" s="42">
        <f>原始数据!J672/(原始数据!J$2/100)</f>
        <v>175.96486391436159</v>
      </c>
    </row>
    <row r="673" spans="1:3" ht="18" customHeight="1" x14ac:dyDescent="0.3">
      <c r="A673" s="41">
        <f>表1[[#This Row],[订单日期]]</f>
        <v>45912</v>
      </c>
      <c r="B673" s="42">
        <f>原始数据!G673/(原始数据!G$2/100)</f>
        <v>800</v>
      </c>
      <c r="C673" s="42">
        <f>原始数据!J673/(原始数据!J$2/100)</f>
        <v>300.51729401813327</v>
      </c>
    </row>
    <row r="674" spans="1:3" ht="18" customHeight="1" x14ac:dyDescent="0.3">
      <c r="A674" s="41">
        <f>表1[[#This Row],[订单日期]]</f>
        <v>45912</v>
      </c>
      <c r="B674" s="42">
        <f>原始数据!G674/(原始数据!G$2/100)</f>
        <v>800</v>
      </c>
      <c r="C674" s="42">
        <f>原始数据!J674/(原始数据!J$2/100)</f>
        <v>163.88638092387126</v>
      </c>
    </row>
    <row r="675" spans="1:3" ht="18" customHeight="1" x14ac:dyDescent="0.3">
      <c r="A675" s="41">
        <f>表1[[#This Row],[订单日期]]</f>
        <v>45912</v>
      </c>
      <c r="B675" s="42">
        <f>原始数据!G675/(原始数据!G$2/100)</f>
        <v>800</v>
      </c>
      <c r="C675" s="42">
        <f>原始数据!J675/(原始数据!J$2/100)</f>
        <v>319.57691855358587</v>
      </c>
    </row>
    <row r="676" spans="1:3" ht="18" customHeight="1" x14ac:dyDescent="0.3">
      <c r="A676" s="41">
        <f>表1[[#This Row],[订单日期]]</f>
        <v>45912</v>
      </c>
      <c r="B676" s="42">
        <f>原始数据!G676/(原始数据!G$2/100)</f>
        <v>800</v>
      </c>
      <c r="C676" s="42">
        <f>原始数据!J676/(原始数据!J$2/100)</f>
        <v>168.98372236939929</v>
      </c>
    </row>
    <row r="677" spans="1:3" ht="18" customHeight="1" x14ac:dyDescent="0.3">
      <c r="A677" s="41">
        <f>表1[[#This Row],[订单日期]]</f>
        <v>45912</v>
      </c>
      <c r="B677" s="42">
        <f>原始数据!G677/(原始数据!G$2/100)</f>
        <v>900</v>
      </c>
      <c r="C677" s="42">
        <f>原始数据!J677/(原始数据!J$2/100)</f>
        <v>24.890843256320331</v>
      </c>
    </row>
    <row r="678" spans="1:3" ht="18" customHeight="1" x14ac:dyDescent="0.3">
      <c r="A678" s="41">
        <f>表1[[#This Row],[订单日期]]</f>
        <v>45912</v>
      </c>
      <c r="B678" s="42">
        <f>原始数据!G678/(原始数据!G$2/100)</f>
        <v>900</v>
      </c>
      <c r="C678" s="42">
        <f>原始数据!J678/(原始数据!J$2/100)</f>
        <v>118.30516583414909</v>
      </c>
    </row>
    <row r="679" spans="1:3" ht="18" customHeight="1" x14ac:dyDescent="0.3">
      <c r="A679" s="41">
        <f>表1[[#This Row],[订单日期]]</f>
        <v>45912</v>
      </c>
      <c r="B679" s="42">
        <f>原始数据!G679/(原始数据!G$2/100)</f>
        <v>900</v>
      </c>
      <c r="C679" s="42">
        <f>原始数据!J679/(原始数据!J$2/100)</f>
        <v>354.88829596898233</v>
      </c>
    </row>
    <row r="680" spans="1:3" ht="18" customHeight="1" x14ac:dyDescent="0.3">
      <c r="A680" s="41">
        <f>表1[[#This Row],[订单日期]]</f>
        <v>45912</v>
      </c>
      <c r="B680" s="42">
        <f>原始数据!G680/(原始数据!G$2/100)</f>
        <v>900</v>
      </c>
      <c r="C680" s="42">
        <f>原始数据!J680/(原始数据!J$2/100)</f>
        <v>42.731538315668409</v>
      </c>
    </row>
    <row r="681" spans="1:3" ht="18" customHeight="1" x14ac:dyDescent="0.3">
      <c r="A681" s="41">
        <f>表1[[#This Row],[订单日期]]</f>
        <v>45912</v>
      </c>
      <c r="B681" s="42">
        <f>原始数据!G681/(原始数据!G$2/100)</f>
        <v>900</v>
      </c>
      <c r="C681" s="42">
        <f>原始数据!J681/(原始数据!J$2/100)</f>
        <v>234.10346606407919</v>
      </c>
    </row>
    <row r="682" spans="1:3" ht="18" customHeight="1" x14ac:dyDescent="0.3">
      <c r="A682" s="41">
        <f>表1[[#This Row],[订单日期]]</f>
        <v>45912</v>
      </c>
      <c r="B682" s="42">
        <f>原始数据!G682/(原始数据!G$2/100)</f>
        <v>900</v>
      </c>
      <c r="C682" s="42">
        <f>原始数据!J682/(原始数据!J$2/100)</f>
        <v>14.806972135819242</v>
      </c>
    </row>
    <row r="683" spans="1:3" ht="18" customHeight="1" x14ac:dyDescent="0.3">
      <c r="A683" s="41">
        <f>表1[[#This Row],[订单日期]]</f>
        <v>45912</v>
      </c>
      <c r="B683" s="42">
        <f>原始数据!G683/(原始数据!G$2/100)</f>
        <v>900</v>
      </c>
      <c r="C683" s="42">
        <f>原始数据!J683/(原始数据!J$2/100)</f>
        <v>184.34898108490347</v>
      </c>
    </row>
    <row r="684" spans="1:3" ht="18" customHeight="1" x14ac:dyDescent="0.3">
      <c r="A684" s="41">
        <f>表1[[#This Row],[订单日期]]</f>
        <v>45912</v>
      </c>
      <c r="B684" s="42">
        <f>原始数据!G684/(原始数据!G$2/100)</f>
        <v>900</v>
      </c>
      <c r="C684" s="42">
        <f>原始数据!J684/(原始数据!J$2/100)</f>
        <v>130.71608413630429</v>
      </c>
    </row>
    <row r="685" spans="1:3" ht="18" customHeight="1" x14ac:dyDescent="0.3">
      <c r="A685" s="41">
        <f>表1[[#This Row],[订单日期]]</f>
        <v>45912</v>
      </c>
      <c r="B685" s="42">
        <f>原始数据!G685/(原始数据!G$2/100)</f>
        <v>900</v>
      </c>
      <c r="C685" s="42">
        <f>原始数据!J685/(原始数据!J$2/100)</f>
        <v>192.43824033541534</v>
      </c>
    </row>
    <row r="686" spans="1:3" ht="18" customHeight="1" x14ac:dyDescent="0.3">
      <c r="A686" s="41">
        <f>表1[[#This Row],[订单日期]]</f>
        <v>45912</v>
      </c>
      <c r="B686" s="42">
        <f>原始数据!G686/(原始数据!G$2/100)</f>
        <v>900</v>
      </c>
      <c r="C686" s="42">
        <f>原始数据!J686/(原始数据!J$2/100)</f>
        <v>129.27553111908983</v>
      </c>
    </row>
    <row r="687" spans="1:3" ht="18" customHeight="1" x14ac:dyDescent="0.3">
      <c r="A687" s="41">
        <f>表1[[#This Row],[订单日期]]</f>
        <v>45912</v>
      </c>
      <c r="B687" s="42">
        <f>原始数据!G687/(原始数据!G$2/100)</f>
        <v>900</v>
      </c>
      <c r="C687" s="42">
        <f>原始数据!J687/(原始数据!J$2/100)</f>
        <v>505.03824507094907</v>
      </c>
    </row>
    <row r="688" spans="1:3" ht="18" customHeight="1" x14ac:dyDescent="0.3">
      <c r="A688" s="41">
        <f>表1[[#This Row],[订单日期]]</f>
        <v>45912</v>
      </c>
      <c r="B688" s="42">
        <f>原始数据!G688/(原始数据!G$2/100)</f>
        <v>900</v>
      </c>
      <c r="C688" s="42">
        <f>原始数据!J688/(原始数据!J$2/100)</f>
        <v>48.715373925636094</v>
      </c>
    </row>
    <row r="689" spans="1:3" ht="18" customHeight="1" x14ac:dyDescent="0.3">
      <c r="A689" s="41">
        <f>表1[[#This Row],[订单日期]]</f>
        <v>45912</v>
      </c>
      <c r="B689" s="42">
        <f>原始数据!G689/(原始数据!G$2/100)</f>
        <v>900</v>
      </c>
      <c r="C689" s="42">
        <f>原始数据!J689/(原始数据!J$2/100)</f>
        <v>368.73976728835197</v>
      </c>
    </row>
    <row r="690" spans="1:3" ht="18" customHeight="1" x14ac:dyDescent="0.3">
      <c r="A690" s="41">
        <f>表1[[#This Row],[订单日期]]</f>
        <v>45912</v>
      </c>
      <c r="B690" s="42">
        <f>原始数据!G690/(原始数据!G$2/100)</f>
        <v>900</v>
      </c>
      <c r="C690" s="42">
        <f>原始数据!J690/(原始数据!J$2/100)</f>
        <v>425.1429585008251</v>
      </c>
    </row>
    <row r="691" spans="1:3" ht="18" customHeight="1" x14ac:dyDescent="0.3">
      <c r="A691" s="41">
        <f>表1[[#This Row],[订单日期]]</f>
        <v>45912</v>
      </c>
      <c r="B691" s="42">
        <f>原始数据!G691/(原始数据!G$2/100)</f>
        <v>900</v>
      </c>
      <c r="C691" s="42">
        <f>原始数据!J691/(原始数据!J$2/100)</f>
        <v>349.90176629400929</v>
      </c>
    </row>
    <row r="692" spans="1:3" ht="18" customHeight="1" x14ac:dyDescent="0.3">
      <c r="A692" s="41">
        <f>表1[[#This Row],[订单日期]]</f>
        <v>45912</v>
      </c>
      <c r="B692" s="42">
        <f>原始数据!G692/(原始数据!G$2/100)</f>
        <v>900</v>
      </c>
      <c r="C692" s="42">
        <f>原始数据!J692/(原始数据!J$2/100)</f>
        <v>39.185561657909787</v>
      </c>
    </row>
    <row r="693" spans="1:3" ht="18" customHeight="1" x14ac:dyDescent="0.3">
      <c r="A693" s="41">
        <f>表1[[#This Row],[订单日期]]</f>
        <v>45912</v>
      </c>
      <c r="B693" s="42">
        <f>原始数据!G693/(原始数据!G$2/100)</f>
        <v>900</v>
      </c>
      <c r="C693" s="42">
        <f>原始数据!J693/(原始数据!J$2/100)</f>
        <v>109.44022418975254</v>
      </c>
    </row>
    <row r="694" spans="1:3" ht="18" customHeight="1" x14ac:dyDescent="0.3">
      <c r="A694" s="41">
        <f>表1[[#This Row],[订单日期]]</f>
        <v>45912</v>
      </c>
      <c r="B694" s="42">
        <f>原始数据!G694/(原始数据!G$2/100)</f>
        <v>900</v>
      </c>
      <c r="C694" s="42">
        <f>原始数据!J694/(原始数据!J$2/100)</f>
        <v>430.2402999463531</v>
      </c>
    </row>
    <row r="695" spans="1:3" ht="18" customHeight="1" x14ac:dyDescent="0.3">
      <c r="A695" s="41">
        <f>表1[[#This Row],[订单日期]]</f>
        <v>45912</v>
      </c>
      <c r="B695" s="42">
        <f>原始数据!G695/(原始数据!G$2/100)</f>
        <v>950</v>
      </c>
      <c r="C695" s="42">
        <f>原始数据!J695/(原始数据!J$2/100)</f>
        <v>104.44444388488076</v>
      </c>
    </row>
    <row r="696" spans="1:3" ht="18" customHeight="1" x14ac:dyDescent="0.3">
      <c r="A696" s="41">
        <f>表1[[#This Row],[订单日期]]</f>
        <v>45912</v>
      </c>
      <c r="B696" s="42">
        <f>原始数据!G696/(原始数据!G$2/100)</f>
        <v>950</v>
      </c>
      <c r="C696" s="42">
        <f>原始数据!J696/(原始数据!J$2/100)</f>
        <v>411.28223655155676</v>
      </c>
    </row>
    <row r="697" spans="1:3" ht="18" customHeight="1" x14ac:dyDescent="0.3">
      <c r="A697" s="41">
        <f>表1[[#This Row],[订单日期]]</f>
        <v>45912</v>
      </c>
      <c r="B697" s="42">
        <f>原始数据!G697/(原始数据!G$2/100)</f>
        <v>950</v>
      </c>
      <c r="C697" s="42">
        <f>原始数据!J697/(原始数据!J$2/100)</f>
        <v>150.209705124078</v>
      </c>
    </row>
    <row r="698" spans="1:3" ht="18" customHeight="1" x14ac:dyDescent="0.3">
      <c r="A698" s="41">
        <f>表1[[#This Row],[订单日期]]</f>
        <v>45912</v>
      </c>
      <c r="B698" s="42">
        <f>原始数据!G698/(原始数据!G$2/100)</f>
        <v>950</v>
      </c>
      <c r="C698" s="42">
        <f>原始数据!J698/(原始数据!J$2/100)</f>
        <v>487.29911115225724</v>
      </c>
    </row>
    <row r="699" spans="1:3" ht="18" customHeight="1" x14ac:dyDescent="0.3">
      <c r="A699" s="41">
        <f>表1[[#This Row],[订单日期]]</f>
        <v>45912</v>
      </c>
      <c r="B699" s="42">
        <f>原始数据!G699/(原始数据!G$2/100)</f>
        <v>950</v>
      </c>
      <c r="C699" s="42">
        <f>原始数据!J699/(原始数据!J$2/100)</f>
        <v>127.16085684864694</v>
      </c>
    </row>
    <row r="700" spans="1:3" ht="18" customHeight="1" x14ac:dyDescent="0.3">
      <c r="A700" s="41">
        <f>表1[[#This Row],[订单日期]]</f>
        <v>45912</v>
      </c>
      <c r="B700" s="42">
        <f>原始数据!G700/(原始数据!G$2/100)</f>
        <v>950</v>
      </c>
      <c r="C700" s="42">
        <f>原始数据!J700/(原始数据!J$2/100)</f>
        <v>101.34171430934197</v>
      </c>
    </row>
    <row r="701" spans="1:3" ht="18" customHeight="1" x14ac:dyDescent="0.3">
      <c r="A701" s="41">
        <f>表1[[#This Row],[订单日期]]</f>
        <v>45912</v>
      </c>
      <c r="B701" s="42">
        <f>原始数据!G701/(原始数据!G$2/100)</f>
        <v>950</v>
      </c>
      <c r="C701" s="42">
        <f>原始数据!J701/(原始数据!J$2/100)</f>
        <v>302.02183078436912</v>
      </c>
    </row>
    <row r="702" spans="1:3" ht="18" customHeight="1" x14ac:dyDescent="0.3">
      <c r="A702" s="41">
        <f>表1[[#This Row],[订单日期]]</f>
        <v>45912</v>
      </c>
      <c r="B702" s="42">
        <f>原始数据!G702/(原始数据!G$2/100)</f>
        <v>950</v>
      </c>
      <c r="C702" s="42">
        <f>原始数据!J702/(原始数据!J$2/100)</f>
        <v>149.43402273019331</v>
      </c>
    </row>
    <row r="703" spans="1:3" ht="18" customHeight="1" x14ac:dyDescent="0.3">
      <c r="A703" s="41">
        <f>表1[[#This Row],[订单日期]]</f>
        <v>45912</v>
      </c>
      <c r="B703" s="42">
        <f>原始数据!G703/(原始数据!G$2/100)</f>
        <v>950</v>
      </c>
      <c r="C703" s="42">
        <f>原始数据!J703/(原始数据!J$2/100)</f>
        <v>409.17681291101258</v>
      </c>
    </row>
    <row r="704" spans="1:3" ht="18" customHeight="1" x14ac:dyDescent="0.3">
      <c r="A704" s="41">
        <f>表1[[#This Row],[订单日期]]</f>
        <v>45913</v>
      </c>
      <c r="B704" s="42">
        <f>原始数据!G704/(原始数据!G$2/100)</f>
        <v>50</v>
      </c>
      <c r="C704" s="42">
        <f>原始数据!J704/(原始数据!J$2/100)</f>
        <v>328.8780539249048</v>
      </c>
    </row>
    <row r="705" spans="1:3" ht="18" customHeight="1" x14ac:dyDescent="0.3">
      <c r="A705" s="41">
        <f>表1[[#This Row],[订单日期]]</f>
        <v>45913</v>
      </c>
      <c r="B705" s="42">
        <f>原始数据!G705/(原始数据!G$2/100)</f>
        <v>50</v>
      </c>
      <c r="C705" s="42">
        <f>原始数据!J705/(原始数据!J$2/100)</f>
        <v>508.50393399449013</v>
      </c>
    </row>
    <row r="706" spans="1:3" ht="18" customHeight="1" x14ac:dyDescent="0.3">
      <c r="A706" s="41">
        <f>表1[[#This Row],[订单日期]]</f>
        <v>45913</v>
      </c>
      <c r="B706" s="42">
        <f>原始数据!G706/(原始数据!G$2/100)</f>
        <v>50</v>
      </c>
      <c r="C706" s="42">
        <f>原始数据!J706/(原始数据!J$2/100)</f>
        <v>114.34646613050801</v>
      </c>
    </row>
    <row r="707" spans="1:3" ht="18" customHeight="1" x14ac:dyDescent="0.3">
      <c r="A707" s="41">
        <f>表1[[#This Row],[订单日期]]</f>
        <v>45913</v>
      </c>
      <c r="B707" s="42">
        <f>原始数据!G707/(原始数据!G$2/100)</f>
        <v>50</v>
      </c>
      <c r="C707" s="42">
        <f>原始数据!J707/(原始数据!J$2/100)</f>
        <v>39.326897464802109</v>
      </c>
    </row>
    <row r="708" spans="1:3" ht="18" customHeight="1" x14ac:dyDescent="0.3">
      <c r="A708" s="41">
        <f>表1[[#This Row],[订单日期]]</f>
        <v>45913</v>
      </c>
      <c r="B708" s="42">
        <f>原始数据!G708/(原始数据!G$2/100)</f>
        <v>50</v>
      </c>
      <c r="C708" s="42">
        <f>原始数据!J708/(原始数据!J$2/100)</f>
        <v>85.646217556774147</v>
      </c>
    </row>
    <row r="709" spans="1:3" ht="18" customHeight="1" x14ac:dyDescent="0.3">
      <c r="A709" s="41">
        <f>表1[[#This Row],[订单日期]]</f>
        <v>45913</v>
      </c>
      <c r="B709" s="42">
        <f>原始数据!G709/(原始数据!G$2/100)</f>
        <v>50</v>
      </c>
      <c r="C709" s="42">
        <f>原始数据!J709/(原始数据!J$2/100)</f>
        <v>316.35632385219463</v>
      </c>
    </row>
    <row r="710" spans="1:3" ht="18" customHeight="1" x14ac:dyDescent="0.3">
      <c r="A710" s="41">
        <f>表1[[#This Row],[订单日期]]</f>
        <v>45913</v>
      </c>
      <c r="B710" s="42">
        <f>原始数据!G710/(原始数据!G$2/100)</f>
        <v>50</v>
      </c>
      <c r="C710" s="42">
        <f>原始数据!J710/(原始数据!J$2/100)</f>
        <v>187.5930464673346</v>
      </c>
    </row>
    <row r="711" spans="1:3" ht="18" customHeight="1" x14ac:dyDescent="0.3">
      <c r="A711" s="41">
        <f>表1[[#This Row],[订单日期]]</f>
        <v>45913</v>
      </c>
      <c r="B711" s="42">
        <f>原始数据!G711/(原始数据!G$2/100)</f>
        <v>50</v>
      </c>
      <c r="C711" s="42">
        <f>原始数据!J711/(原始数据!J$2/100)</f>
        <v>93.403041495621139</v>
      </c>
    </row>
    <row r="712" spans="1:3" ht="18" customHeight="1" x14ac:dyDescent="0.3">
      <c r="A712" s="41">
        <f>表1[[#This Row],[订单日期]]</f>
        <v>45913</v>
      </c>
      <c r="B712" s="42">
        <f>原始数据!G712/(原始数据!G$2/100)</f>
        <v>50</v>
      </c>
      <c r="C712" s="42">
        <f>原始数据!J712/(原始数据!J$2/100)</f>
        <v>259.62069732805668</v>
      </c>
    </row>
    <row r="713" spans="1:3" ht="18" customHeight="1" x14ac:dyDescent="0.3">
      <c r="A713" s="41">
        <f>表1[[#This Row],[订单日期]]</f>
        <v>45913</v>
      </c>
      <c r="B713" s="42">
        <f>原始数据!G713/(原始数据!G$2/100)</f>
        <v>150</v>
      </c>
      <c r="C713" s="42">
        <f>原始数据!J713/(原始数据!J$2/100)</f>
        <v>272.34185803464823</v>
      </c>
    </row>
    <row r="714" spans="1:3" ht="18" customHeight="1" x14ac:dyDescent="0.3">
      <c r="A714" s="41">
        <f>表1[[#This Row],[订单日期]]</f>
        <v>45913</v>
      </c>
      <c r="B714" s="42">
        <f>原始数据!G714/(原始数据!G$2/100)</f>
        <v>150</v>
      </c>
      <c r="C714" s="42">
        <f>原始数据!J714/(原始数据!J$2/100)</f>
        <v>389.35908774068281</v>
      </c>
    </row>
    <row r="715" spans="1:3" ht="18" customHeight="1" x14ac:dyDescent="0.3">
      <c r="A715" s="41">
        <f>表1[[#This Row],[订单日期]]</f>
        <v>45913</v>
      </c>
      <c r="B715" s="42">
        <f>原始数据!G715/(原始数据!G$2/100)</f>
        <v>150</v>
      </c>
      <c r="C715" s="42">
        <f>原始数据!J715/(原始数据!J$2/100)</f>
        <v>274.43148044886726</v>
      </c>
    </row>
    <row r="716" spans="1:3" ht="18" customHeight="1" x14ac:dyDescent="0.3">
      <c r="A716" s="41">
        <f>表1[[#This Row],[订单日期]]</f>
        <v>45913</v>
      </c>
      <c r="B716" s="42">
        <f>原始数据!G716/(原始数据!G$2/100)</f>
        <v>150</v>
      </c>
      <c r="C716" s="42">
        <f>原始数据!J716/(原始数据!J$2/100)</f>
        <v>489.97617540458378</v>
      </c>
    </row>
    <row r="717" spans="1:3" ht="18" customHeight="1" x14ac:dyDescent="0.3">
      <c r="A717" s="41">
        <f>表1[[#This Row],[订单日期]]</f>
        <v>45913</v>
      </c>
      <c r="B717" s="42">
        <f>原始数据!G717/(原始数据!G$2/100)</f>
        <v>150</v>
      </c>
      <c r="C717" s="42">
        <f>原始数据!J717/(原始数据!J$2/100)</f>
        <v>178.37347660404464</v>
      </c>
    </row>
    <row r="718" spans="1:3" ht="18" customHeight="1" x14ac:dyDescent="0.3">
      <c r="A718" s="41">
        <f>表1[[#This Row],[订单日期]]</f>
        <v>45913</v>
      </c>
      <c r="B718" s="42">
        <f>原始数据!G718/(原始数据!G$2/100)</f>
        <v>150</v>
      </c>
      <c r="C718" s="42">
        <f>原始数据!J718/(原始数据!J$2/100)</f>
        <v>326.9562596919169</v>
      </c>
    </row>
    <row r="719" spans="1:3" ht="18" customHeight="1" x14ac:dyDescent="0.3">
      <c r="A719" s="41">
        <f>表1[[#This Row],[订单日期]]</f>
        <v>45913</v>
      </c>
      <c r="B719" s="42">
        <f>原始数据!G719/(原始数据!G$2/100)</f>
        <v>150</v>
      </c>
      <c r="C719" s="42">
        <f>原始数据!J719/(原始数据!J$2/100)</f>
        <v>534.19007185601163</v>
      </c>
    </row>
    <row r="720" spans="1:3" ht="18" customHeight="1" x14ac:dyDescent="0.3">
      <c r="A720" s="41">
        <f>表1[[#This Row],[订单日期]]</f>
        <v>45913</v>
      </c>
      <c r="B720" s="42">
        <f>原始数据!G720/(原始数据!G$2/100)</f>
        <v>150</v>
      </c>
      <c r="C720" s="42">
        <f>原始数据!J720/(原始数据!J$2/100)</f>
        <v>332.73427298709981</v>
      </c>
    </row>
    <row r="721" spans="1:3" ht="18" customHeight="1" x14ac:dyDescent="0.3">
      <c r="A721" s="41">
        <f>表1[[#This Row],[订单日期]]</f>
        <v>45913</v>
      </c>
      <c r="B721" s="42">
        <f>原始数据!G721/(原始数据!G$2/100)</f>
        <v>150</v>
      </c>
      <c r="C721" s="42">
        <f>原始数据!J721/(原始数据!J$2/100)</f>
        <v>111.87061304474534</v>
      </c>
    </row>
    <row r="722" spans="1:3" ht="18" customHeight="1" x14ac:dyDescent="0.3">
      <c r="A722" s="41">
        <f>表1[[#This Row],[订单日期]]</f>
        <v>45913</v>
      </c>
      <c r="B722" s="42">
        <f>原始数据!G722/(原始数据!G$2/100)</f>
        <v>150</v>
      </c>
      <c r="C722" s="42">
        <f>原始数据!J722/(原始数据!J$2/100)</f>
        <v>331.95859059321509</v>
      </c>
    </row>
    <row r="723" spans="1:3" ht="18" customHeight="1" x14ac:dyDescent="0.3">
      <c r="A723" s="41">
        <f>表1[[#This Row],[订单日期]]</f>
        <v>45913</v>
      </c>
      <c r="B723" s="42">
        <f>原始数据!G723/(原始数据!G$2/100)</f>
        <v>150</v>
      </c>
      <c r="C723" s="42">
        <f>原始数据!J723/(原始数据!J$2/100)</f>
        <v>466.81651535859777</v>
      </c>
    </row>
    <row r="724" spans="1:3" ht="18" customHeight="1" x14ac:dyDescent="0.3">
      <c r="A724" s="41">
        <f>表1[[#This Row],[订单日期]]</f>
        <v>45913</v>
      </c>
      <c r="B724" s="42">
        <f>原始数据!G724/(原始数据!G$2/100)</f>
        <v>150</v>
      </c>
      <c r="C724" s="42">
        <f>原始数据!J724/(原始数据!J$2/100)</f>
        <v>208.05522988644802</v>
      </c>
    </row>
    <row r="725" spans="1:3" ht="18" customHeight="1" x14ac:dyDescent="0.3">
      <c r="A725" s="41">
        <f>表1[[#This Row],[订单日期]]</f>
        <v>45913</v>
      </c>
      <c r="B725" s="42">
        <f>原始数据!G725/(原始数据!G$2/100)</f>
        <v>150</v>
      </c>
      <c r="C725" s="42">
        <f>原始数据!J725/(原始数据!J$2/100)</f>
        <v>523.10889480051594</v>
      </c>
    </row>
    <row r="726" spans="1:3" ht="18" customHeight="1" x14ac:dyDescent="0.3">
      <c r="A726" s="41">
        <f>表1[[#This Row],[订单日期]]</f>
        <v>45913</v>
      </c>
      <c r="B726" s="42">
        <f>原始数据!G726/(原始数据!G$2/100)</f>
        <v>150</v>
      </c>
      <c r="C726" s="42">
        <f>原始数据!J726/(原始数据!J$2/100)</f>
        <v>401.99162958394794</v>
      </c>
    </row>
    <row r="727" spans="1:3" ht="18" customHeight="1" x14ac:dyDescent="0.3">
      <c r="A727" s="41">
        <f>表1[[#This Row],[订单日期]]</f>
        <v>45913</v>
      </c>
      <c r="B727" s="42">
        <f>原始数据!G727/(原始数据!G$2/100)</f>
        <v>150</v>
      </c>
      <c r="C727" s="42">
        <f>原始数据!J727/(原始数据!J$2/100)</f>
        <v>92.3677414270729</v>
      </c>
    </row>
    <row r="728" spans="1:3" ht="18" customHeight="1" x14ac:dyDescent="0.3">
      <c r="A728" s="41">
        <f>表1[[#This Row],[订单日期]]</f>
        <v>45913</v>
      </c>
      <c r="B728" s="42">
        <f>原始数据!G728/(原始数据!G$2/100)</f>
        <v>150</v>
      </c>
      <c r="C728" s="42">
        <f>原始数据!J728/(原始数据!J$2/100)</f>
        <v>385.70229931236923</v>
      </c>
    </row>
    <row r="729" spans="1:3" ht="18" customHeight="1" x14ac:dyDescent="0.3">
      <c r="A729" s="41">
        <f>表1[[#This Row],[订单日期]]</f>
        <v>45913</v>
      </c>
      <c r="B729" s="42">
        <f>原始数据!G729/(原始数据!G$2/100)</f>
        <v>150</v>
      </c>
      <c r="C729" s="42">
        <f>原始数据!J729/(原始数据!J$2/100)</f>
        <v>508.5925528578166</v>
      </c>
    </row>
    <row r="730" spans="1:3" ht="18" customHeight="1" x14ac:dyDescent="0.3">
      <c r="A730" s="41">
        <f>表1[[#This Row],[订单日期]]</f>
        <v>45913</v>
      </c>
      <c r="B730" s="42">
        <f>原始数据!G730/(原始数据!G$2/100)</f>
        <v>150</v>
      </c>
      <c r="C730" s="42">
        <f>原始数据!J730/(原始数据!J$2/100)</f>
        <v>166.27919238722924</v>
      </c>
    </row>
    <row r="731" spans="1:3" ht="18" customHeight="1" x14ac:dyDescent="0.3">
      <c r="A731" s="41">
        <f>表1[[#This Row],[订单日期]]</f>
        <v>45913</v>
      </c>
      <c r="B731" s="42">
        <f>原始数据!G731/(原始数据!G$2/100)</f>
        <v>150</v>
      </c>
      <c r="C731" s="42">
        <f>原始数据!J731/(原始数据!J$2/100)</f>
        <v>495.51676393233168</v>
      </c>
    </row>
    <row r="732" spans="1:3" ht="18" customHeight="1" x14ac:dyDescent="0.3">
      <c r="A732" s="41">
        <f>表1[[#This Row],[订单日期]]</f>
        <v>45913</v>
      </c>
      <c r="B732" s="42">
        <f>原始数据!G732/(原始数据!G$2/100)</f>
        <v>150</v>
      </c>
      <c r="C732" s="42">
        <f>原始数据!J732/(原始数据!J$2/100)</f>
        <v>292.06635319343059</v>
      </c>
    </row>
    <row r="733" spans="1:3" ht="18" customHeight="1" x14ac:dyDescent="0.3">
      <c r="A733" s="41">
        <f>表1[[#This Row],[订单日期]]</f>
        <v>45913</v>
      </c>
      <c r="B733" s="42">
        <f>原始数据!G733/(原始数据!G$2/100)</f>
        <v>150</v>
      </c>
      <c r="C733" s="42">
        <f>原始数据!J733/(原始数据!J$2/100)</f>
        <v>123.61666072357077</v>
      </c>
    </row>
    <row r="734" spans="1:3" ht="18" customHeight="1" x14ac:dyDescent="0.3">
      <c r="A734" s="41">
        <f>表1[[#This Row],[订单日期]]</f>
        <v>45913</v>
      </c>
      <c r="B734" s="42">
        <f>原始数据!G734/(原始数据!G$2/100)</f>
        <v>150</v>
      </c>
      <c r="C734" s="42">
        <f>原始数据!J734/(原始数据!J$2/100)</f>
        <v>342.48570879593603</v>
      </c>
    </row>
    <row r="735" spans="1:3" ht="18" customHeight="1" x14ac:dyDescent="0.3">
      <c r="A735" s="41">
        <f>表1[[#This Row],[订单日期]]</f>
        <v>45913</v>
      </c>
      <c r="B735" s="42">
        <f>原始数据!G735/(原始数据!G$2/100)</f>
        <v>150</v>
      </c>
      <c r="C735" s="42">
        <f>原始数据!J735/(原始数据!J$2/100)</f>
        <v>367.08592185913648</v>
      </c>
    </row>
    <row r="736" spans="1:3" ht="18" customHeight="1" x14ac:dyDescent="0.3">
      <c r="A736" s="41">
        <f>表1[[#This Row],[订单日期]]</f>
        <v>45913</v>
      </c>
      <c r="B736" s="42">
        <f>原始数据!G736/(原始数据!G$2/100)</f>
        <v>150</v>
      </c>
      <c r="C736" s="42">
        <f>原始数据!J736/(原始数据!J$2/100)</f>
        <v>478.879197122763</v>
      </c>
    </row>
    <row r="737" spans="1:3" ht="18" customHeight="1" x14ac:dyDescent="0.3">
      <c r="A737" s="41">
        <f>表1[[#This Row],[订单日期]]</f>
        <v>45913</v>
      </c>
      <c r="B737" s="42">
        <f>原始数据!G737/(原始数据!G$2/100)</f>
        <v>150</v>
      </c>
      <c r="C737" s="42">
        <f>原始数据!J737/(原始数据!J$2/100)</f>
        <v>331.07209642877547</v>
      </c>
    </row>
    <row r="738" spans="1:3" ht="18" customHeight="1" x14ac:dyDescent="0.3">
      <c r="A738" s="41">
        <f>表1[[#This Row],[订单日期]]</f>
        <v>45913</v>
      </c>
      <c r="B738" s="42">
        <f>原始数据!G738/(原始数据!G$2/100)</f>
        <v>150</v>
      </c>
      <c r="C738" s="42">
        <f>原始数据!J738/(原始数据!J$2/100)</f>
        <v>372.4048868457744</v>
      </c>
    </row>
    <row r="739" spans="1:3" ht="18" customHeight="1" x14ac:dyDescent="0.3">
      <c r="A739" s="41">
        <f>表1[[#This Row],[订单日期]]</f>
        <v>45913</v>
      </c>
      <c r="B739" s="42">
        <f>原始数据!G739/(原始数据!G$2/100)</f>
        <v>150</v>
      </c>
      <c r="C739" s="42">
        <f>原始数据!J739/(原始数据!J$2/100)</f>
        <v>517.552505046443</v>
      </c>
    </row>
    <row r="740" spans="1:3" ht="18" customHeight="1" x14ac:dyDescent="0.3">
      <c r="A740" s="41">
        <f>表1[[#This Row],[订单日期]]</f>
        <v>45913</v>
      </c>
      <c r="B740" s="42">
        <f>原始数据!G740/(原始数据!G$2/100)</f>
        <v>350</v>
      </c>
      <c r="C740" s="42">
        <f>原始数据!J740/(原始数据!J$2/100)</f>
        <v>520.57232894565232</v>
      </c>
    </row>
    <row r="741" spans="1:3" ht="18" customHeight="1" x14ac:dyDescent="0.3">
      <c r="A741" s="41">
        <f>表1[[#This Row],[订单日期]]</f>
        <v>45913</v>
      </c>
      <c r="B741" s="42">
        <f>原始数据!G741/(原始数据!G$2/100)</f>
        <v>350</v>
      </c>
      <c r="C741" s="42">
        <f>原始数据!J741/(原始数据!J$2/100)</f>
        <v>112.78501330341052</v>
      </c>
    </row>
    <row r="742" spans="1:3" ht="18" customHeight="1" x14ac:dyDescent="0.3">
      <c r="A742" s="41">
        <f>表1[[#This Row],[订单日期]]</f>
        <v>45913</v>
      </c>
      <c r="B742" s="42">
        <f>原始数据!G742/(原始数据!G$2/100)</f>
        <v>350</v>
      </c>
      <c r="C742" s="42">
        <f>原始数据!J742/(原始数据!J$2/100)</f>
        <v>473.92057354201546</v>
      </c>
    </row>
    <row r="743" spans="1:3" ht="18" customHeight="1" x14ac:dyDescent="0.3">
      <c r="A743" s="41">
        <f>表1[[#This Row],[订单日期]]</f>
        <v>45913</v>
      </c>
      <c r="B743" s="42">
        <f>原始数据!G743/(原始数据!G$2/100)</f>
        <v>350</v>
      </c>
      <c r="C743" s="42">
        <f>原始数据!J743/(原始数据!J$2/100)</f>
        <v>389.03875729691839</v>
      </c>
    </row>
    <row r="744" spans="1:3" ht="18" customHeight="1" x14ac:dyDescent="0.3">
      <c r="A744" s="41">
        <f>表1[[#This Row],[订单日期]]</f>
        <v>45913</v>
      </c>
      <c r="B744" s="42">
        <f>原始数据!G744/(原始数据!G$2/100)</f>
        <v>350</v>
      </c>
      <c r="C744" s="42">
        <f>原始数据!J744/(原始数据!J$2/100)</f>
        <v>227.58600759834599</v>
      </c>
    </row>
    <row r="745" spans="1:3" ht="18" customHeight="1" x14ac:dyDescent="0.3">
      <c r="A745" s="41">
        <f>表1[[#This Row],[订单日期]]</f>
        <v>45913</v>
      </c>
      <c r="B745" s="42">
        <f>原始数据!G745/(原始数据!G$2/100)</f>
        <v>350</v>
      </c>
      <c r="C745" s="42">
        <f>原始数据!J745/(原始数据!J$2/100)</f>
        <v>146.80422686378233</v>
      </c>
    </row>
    <row r="746" spans="1:3" ht="18" customHeight="1" x14ac:dyDescent="0.3">
      <c r="A746" s="41">
        <f>表1[[#This Row],[订单日期]]</f>
        <v>45913</v>
      </c>
      <c r="B746" s="42">
        <f>原始数据!G746/(原始数据!G$2/100)</f>
        <v>350</v>
      </c>
      <c r="C746" s="42">
        <f>原始数据!J746/(原始数据!J$2/100)</f>
        <v>373.19267410755953</v>
      </c>
    </row>
    <row r="747" spans="1:3" ht="18" customHeight="1" x14ac:dyDescent="0.3">
      <c r="A747" s="41">
        <f>表1[[#This Row],[订单日期]]</f>
        <v>45913</v>
      </c>
      <c r="B747" s="42">
        <f>原始数据!G747/(原始数据!G$2/100)</f>
        <v>350</v>
      </c>
      <c r="C747" s="42">
        <f>原始数据!J747/(原始数据!J$2/100)</f>
        <v>448.87711339659518</v>
      </c>
    </row>
    <row r="748" spans="1:3" ht="18" customHeight="1" x14ac:dyDescent="0.3">
      <c r="A748" s="41">
        <f>表1[[#This Row],[订单日期]]</f>
        <v>45913</v>
      </c>
      <c r="B748" s="42">
        <f>原始数据!G748/(原始数据!G$2/100)</f>
        <v>350</v>
      </c>
      <c r="C748" s="42">
        <f>原始数据!J748/(原始数据!J$2/100)</f>
        <v>222.04541907059814</v>
      </c>
    </row>
    <row r="749" spans="1:3" ht="18" customHeight="1" x14ac:dyDescent="0.3">
      <c r="A749" s="41">
        <f>表1[[#This Row],[订单日期]]</f>
        <v>45913</v>
      </c>
      <c r="B749" s="42">
        <f>原始数据!G749/(原始数据!G$2/100)</f>
        <v>450</v>
      </c>
      <c r="C749" s="42">
        <f>原始数据!J749/(原始数据!J$2/100)</f>
        <v>319.84710565857677</v>
      </c>
    </row>
    <row r="750" spans="1:3" ht="18" customHeight="1" x14ac:dyDescent="0.3">
      <c r="A750" s="41">
        <f>表1[[#This Row],[订单日期]]</f>
        <v>45913</v>
      </c>
      <c r="B750" s="42">
        <f>原始数据!G750/(原始数据!G$2/100)</f>
        <v>450</v>
      </c>
      <c r="C750" s="42">
        <f>原始数据!J750/(原始数据!J$2/100)</f>
        <v>304.44417170754116</v>
      </c>
    </row>
    <row r="751" spans="1:3" ht="18" customHeight="1" x14ac:dyDescent="0.3">
      <c r="A751" s="41">
        <f>表1[[#This Row],[订单日期]]</f>
        <v>45913</v>
      </c>
      <c r="B751" s="42">
        <f>原始数据!G751/(原始数据!G$2/100)</f>
        <v>450</v>
      </c>
      <c r="C751" s="42">
        <f>原始数据!J751/(原始数据!J$2/100)</f>
        <v>29.077019722369521</v>
      </c>
    </row>
    <row r="752" spans="1:3" ht="18" customHeight="1" x14ac:dyDescent="0.3">
      <c r="A752" s="41">
        <f>表1[[#This Row],[订单日期]]</f>
        <v>45913</v>
      </c>
      <c r="B752" s="42">
        <f>原始数据!G752/(原始数据!G$2/100)</f>
        <v>450</v>
      </c>
      <c r="C752" s="42">
        <f>原始数据!J752/(原始数据!J$2/100)</f>
        <v>405.28288291255205</v>
      </c>
    </row>
    <row r="753" spans="1:3" ht="18" customHeight="1" x14ac:dyDescent="0.3">
      <c r="A753" s="41">
        <f>表1[[#This Row],[订单日期]]</f>
        <v>45913</v>
      </c>
      <c r="B753" s="42">
        <f>原始数据!G753/(原始数据!G$2/100)</f>
        <v>450</v>
      </c>
      <c r="C753" s="42">
        <f>原始数据!J753/(原始数据!J$2/100)</f>
        <v>502.4649035331459</v>
      </c>
    </row>
    <row r="754" spans="1:3" ht="18" customHeight="1" x14ac:dyDescent="0.3">
      <c r="A754" s="41">
        <f>表1[[#This Row],[订单日期]]</f>
        <v>45913</v>
      </c>
      <c r="B754" s="42">
        <f>原始数据!G754/(原始数据!G$2/100)</f>
        <v>450</v>
      </c>
      <c r="C754" s="42">
        <f>原始数据!J754/(原始数据!J$2/100)</f>
        <v>345.66615035398513</v>
      </c>
    </row>
    <row r="755" spans="1:3" ht="18" customHeight="1" x14ac:dyDescent="0.3">
      <c r="A755" s="41">
        <f>表1[[#This Row],[订单日期]]</f>
        <v>45913</v>
      </c>
      <c r="B755" s="42">
        <f>原始数据!G755/(原始数据!G$2/100)</f>
        <v>450</v>
      </c>
      <c r="C755" s="42">
        <f>原始数据!J755/(原始数据!J$2/100)</f>
        <v>219.1192062241208</v>
      </c>
    </row>
    <row r="756" spans="1:3" ht="18" customHeight="1" x14ac:dyDescent="0.3">
      <c r="A756" s="41">
        <f>表1[[#This Row],[订单日期]]</f>
        <v>45913</v>
      </c>
      <c r="B756" s="42">
        <f>原始数据!G756/(原始数据!G$2/100)</f>
        <v>450</v>
      </c>
      <c r="C756" s="42">
        <f>原始数据!J756/(原始数据!J$2/100)</f>
        <v>316.41184292747653</v>
      </c>
    </row>
    <row r="757" spans="1:3" ht="18" customHeight="1" x14ac:dyDescent="0.3">
      <c r="A757" s="41">
        <f>表1[[#This Row],[订单日期]]</f>
        <v>45913</v>
      </c>
      <c r="B757" s="42">
        <f>原始数据!G757/(原始数据!G$2/100)</f>
        <v>450</v>
      </c>
      <c r="C757" s="42">
        <f>原始数据!J757/(原始数据!J$2/100)</f>
        <v>510.33253924254785</v>
      </c>
    </row>
    <row r="758" spans="1:3" ht="18" customHeight="1" x14ac:dyDescent="0.3">
      <c r="A758" s="41">
        <f>表1[[#This Row],[订单日期]]</f>
        <v>45913</v>
      </c>
      <c r="B758" s="42">
        <f>原始数据!G758/(原始数据!G$2/100)</f>
        <v>450</v>
      </c>
      <c r="C758" s="42">
        <f>原始数据!J758/(原始数据!J$2/100)</f>
        <v>53.123076088898628</v>
      </c>
    </row>
    <row r="759" spans="1:3" ht="18" customHeight="1" x14ac:dyDescent="0.3">
      <c r="A759" s="41">
        <f>表1[[#This Row],[订单日期]]</f>
        <v>45913</v>
      </c>
      <c r="B759" s="42">
        <f>原始数据!G759/(原始数据!G$2/100)</f>
        <v>450</v>
      </c>
      <c r="C759" s="42">
        <f>原始数据!J759/(原始数据!J$2/100)</f>
        <v>490.49723231321053</v>
      </c>
    </row>
    <row r="760" spans="1:3" ht="18" customHeight="1" x14ac:dyDescent="0.3">
      <c r="A760" s="41">
        <f>表1[[#This Row],[订单日期]]</f>
        <v>45913</v>
      </c>
      <c r="B760" s="42">
        <f>原始数据!G760/(原始数据!G$2/100)</f>
        <v>450</v>
      </c>
      <c r="C760" s="42">
        <f>原始数据!J760/(原始数据!J$2/100)</f>
        <v>275.30067605158746</v>
      </c>
    </row>
    <row r="761" spans="1:3" ht="18" customHeight="1" x14ac:dyDescent="0.3">
      <c r="A761" s="41">
        <f>表1[[#This Row],[订单日期]]</f>
        <v>45913</v>
      </c>
      <c r="B761" s="42">
        <f>原始数据!G761/(原始数据!G$2/100)</f>
        <v>450</v>
      </c>
      <c r="C761" s="42">
        <f>原始数据!J761/(原始数据!J$2/100)</f>
        <v>274.63590327215428</v>
      </c>
    </row>
    <row r="762" spans="1:3" ht="18" customHeight="1" x14ac:dyDescent="0.3">
      <c r="A762" s="41">
        <f>表1[[#This Row],[订单日期]]</f>
        <v>45913</v>
      </c>
      <c r="B762" s="42">
        <f>原始数据!G762/(原始数据!G$2/100)</f>
        <v>450</v>
      </c>
      <c r="C762" s="42">
        <f>原始数据!J762/(原始数据!J$2/100)</f>
        <v>170.69436464770803</v>
      </c>
    </row>
    <row r="763" spans="1:3" ht="18" customHeight="1" x14ac:dyDescent="0.3">
      <c r="A763" s="41">
        <f>表1[[#This Row],[订单日期]]</f>
        <v>45913</v>
      </c>
      <c r="B763" s="42">
        <f>原始数据!G763/(原始数据!G$2/100)</f>
        <v>450</v>
      </c>
      <c r="C763" s="42">
        <f>原始数据!J763/(原始数据!J$2/100)</f>
        <v>157.28623825445479</v>
      </c>
    </row>
    <row r="764" spans="1:3" ht="18" customHeight="1" x14ac:dyDescent="0.3">
      <c r="A764" s="41">
        <f>表1[[#This Row],[订单日期]]</f>
        <v>45913</v>
      </c>
      <c r="B764" s="42">
        <f>原始数据!G764/(原始数据!G$2/100)</f>
        <v>450</v>
      </c>
      <c r="C764" s="42">
        <f>原始数据!J764/(原始数据!J$2/100)</f>
        <v>486.17547541767067</v>
      </c>
    </row>
    <row r="765" spans="1:3" ht="18" customHeight="1" x14ac:dyDescent="0.3">
      <c r="A765" s="41">
        <f>表1[[#This Row],[订单日期]]</f>
        <v>45913</v>
      </c>
      <c r="B765" s="42">
        <f>原始数据!G765/(原始数据!G$2/100)</f>
        <v>450</v>
      </c>
      <c r="C765" s="42">
        <f>原始数据!J765/(原始数据!J$2/100)</f>
        <v>462.57266613336139</v>
      </c>
    </row>
    <row r="766" spans="1:3" ht="18" customHeight="1" x14ac:dyDescent="0.3">
      <c r="A766" s="41">
        <f>表1[[#This Row],[订单日期]]</f>
        <v>45913</v>
      </c>
      <c r="B766" s="42">
        <f>原始数据!G766/(原始数据!G$2/100)</f>
        <v>550</v>
      </c>
      <c r="C766" s="42">
        <f>原始数据!J766/(原始数据!J$2/100)</f>
        <v>114.61247772178828</v>
      </c>
    </row>
    <row r="767" spans="1:3" ht="18" customHeight="1" x14ac:dyDescent="0.3">
      <c r="A767" s="41">
        <f>表1[[#This Row],[订单日期]]</f>
        <v>45913</v>
      </c>
      <c r="B767" s="42">
        <f>原始数据!G767/(原始数据!G$2/100)</f>
        <v>550</v>
      </c>
      <c r="C767" s="42">
        <f>原始数据!J767/(原始数据!J$2/100)</f>
        <v>55.346357655142512</v>
      </c>
    </row>
    <row r="768" spans="1:3" ht="18" customHeight="1" x14ac:dyDescent="0.3">
      <c r="A768" s="41">
        <f>表1[[#This Row],[订单日期]]</f>
        <v>45913</v>
      </c>
      <c r="B768" s="42">
        <f>原始数据!G768/(原始数据!G$2/100)</f>
        <v>550</v>
      </c>
      <c r="C768" s="42">
        <f>原始数据!J768/(原始数据!J$2/100)</f>
        <v>360.14181107625797</v>
      </c>
    </row>
    <row r="769" spans="1:3" ht="18" customHeight="1" x14ac:dyDescent="0.3">
      <c r="A769" s="41">
        <f>表1[[#This Row],[订单日期]]</f>
        <v>45913</v>
      </c>
      <c r="B769" s="42">
        <f>原始数据!G769/(原始数据!G$2/100)</f>
        <v>550</v>
      </c>
      <c r="C769" s="42">
        <f>原始数据!J769/(原始数据!J$2/100)</f>
        <v>472.20206130263455</v>
      </c>
    </row>
    <row r="770" spans="1:3" ht="18" customHeight="1" x14ac:dyDescent="0.3">
      <c r="A770" s="41">
        <f>表1[[#This Row],[订单日期]]</f>
        <v>45913</v>
      </c>
      <c r="B770" s="42">
        <f>原始数据!G770/(原始数据!G$2/100)</f>
        <v>550</v>
      </c>
      <c r="C770" s="42">
        <f>原始数据!J770/(原始数据!J$2/100)</f>
        <v>509.23136984824646</v>
      </c>
    </row>
    <row r="771" spans="1:3" ht="18" customHeight="1" x14ac:dyDescent="0.3">
      <c r="A771" s="41">
        <f>表1[[#This Row],[订单日期]]</f>
        <v>45913</v>
      </c>
      <c r="B771" s="42">
        <f>原始数据!G771/(原始数据!G$2/100)</f>
        <v>550</v>
      </c>
      <c r="C771" s="42">
        <f>原始数据!J771/(原始数据!J$2/100)</f>
        <v>476.71579370007277</v>
      </c>
    </row>
    <row r="772" spans="1:3" ht="18" customHeight="1" x14ac:dyDescent="0.3">
      <c r="A772" s="41">
        <f>表1[[#This Row],[订单日期]]</f>
        <v>45913</v>
      </c>
      <c r="B772" s="42">
        <f>原始数据!G772/(原始数据!G$2/100)</f>
        <v>550</v>
      </c>
      <c r="C772" s="42">
        <f>原始数据!J772/(原始数据!J$2/100)</f>
        <v>503.89422768135222</v>
      </c>
    </row>
    <row r="773" spans="1:3" ht="18" customHeight="1" x14ac:dyDescent="0.3">
      <c r="A773" s="41">
        <f>表1[[#This Row],[订单日期]]</f>
        <v>45913</v>
      </c>
      <c r="B773" s="42">
        <f>原始数据!G773/(原始数据!G$2/100)</f>
        <v>550</v>
      </c>
      <c r="C773" s="42">
        <f>原始数据!J773/(原始数据!J$2/100)</f>
        <v>38.835403842453921</v>
      </c>
    </row>
    <row r="774" spans="1:3" ht="18" customHeight="1" x14ac:dyDescent="0.3">
      <c r="A774" s="41">
        <f>表1[[#This Row],[订单日期]]</f>
        <v>45913</v>
      </c>
      <c r="B774" s="42">
        <f>原始数据!G774/(原始数据!G$2/100)</f>
        <v>550</v>
      </c>
      <c r="C774" s="42">
        <f>原始数据!J774/(原始数据!J$2/100)</f>
        <v>484.9158647211396</v>
      </c>
    </row>
    <row r="775" spans="1:3" ht="18" customHeight="1" x14ac:dyDescent="0.3">
      <c r="A775" s="41">
        <f>表1[[#This Row],[订单日期]]</f>
        <v>45913</v>
      </c>
      <c r="B775" s="42">
        <f>原始数据!G775/(原始数据!G$2/100)</f>
        <v>550</v>
      </c>
      <c r="C775" s="42">
        <f>原始数据!J775/(原始数据!J$2/100)</f>
        <v>226.9756130645147</v>
      </c>
    </row>
    <row r="776" spans="1:3" ht="18" customHeight="1" x14ac:dyDescent="0.3">
      <c r="A776" s="41">
        <f>表1[[#This Row],[订单日期]]</f>
        <v>45913</v>
      </c>
      <c r="B776" s="42">
        <f>原始数据!G776/(原始数据!G$2/100)</f>
        <v>550</v>
      </c>
      <c r="C776" s="42">
        <f>原始数据!J776/(原始数据!J$2/100)</f>
        <v>222.22888411090779</v>
      </c>
    </row>
    <row r="777" spans="1:3" ht="18" customHeight="1" x14ac:dyDescent="0.3">
      <c r="A777" s="41">
        <f>表1[[#This Row],[订单日期]]</f>
        <v>45913</v>
      </c>
      <c r="B777" s="42">
        <f>原始数据!G777/(原始数据!G$2/100)</f>
        <v>550</v>
      </c>
      <c r="C777" s="42">
        <f>原始数据!J777/(原始数据!J$2/100)</f>
        <v>241.90565189411885</v>
      </c>
    </row>
    <row r="778" spans="1:3" ht="18" customHeight="1" x14ac:dyDescent="0.3">
      <c r="A778" s="41">
        <f>表1[[#This Row],[订单日期]]</f>
        <v>45913</v>
      </c>
      <c r="B778" s="42">
        <f>原始数据!G778/(原始数据!G$2/100)</f>
        <v>550</v>
      </c>
      <c r="C778" s="42">
        <f>原始数据!J778/(原始数据!J$2/100)</f>
        <v>136.33158475055987</v>
      </c>
    </row>
    <row r="779" spans="1:3" ht="18" customHeight="1" x14ac:dyDescent="0.3">
      <c r="A779" s="41">
        <f>表1[[#This Row],[订单日期]]</f>
        <v>45913</v>
      </c>
      <c r="B779" s="42">
        <f>原始数据!G779/(原始数据!G$2/100)</f>
        <v>550</v>
      </c>
      <c r="C779" s="42">
        <f>原始数据!J779/(原始数据!J$2/100)</f>
        <v>293.81328788941005</v>
      </c>
    </row>
    <row r="780" spans="1:3" ht="18" customHeight="1" x14ac:dyDescent="0.3">
      <c r="A780" s="41">
        <f>表1[[#This Row],[订单日期]]</f>
        <v>45913</v>
      </c>
      <c r="B780" s="42">
        <f>原始数据!G780/(原始数据!G$2/100)</f>
        <v>550</v>
      </c>
      <c r="C780" s="42">
        <f>原始数据!J780/(原始数据!J$2/100)</f>
        <v>511.39987788377431</v>
      </c>
    </row>
    <row r="781" spans="1:3" ht="18" customHeight="1" x14ac:dyDescent="0.3">
      <c r="A781" s="41">
        <f>表1[[#This Row],[订单日期]]</f>
        <v>45913</v>
      </c>
      <c r="B781" s="42">
        <f>原始数据!G781/(原始数据!G$2/100)</f>
        <v>550</v>
      </c>
      <c r="C781" s="42">
        <f>原始数据!J781/(原始数据!J$2/100)</f>
        <v>456.0235428016108</v>
      </c>
    </row>
    <row r="782" spans="1:3" ht="18" customHeight="1" x14ac:dyDescent="0.3">
      <c r="A782" s="41">
        <f>表1[[#This Row],[订单日期]]</f>
        <v>45913</v>
      </c>
      <c r="B782" s="42">
        <f>原始数据!G782/(原始数据!G$2/100)</f>
        <v>550</v>
      </c>
      <c r="C782" s="42">
        <f>原始数据!J782/(原始数据!J$2/100)</f>
        <v>253.69942694851559</v>
      </c>
    </row>
    <row r="783" spans="1:3" ht="18" customHeight="1" x14ac:dyDescent="0.3">
      <c r="A783" s="41">
        <f>表1[[#This Row],[订单日期]]</f>
        <v>45913</v>
      </c>
      <c r="B783" s="42">
        <f>原始数据!G783/(原始数据!G$2/100)</f>
        <v>550</v>
      </c>
      <c r="C783" s="42">
        <f>原始数据!J783/(原始数据!J$2/100)</f>
        <v>175.97264841391944</v>
      </c>
    </row>
    <row r="784" spans="1:3" ht="18" customHeight="1" x14ac:dyDescent="0.3">
      <c r="A784" s="41">
        <f>表1[[#This Row],[订单日期]]</f>
        <v>45913</v>
      </c>
      <c r="B784" s="42">
        <f>原始数据!G784/(原始数据!G$2/100)</f>
        <v>550</v>
      </c>
      <c r="C784" s="42">
        <f>原始数据!J784/(原始数据!J$2/100)</f>
        <v>439.51258898892229</v>
      </c>
    </row>
    <row r="785" spans="1:3" ht="18" customHeight="1" x14ac:dyDescent="0.3">
      <c r="A785" s="41">
        <f>表1[[#This Row],[订单日期]]</f>
        <v>45913</v>
      </c>
      <c r="B785" s="42">
        <f>原始数据!G785/(原始数据!G$2/100)</f>
        <v>550</v>
      </c>
      <c r="C785" s="42">
        <f>原始数据!J785/(原始数据!J$2/100)</f>
        <v>376.14643341174309</v>
      </c>
    </row>
    <row r="786" spans="1:3" ht="18" customHeight="1" x14ac:dyDescent="0.3">
      <c r="A786" s="41">
        <f>表1[[#This Row],[订单日期]]</f>
        <v>45913</v>
      </c>
      <c r="B786" s="42">
        <f>原始数据!G786/(原始数据!G$2/100)</f>
        <v>550</v>
      </c>
      <c r="C786" s="42">
        <f>原始数据!J786/(原始数据!J$2/100)</f>
        <v>487.79697075556851</v>
      </c>
    </row>
    <row r="787" spans="1:3" ht="18" customHeight="1" x14ac:dyDescent="0.3">
      <c r="A787" s="41">
        <f>表1[[#This Row],[订单日期]]</f>
        <v>45913</v>
      </c>
      <c r="B787" s="42">
        <f>原始数据!G787/(原始数据!G$2/100)</f>
        <v>550</v>
      </c>
      <c r="C787" s="42">
        <f>原始数据!J787/(原始数据!J$2/100)</f>
        <v>221.98908338954163</v>
      </c>
    </row>
    <row r="788" spans="1:3" ht="18" customHeight="1" x14ac:dyDescent="0.3">
      <c r="A788" s="41">
        <f>表1[[#This Row],[订单日期]]</f>
        <v>45913</v>
      </c>
      <c r="B788" s="42">
        <f>原始数据!G788/(原始数据!G$2/100)</f>
        <v>550</v>
      </c>
      <c r="C788" s="42">
        <f>原始数据!J788/(原始数据!J$2/100)</f>
        <v>498.15019279275077</v>
      </c>
    </row>
    <row r="789" spans="1:3" ht="18" customHeight="1" x14ac:dyDescent="0.3">
      <c r="A789" s="41">
        <f>表1[[#This Row],[订单日期]]</f>
        <v>45913</v>
      </c>
      <c r="B789" s="42">
        <f>原始数据!G789/(原始数据!G$2/100)</f>
        <v>550</v>
      </c>
      <c r="C789" s="42">
        <f>原始数据!J789/(原始数据!J$2/100)</f>
        <v>372.7743529195231</v>
      </c>
    </row>
    <row r="790" spans="1:3" ht="18" customHeight="1" x14ac:dyDescent="0.3">
      <c r="A790" s="41">
        <f>表1[[#This Row],[订单日期]]</f>
        <v>45913</v>
      </c>
      <c r="B790" s="42">
        <f>原始数据!G790/(原始数据!G$2/100)</f>
        <v>550</v>
      </c>
      <c r="C790" s="42">
        <f>原始数据!J790/(原始数据!J$2/100)</f>
        <v>381.33640944756985</v>
      </c>
    </row>
    <row r="791" spans="1:3" ht="18" customHeight="1" x14ac:dyDescent="0.3">
      <c r="A791" s="41">
        <f>表1[[#This Row],[订单日期]]</f>
        <v>45913</v>
      </c>
      <c r="B791" s="42">
        <f>原始数据!G791/(原始数据!G$2/100)</f>
        <v>550</v>
      </c>
      <c r="C791" s="42">
        <f>原始数据!J791/(原始数据!J$2/100)</f>
        <v>43.157062894097244</v>
      </c>
    </row>
    <row r="792" spans="1:3" ht="18" customHeight="1" x14ac:dyDescent="0.3">
      <c r="A792" s="41">
        <f>表1[[#This Row],[订单日期]]</f>
        <v>45913</v>
      </c>
      <c r="B792" s="42">
        <f>原始数据!G792/(原始数据!G$2/100)</f>
        <v>550</v>
      </c>
      <c r="C792" s="42">
        <f>原始数据!J792/(原始数据!J$2/100)</f>
        <v>539.54606760473337</v>
      </c>
    </row>
    <row r="793" spans="1:3" ht="18" customHeight="1" x14ac:dyDescent="0.3">
      <c r="A793" s="41">
        <f>表1[[#This Row],[订单日期]]</f>
        <v>45913</v>
      </c>
      <c r="B793" s="42">
        <f>原始数据!G793/(原始数据!G$2/100)</f>
        <v>650</v>
      </c>
      <c r="C793" s="42">
        <f>原始数据!J793/(原始数据!J$2/100)</f>
        <v>445.19584707999525</v>
      </c>
    </row>
    <row r="794" spans="1:3" ht="18" customHeight="1" x14ac:dyDescent="0.3">
      <c r="A794" s="41">
        <f>表1[[#This Row],[订单日期]]</f>
        <v>45913</v>
      </c>
      <c r="B794" s="42">
        <f>原始数据!G794/(原始数据!G$2/100)</f>
        <v>650</v>
      </c>
      <c r="C794" s="42">
        <f>原始数据!J794/(原始数据!J$2/100)</f>
        <v>454.4798492478763</v>
      </c>
    </row>
    <row r="795" spans="1:3" ht="18" customHeight="1" x14ac:dyDescent="0.3">
      <c r="A795" s="41">
        <f>表1[[#This Row],[订单日期]]</f>
        <v>45913</v>
      </c>
      <c r="B795" s="42">
        <f>原始数据!G795/(原始数据!G$2/100)</f>
        <v>650</v>
      </c>
      <c r="C795" s="42">
        <f>原始数据!J795/(原始数据!J$2/100)</f>
        <v>364.85731342765138</v>
      </c>
    </row>
    <row r="796" spans="1:3" ht="18" customHeight="1" x14ac:dyDescent="0.3">
      <c r="A796" s="41">
        <f>表1[[#This Row],[订单日期]]</f>
        <v>45913</v>
      </c>
      <c r="B796" s="42">
        <f>原始数据!G796/(原始数据!G$2/100)</f>
        <v>650</v>
      </c>
      <c r="C796" s="42">
        <f>原始数据!J796/(原始数据!J$2/100)</f>
        <v>164.92869278777357</v>
      </c>
    </row>
    <row r="797" spans="1:3" ht="18" customHeight="1" x14ac:dyDescent="0.3">
      <c r="A797" s="41">
        <f>表1[[#This Row],[订单日期]]</f>
        <v>45913</v>
      </c>
      <c r="B797" s="42">
        <f>原始数据!G797/(原始数据!G$2/100)</f>
        <v>650</v>
      </c>
      <c r="C797" s="42">
        <f>原始数据!J797/(原始数据!J$2/100)</f>
        <v>157.52849071932681</v>
      </c>
    </row>
    <row r="798" spans="1:3" ht="18" customHeight="1" x14ac:dyDescent="0.3">
      <c r="A798" s="41">
        <f>表1[[#This Row],[订单日期]]</f>
        <v>45913</v>
      </c>
      <c r="B798" s="42">
        <f>原始数据!G798/(原始数据!G$2/100)</f>
        <v>650</v>
      </c>
      <c r="C798" s="42">
        <f>原始数据!J798/(原始数据!J$2/100)</f>
        <v>305.54882962201407</v>
      </c>
    </row>
    <row r="799" spans="1:3" ht="18" customHeight="1" x14ac:dyDescent="0.3">
      <c r="A799" s="41">
        <f>表1[[#This Row],[订单日期]]</f>
        <v>45913</v>
      </c>
      <c r="B799" s="42">
        <f>原始数据!G799/(原始数据!G$2/100)</f>
        <v>650</v>
      </c>
      <c r="C799" s="42">
        <f>原始数据!J799/(原始数据!J$2/100)</f>
        <v>93.590099109116593</v>
      </c>
    </row>
    <row r="800" spans="1:3" ht="18" customHeight="1" x14ac:dyDescent="0.3">
      <c r="A800" s="41">
        <f>表1[[#This Row],[订单日期]]</f>
        <v>45913</v>
      </c>
      <c r="B800" s="42">
        <f>原始数据!G800/(原始数据!G$2/100)</f>
        <v>650</v>
      </c>
      <c r="C800" s="42">
        <f>原始数据!J800/(原始数据!J$2/100)</f>
        <v>133.67977349127568</v>
      </c>
    </row>
    <row r="801" spans="1:3" ht="18" customHeight="1" x14ac:dyDescent="0.3">
      <c r="A801" s="41">
        <f>表1[[#This Row],[订单日期]]</f>
        <v>45913</v>
      </c>
      <c r="B801" s="42">
        <f>原始数据!G801/(原始数据!G$2/100)</f>
        <v>650</v>
      </c>
      <c r="C801" s="42">
        <f>原始数据!J801/(原始数据!J$2/100)</f>
        <v>506.25313265577654</v>
      </c>
    </row>
    <row r="802" spans="1:3" ht="18" customHeight="1" x14ac:dyDescent="0.3">
      <c r="A802" s="41">
        <f>表1[[#This Row],[订单日期]]</f>
        <v>45913</v>
      </c>
      <c r="B802" s="42">
        <f>原始数据!G802/(原始数据!G$2/100)</f>
        <v>650</v>
      </c>
      <c r="C802" s="42">
        <f>原始数据!J802/(原始数据!J$2/100)</f>
        <v>460.13124954617911</v>
      </c>
    </row>
    <row r="803" spans="1:3" ht="18" customHeight="1" x14ac:dyDescent="0.3">
      <c r="A803" s="41">
        <f>表1[[#This Row],[订单日期]]</f>
        <v>45913</v>
      </c>
      <c r="B803" s="42">
        <f>原始数据!G803/(原始数据!G$2/100)</f>
        <v>650</v>
      </c>
      <c r="C803" s="42">
        <f>原始数据!J803/(原始数据!J$2/100)</f>
        <v>455.50134174160621</v>
      </c>
    </row>
    <row r="804" spans="1:3" ht="18" customHeight="1" x14ac:dyDescent="0.3">
      <c r="A804" s="41">
        <f>表1[[#This Row],[订单日期]]</f>
        <v>45913</v>
      </c>
      <c r="B804" s="42">
        <f>原始数据!G804/(原始数据!G$2/100)</f>
        <v>650</v>
      </c>
      <c r="C804" s="42">
        <f>原始数据!J804/(原始数据!J$2/100)</f>
        <v>252.69161506729955</v>
      </c>
    </row>
    <row r="805" spans="1:3" ht="18" customHeight="1" x14ac:dyDescent="0.3">
      <c r="A805" s="41">
        <f>表1[[#This Row],[订单日期]]</f>
        <v>45913</v>
      </c>
      <c r="B805" s="42">
        <f>原始数据!G805/(原始数据!G$2/100)</f>
        <v>650</v>
      </c>
      <c r="C805" s="42">
        <f>原始数据!J805/(原始数据!J$2/100)</f>
        <v>124.61739486450456</v>
      </c>
    </row>
    <row r="806" spans="1:3" ht="18" customHeight="1" x14ac:dyDescent="0.3">
      <c r="A806" s="41">
        <f>表1[[#This Row],[订单日期]]</f>
        <v>45913</v>
      </c>
      <c r="B806" s="42">
        <f>原始数据!G806/(原始数据!G$2/100)</f>
        <v>650</v>
      </c>
      <c r="C806" s="42">
        <f>原始数据!J806/(原始数据!J$2/100)</f>
        <v>119.60667863079614</v>
      </c>
    </row>
    <row r="807" spans="1:3" ht="18" customHeight="1" x14ac:dyDescent="0.3">
      <c r="A807" s="41">
        <f>表1[[#This Row],[订单日期]]</f>
        <v>45913</v>
      </c>
      <c r="B807" s="42">
        <f>原始数据!G807/(原始数据!G$2/100)</f>
        <v>650</v>
      </c>
      <c r="C807" s="42">
        <f>原始数据!J807/(原始数据!J$2/100)</f>
        <v>308.89736929739809</v>
      </c>
    </row>
    <row r="808" spans="1:3" ht="18" customHeight="1" x14ac:dyDescent="0.3">
      <c r="A808" s="41">
        <f>表1[[#This Row],[订单日期]]</f>
        <v>45913</v>
      </c>
      <c r="B808" s="42">
        <f>原始数据!G808/(原始数据!G$2/100)</f>
        <v>650</v>
      </c>
      <c r="C808" s="42">
        <f>原始数据!J808/(原始数据!J$2/100)</f>
        <v>407.60647030312947</v>
      </c>
    </row>
    <row r="809" spans="1:3" ht="18" customHeight="1" x14ac:dyDescent="0.3">
      <c r="A809" s="41">
        <f>表1[[#This Row],[订单日期]]</f>
        <v>45913</v>
      </c>
      <c r="B809" s="42">
        <f>原始数据!G809/(原始数据!G$2/100)</f>
        <v>650</v>
      </c>
      <c r="C809" s="42">
        <f>原始数据!J809/(原始数据!J$2/100)</f>
        <v>8.2650357817996927</v>
      </c>
    </row>
    <row r="810" spans="1:3" ht="18" customHeight="1" x14ac:dyDescent="0.3">
      <c r="A810" s="41">
        <f>表1[[#This Row],[订单日期]]</f>
        <v>45913</v>
      </c>
      <c r="B810" s="42">
        <f>原始数据!G810/(原始数据!G$2/100)</f>
        <v>650</v>
      </c>
      <c r="C810" s="42">
        <f>原始数据!J810/(原始数据!J$2/100)</f>
        <v>255.46190933117347</v>
      </c>
    </row>
    <row r="811" spans="1:3" ht="18" customHeight="1" x14ac:dyDescent="0.3">
      <c r="A811" s="41">
        <f>表1[[#This Row],[订单日期]]</f>
        <v>45913</v>
      </c>
      <c r="B811" s="42">
        <f>原始数据!G811/(原始数据!G$2/100)</f>
        <v>900</v>
      </c>
      <c r="C811" s="42">
        <f>原始数据!J811/(原始数据!J$2/100)</f>
        <v>322.91108658439458</v>
      </c>
    </row>
    <row r="812" spans="1:3" ht="18" customHeight="1" x14ac:dyDescent="0.3">
      <c r="A812" s="41">
        <f>表1[[#This Row],[订单日期]]</f>
        <v>45913</v>
      </c>
      <c r="B812" s="42">
        <f>原始数据!G812/(原始数据!G$2/100)</f>
        <v>900</v>
      </c>
      <c r="C812" s="42">
        <f>原始数据!J812/(原始数据!J$2/100)</f>
        <v>297.75681466841934</v>
      </c>
    </row>
    <row r="813" spans="1:3" ht="18" customHeight="1" x14ac:dyDescent="0.3">
      <c r="A813" s="41">
        <f>表1[[#This Row],[订单日期]]</f>
        <v>45913</v>
      </c>
      <c r="B813" s="42">
        <f>原始数据!G813/(原始数据!G$2/100)</f>
        <v>900</v>
      </c>
      <c r="C813" s="42">
        <f>原始数据!J813/(原始数据!J$2/100)</f>
        <v>156.13937189918425</v>
      </c>
    </row>
    <row r="814" spans="1:3" ht="18" customHeight="1" x14ac:dyDescent="0.3">
      <c r="A814" s="41">
        <f>表1[[#This Row],[订单日期]]</f>
        <v>45913</v>
      </c>
      <c r="B814" s="42">
        <f>原始数据!G814/(原始数据!G$2/100)</f>
        <v>900</v>
      </c>
      <c r="C814" s="42">
        <f>原始数据!J814/(原始数据!J$2/100)</f>
        <v>184.83962047291811</v>
      </c>
    </row>
    <row r="815" spans="1:3" ht="18" customHeight="1" x14ac:dyDescent="0.3">
      <c r="A815" s="41">
        <f>表1[[#This Row],[订单日期]]</f>
        <v>45913</v>
      </c>
      <c r="B815" s="42">
        <f>原始数据!G815/(原始数据!G$2/100)</f>
        <v>900</v>
      </c>
      <c r="C815" s="42">
        <f>原始数据!J815/(原始数据!J$2/100)</f>
        <v>317.70293336831162</v>
      </c>
    </row>
    <row r="816" spans="1:3" ht="18" customHeight="1" x14ac:dyDescent="0.3">
      <c r="A816" s="41">
        <f>表1[[#This Row],[订单日期]]</f>
        <v>45913</v>
      </c>
      <c r="B816" s="42">
        <f>原始数据!G816/(原始数据!G$2/100)</f>
        <v>900</v>
      </c>
      <c r="C816" s="42">
        <f>原始数据!J816/(原始数据!J$2/100)</f>
        <v>439.92831629042917</v>
      </c>
    </row>
    <row r="817" spans="1:3" ht="18" customHeight="1" x14ac:dyDescent="0.3">
      <c r="A817" s="41">
        <f>表1[[#This Row],[订单日期]]</f>
        <v>45913</v>
      </c>
      <c r="B817" s="42">
        <f>原始数据!G817/(原始数据!G$2/100)</f>
        <v>900</v>
      </c>
      <c r="C817" s="42">
        <f>原始数据!J817/(原始数据!J$2/100)</f>
        <v>80.898179692368444</v>
      </c>
    </row>
    <row r="818" spans="1:3" ht="18" customHeight="1" x14ac:dyDescent="0.3">
      <c r="A818" s="41">
        <f>表1[[#This Row],[订单日期]]</f>
        <v>45913</v>
      </c>
      <c r="B818" s="42">
        <f>原始数据!G818/(原始数据!G$2/100)</f>
        <v>900</v>
      </c>
      <c r="C818" s="42">
        <f>原始数据!J818/(原始数据!J$2/100)</f>
        <v>326.23543970104328</v>
      </c>
    </row>
    <row r="819" spans="1:3" ht="18" customHeight="1" x14ac:dyDescent="0.3">
      <c r="A819" s="41">
        <f>表1[[#This Row],[订单日期]]</f>
        <v>45913</v>
      </c>
      <c r="B819" s="42">
        <f>原始数据!G819/(原始数据!G$2/100)</f>
        <v>900</v>
      </c>
      <c r="C819" s="42">
        <f>原始数据!J819/(原始数据!J$2/100)</f>
        <v>115.0282050232952</v>
      </c>
    </row>
    <row r="820" spans="1:3" ht="18" customHeight="1" x14ac:dyDescent="0.3">
      <c r="A820" s="41">
        <f>表1[[#This Row],[订单日期]]</f>
        <v>45913</v>
      </c>
      <c r="B820" s="42">
        <f>原始数据!G820/(原始数据!G$2/100)</f>
        <v>950</v>
      </c>
      <c r="C820" s="42">
        <f>原始数据!J820/(原始数据!J$2/100)</f>
        <v>538.73639957669195</v>
      </c>
    </row>
    <row r="821" spans="1:3" ht="18" customHeight="1" x14ac:dyDescent="0.3">
      <c r="A821" s="41">
        <f>表1[[#This Row],[订单日期]]</f>
        <v>45913</v>
      </c>
      <c r="B821" s="42">
        <f>原始数据!G821/(原始数据!G$2/100)</f>
        <v>950</v>
      </c>
      <c r="C821" s="42">
        <f>原始数据!J821/(原始数据!J$2/100)</f>
        <v>138.48428433218714</v>
      </c>
    </row>
    <row r="822" spans="1:3" ht="18" customHeight="1" x14ac:dyDescent="0.3">
      <c r="A822" s="41">
        <f>表1[[#This Row],[订单日期]]</f>
        <v>45913</v>
      </c>
      <c r="B822" s="42">
        <f>原始数据!G822/(原始数据!G$2/100)</f>
        <v>950</v>
      </c>
      <c r="C822" s="42">
        <f>原始数据!J822/(原始数据!J$2/100)</f>
        <v>419.50293445955816</v>
      </c>
    </row>
    <row r="823" spans="1:3" ht="18" customHeight="1" x14ac:dyDescent="0.3">
      <c r="A823" s="41">
        <f>表1[[#This Row],[订单日期]]</f>
        <v>45913</v>
      </c>
      <c r="B823" s="42">
        <f>原始数据!G823/(原始数据!G$2/100)</f>
        <v>950</v>
      </c>
      <c r="C823" s="42">
        <f>原始数据!J823/(原始数据!J$2/100)</f>
        <v>412.07854583237605</v>
      </c>
    </row>
    <row r="824" spans="1:3" ht="18" customHeight="1" x14ac:dyDescent="0.3">
      <c r="A824" s="41">
        <f>表1[[#This Row],[订单日期]]</f>
        <v>45913</v>
      </c>
      <c r="B824" s="42">
        <f>原始数据!G824/(原始数据!G$2/100)</f>
        <v>950</v>
      </c>
      <c r="C824" s="42">
        <f>原始数据!J824/(原始数据!J$2/100)</f>
        <v>537.62828187114235</v>
      </c>
    </row>
    <row r="825" spans="1:3" ht="18" customHeight="1" x14ac:dyDescent="0.3">
      <c r="A825" s="41">
        <f>表1[[#This Row],[订单日期]]</f>
        <v>45913</v>
      </c>
      <c r="B825" s="42">
        <f>原始数据!G825/(原始数据!G$2/100)</f>
        <v>950</v>
      </c>
      <c r="C825" s="42">
        <f>原始数据!J825/(原始数据!J$2/100)</f>
        <v>210.2903116517993</v>
      </c>
    </row>
    <row r="826" spans="1:3" ht="18" customHeight="1" x14ac:dyDescent="0.3">
      <c r="A826" s="41">
        <f>表1[[#This Row],[订单日期]]</f>
        <v>45913</v>
      </c>
      <c r="B826" s="42">
        <f>原始数据!G826/(原始数据!G$2/100)</f>
        <v>950</v>
      </c>
      <c r="C826" s="42">
        <f>原始数据!J826/(原始数据!J$2/100)</f>
        <v>470.58716068539337</v>
      </c>
    </row>
    <row r="827" spans="1:3" ht="18" customHeight="1" x14ac:dyDescent="0.3">
      <c r="A827" s="41">
        <f>表1[[#This Row],[订单日期]]</f>
        <v>45913</v>
      </c>
      <c r="B827" s="42">
        <f>原始数据!G827/(原始数据!G$2/100)</f>
        <v>950</v>
      </c>
      <c r="C827" s="42">
        <f>原始数据!J827/(原始数据!J$2/100)</f>
        <v>63.46471566648124</v>
      </c>
    </row>
    <row r="828" spans="1:3" ht="18" customHeight="1" x14ac:dyDescent="0.3">
      <c r="A828" s="41">
        <f>表1[[#This Row],[订单日期]]</f>
        <v>45913</v>
      </c>
      <c r="B828" s="42">
        <f>原始数据!G828/(原始数据!G$2/100)</f>
        <v>950</v>
      </c>
      <c r="C828" s="42">
        <f>原始数据!J828/(原始数据!J$2/100)</f>
        <v>145.02217879492963</v>
      </c>
    </row>
    <row r="829" spans="1:3" ht="18" customHeight="1" x14ac:dyDescent="0.3">
      <c r="A829" s="41">
        <f>表1[[#This Row],[订单日期]]</f>
        <v>45914</v>
      </c>
      <c r="B829" s="42">
        <f>原始数据!G829/(原始数据!G$2/100)</f>
        <v>600</v>
      </c>
      <c r="C829" s="42">
        <f>原始数据!J829/(原始数据!J$2/100)</f>
        <v>458.111933007365</v>
      </c>
    </row>
    <row r="830" spans="1:3" ht="18" customHeight="1" x14ac:dyDescent="0.3">
      <c r="A830" s="41">
        <f>表1[[#This Row],[订单日期]]</f>
        <v>45914</v>
      </c>
      <c r="B830" s="42">
        <f>原始数据!G830/(原始数据!G$2/100)</f>
        <v>600</v>
      </c>
      <c r="C830" s="42">
        <f>原始数据!J830/(原始数据!J$2/100)</f>
        <v>221.52880287253174</v>
      </c>
    </row>
    <row r="831" spans="1:3" ht="18" customHeight="1" x14ac:dyDescent="0.3">
      <c r="A831" s="41">
        <f>表1[[#This Row],[订单日期]]</f>
        <v>45914</v>
      </c>
      <c r="B831" s="42">
        <f>原始数据!G831/(原始数据!G$2/100)</f>
        <v>600</v>
      </c>
      <c r="C831" s="42">
        <f>原始数据!J831/(原始数据!J$2/100)</f>
        <v>497.89335863659454</v>
      </c>
    </row>
    <row r="832" spans="1:3" ht="18" customHeight="1" x14ac:dyDescent="0.3">
      <c r="A832" s="41">
        <f>表1[[#This Row],[订单日期]]</f>
        <v>45914</v>
      </c>
      <c r="B832" s="42">
        <f>原始数据!G832/(原始数据!G$2/100)</f>
        <v>600</v>
      </c>
      <c r="C832" s="42">
        <f>原始数据!J832/(原始数据!J$2/100)</f>
        <v>171.10944727002629</v>
      </c>
    </row>
    <row r="833" spans="1:3" ht="18" customHeight="1" x14ac:dyDescent="0.3">
      <c r="A833" s="41">
        <f>表1[[#This Row],[订单日期]]</f>
        <v>45914</v>
      </c>
      <c r="B833" s="42">
        <f>原始数据!G833/(原始数据!G$2/100)</f>
        <v>600</v>
      </c>
      <c r="C833" s="42">
        <f>原始数据!J833/(原始数据!J$2/100)</f>
        <v>113.70895012255856</v>
      </c>
    </row>
    <row r="834" spans="1:3" ht="18" customHeight="1" x14ac:dyDescent="0.3">
      <c r="A834" s="41">
        <f>表1[[#This Row],[订单日期]]</f>
        <v>45914</v>
      </c>
      <c r="B834" s="42">
        <f>原始数据!G834/(原始数据!G$2/100)</f>
        <v>600</v>
      </c>
      <c r="C834" s="42">
        <f>原始数据!J834/(原始数据!J$2/100)</f>
        <v>198.47995459710069</v>
      </c>
    </row>
    <row r="835" spans="1:3" ht="18" customHeight="1" x14ac:dyDescent="0.3">
      <c r="A835" s="41">
        <f>表1[[#This Row],[订单日期]]</f>
        <v>45914</v>
      </c>
      <c r="B835" s="42">
        <f>原始数据!G835/(原始数据!G$2/100)</f>
        <v>600</v>
      </c>
      <c r="C835" s="42">
        <f>原始数据!J835/(原始数据!J$2/100)</f>
        <v>449.8010502157432</v>
      </c>
    </row>
    <row r="836" spans="1:3" ht="18" customHeight="1" x14ac:dyDescent="0.3">
      <c r="A836" s="41">
        <f>表1[[#This Row],[订单日期]]</f>
        <v>45914</v>
      </c>
      <c r="B836" s="42">
        <f>原始数据!G836/(原始数据!G$2/100)</f>
        <v>600</v>
      </c>
      <c r="C836" s="42">
        <f>原始数据!J836/(原始数据!J$2/100)</f>
        <v>304.85925432985943</v>
      </c>
    </row>
    <row r="837" spans="1:3" ht="18" customHeight="1" x14ac:dyDescent="0.3">
      <c r="A837" s="41">
        <f>表1[[#This Row],[订单日期]]</f>
        <v>45914</v>
      </c>
      <c r="B837" s="42">
        <f>原始数据!G837/(原始数据!G$2/100)</f>
        <v>600</v>
      </c>
      <c r="C837" s="42">
        <f>原始数据!J837/(原始数据!J$2/100)</f>
        <v>126.56311550693357</v>
      </c>
    </row>
    <row r="838" spans="1:3" ht="18" customHeight="1" x14ac:dyDescent="0.3">
      <c r="A838" s="41">
        <f>表1[[#This Row],[订单日期]]</f>
        <v>45914</v>
      </c>
      <c r="B838" s="42">
        <f>原始数据!G838/(原始数据!G$2/100)</f>
        <v>700</v>
      </c>
      <c r="C838" s="42">
        <f>原始数据!J838/(原始数据!J$2/100)</f>
        <v>62.88023205769727</v>
      </c>
    </row>
    <row r="839" spans="1:3" ht="18" customHeight="1" x14ac:dyDescent="0.3">
      <c r="A839" s="41">
        <f>表1[[#This Row],[订单日期]]</f>
        <v>45914</v>
      </c>
      <c r="B839" s="42">
        <f>原始数据!G839/(原始数据!G$2/100)</f>
        <v>700</v>
      </c>
      <c r="C839" s="42">
        <f>原始数据!J839/(原始数据!J$2/100)</f>
        <v>97.785939782508734</v>
      </c>
    </row>
    <row r="840" spans="1:3" ht="18" customHeight="1" x14ac:dyDescent="0.3">
      <c r="A840" s="41">
        <f>表1[[#This Row],[订单日期]]</f>
        <v>45914</v>
      </c>
      <c r="B840" s="42">
        <f>原始数据!G840/(原始数据!G$2/100)</f>
        <v>700</v>
      </c>
      <c r="C840" s="42">
        <f>原始数据!J840/(原始数据!J$2/100)</f>
        <v>77.507385770951601</v>
      </c>
    </row>
    <row r="841" spans="1:3" ht="18" customHeight="1" x14ac:dyDescent="0.3">
      <c r="A841" s="41">
        <f>表1[[#This Row],[订单日期]]</f>
        <v>45914</v>
      </c>
      <c r="B841" s="42">
        <f>原始数据!G841/(原始数据!G$2/100)</f>
        <v>700</v>
      </c>
      <c r="C841" s="42">
        <f>原始数据!J841/(原始数据!J$2/100)</f>
        <v>70.082997143769475</v>
      </c>
    </row>
    <row r="842" spans="1:3" ht="18" customHeight="1" x14ac:dyDescent="0.3">
      <c r="A842" s="41">
        <f>表1[[#This Row],[订单日期]]</f>
        <v>45914</v>
      </c>
      <c r="B842" s="42">
        <f>原始数据!G842/(原始数据!G$2/100)</f>
        <v>700</v>
      </c>
      <c r="C842" s="42">
        <f>原始数据!J842/(原始数据!J$2/100)</f>
        <v>532.61132744016004</v>
      </c>
    </row>
    <row r="843" spans="1:3" ht="18" customHeight="1" x14ac:dyDescent="0.3">
      <c r="A843" s="41">
        <f>表1[[#This Row],[订单日期]]</f>
        <v>45914</v>
      </c>
      <c r="B843" s="42">
        <f>原始数据!G843/(原始数据!G$2/100)</f>
        <v>700</v>
      </c>
      <c r="C843" s="42">
        <f>原始数据!J843/(原始数据!J$2/100)</f>
        <v>172.80550844821462</v>
      </c>
    </row>
    <row r="844" spans="1:3" ht="18" customHeight="1" x14ac:dyDescent="0.3">
      <c r="A844" s="41">
        <f>表1[[#This Row],[订单日期]]</f>
        <v>45914</v>
      </c>
      <c r="B844" s="42">
        <f>原始数据!G844/(原始数据!G$2/100)</f>
        <v>700</v>
      </c>
      <c r="C844" s="42">
        <f>原始数据!J844/(原始数据!J$2/100)</f>
        <v>540.58977492011695</v>
      </c>
    </row>
    <row r="845" spans="1:3" ht="18" customHeight="1" x14ac:dyDescent="0.3">
      <c r="A845" s="41">
        <f>表1[[#This Row],[订单日期]]</f>
        <v>45914</v>
      </c>
      <c r="B845" s="42">
        <f>原始数据!G845/(原始数据!G$2/100)</f>
        <v>700</v>
      </c>
      <c r="C845" s="42">
        <f>原始数据!J845/(原始数据!J$2/100)</f>
        <v>381.57488417375367</v>
      </c>
    </row>
    <row r="846" spans="1:3" ht="18" customHeight="1" x14ac:dyDescent="0.3">
      <c r="A846" s="41">
        <f>表1[[#This Row],[订单日期]]</f>
        <v>45914</v>
      </c>
      <c r="B846" s="42">
        <f>原始数据!G846/(原始数据!G$2/100)</f>
        <v>700</v>
      </c>
      <c r="C846" s="42">
        <f>原始数据!J846/(原始数据!J$2/100)</f>
        <v>385.89654322539701</v>
      </c>
    </row>
    <row r="847" spans="1:3" ht="18" customHeight="1" x14ac:dyDescent="0.3">
      <c r="A847" s="41">
        <f>表1[[#This Row],[订单日期]]</f>
        <v>45914</v>
      </c>
      <c r="B847" s="42">
        <f>原始数据!G847/(原始数据!G$2/100)</f>
        <v>950</v>
      </c>
      <c r="C847" s="42">
        <f>原始数据!J847/(原始数据!J$2/100)</f>
        <v>419.76458244217974</v>
      </c>
    </row>
    <row r="848" spans="1:3" ht="18" customHeight="1" x14ac:dyDescent="0.3">
      <c r="A848" s="41">
        <f>表1[[#This Row],[订单日期]]</f>
        <v>45914</v>
      </c>
      <c r="B848" s="42">
        <f>原始数据!G848/(原始数据!G$2/100)</f>
        <v>950</v>
      </c>
      <c r="C848" s="42">
        <f>原始数据!J848/(原始数据!J$2/100)</f>
        <v>174.09488712184003</v>
      </c>
    </row>
    <row r="849" spans="1:3" ht="18" customHeight="1" x14ac:dyDescent="0.3">
      <c r="A849" s="41">
        <f>表1[[#This Row],[订单日期]]</f>
        <v>45914</v>
      </c>
      <c r="B849" s="42">
        <f>原始数据!G849/(原始数据!G$2/100)</f>
        <v>950</v>
      </c>
      <c r="C849" s="42">
        <f>原始数据!J849/(原始数据!J$2/100)</f>
        <v>428.2970887749114</v>
      </c>
    </row>
    <row r="850" spans="1:3" ht="18" customHeight="1" x14ac:dyDescent="0.3">
      <c r="A850" s="41">
        <f>表1[[#This Row],[订单日期]]</f>
        <v>45914</v>
      </c>
      <c r="B850" s="42">
        <f>原始数据!G850/(原始数据!G$2/100)</f>
        <v>950</v>
      </c>
      <c r="C850" s="42">
        <f>原始数据!J850/(原始数据!J$2/100)</f>
        <v>271.8308687513121</v>
      </c>
    </row>
    <row r="851" spans="1:3" ht="18" customHeight="1" x14ac:dyDescent="0.3">
      <c r="A851" s="41">
        <f>表1[[#This Row],[订单日期]]</f>
        <v>45914</v>
      </c>
      <c r="B851" s="42">
        <f>原始数据!G851/(原始数据!G$2/100)</f>
        <v>950</v>
      </c>
      <c r="C851" s="42">
        <f>原始数据!J851/(原始数据!J$2/100)</f>
        <v>298.64731722561169</v>
      </c>
    </row>
    <row r="852" spans="1:3" ht="18" customHeight="1" x14ac:dyDescent="0.3">
      <c r="A852" s="41">
        <f>表1[[#This Row],[订单日期]]</f>
        <v>45914</v>
      </c>
      <c r="B852" s="42">
        <f>原始数据!G852/(原始数据!G$2/100)</f>
        <v>950</v>
      </c>
      <c r="C852" s="42">
        <f>原始数据!J852/(原始数据!J$2/100)</f>
        <v>318.15018884328413</v>
      </c>
    </row>
    <row r="853" spans="1:3" ht="18" customHeight="1" x14ac:dyDescent="0.3">
      <c r="A853" s="41">
        <f>表1[[#This Row],[订单日期]]</f>
        <v>45914</v>
      </c>
      <c r="B853" s="42">
        <f>原始数据!G853/(原始数据!G$2/100)</f>
        <v>950</v>
      </c>
      <c r="C853" s="42">
        <f>原始数据!J853/(原始数据!J$2/100)</f>
        <v>79.240011526796806</v>
      </c>
    </row>
    <row r="854" spans="1:3" ht="18" customHeight="1" x14ac:dyDescent="0.3">
      <c r="A854" s="41">
        <f>表1[[#This Row],[订单日期]]</f>
        <v>45914</v>
      </c>
      <c r="B854" s="42">
        <f>原始数据!G854/(原始数据!G$2/100)</f>
        <v>950</v>
      </c>
      <c r="C854" s="42">
        <f>原始数据!J854/(原始数据!J$2/100)</f>
        <v>184.06794647178614</v>
      </c>
    </row>
    <row r="855" spans="1:3" ht="18" customHeight="1" x14ac:dyDescent="0.3">
      <c r="A855" s="41">
        <f>表1[[#This Row],[订单日期]]</f>
        <v>45914</v>
      </c>
      <c r="B855" s="42">
        <f>原始数据!G855/(原始数据!G$2/100)</f>
        <v>950</v>
      </c>
      <c r="C855" s="42">
        <f>原始数据!J855/(原始数据!J$2/100)</f>
        <v>314.38258864441559</v>
      </c>
    </row>
    <row r="856" spans="1:3" ht="18" customHeight="1" x14ac:dyDescent="0.3">
      <c r="A856" s="41">
        <f>表1[[#This Row],[订单日期]]</f>
        <v>45915</v>
      </c>
      <c r="B856" s="42">
        <f>原始数据!G856/(原始数据!G$2/100)</f>
        <v>400</v>
      </c>
      <c r="C856" s="42">
        <f>原始数据!J856/(原始数据!J$2/100)</f>
        <v>148.1661529522066</v>
      </c>
    </row>
    <row r="857" spans="1:3" ht="18" customHeight="1" x14ac:dyDescent="0.3">
      <c r="A857" s="41">
        <f>表1[[#This Row],[订单日期]]</f>
        <v>45915</v>
      </c>
      <c r="B857" s="42">
        <f>原始数据!G857/(原始数据!G$2/100)</f>
        <v>400</v>
      </c>
      <c r="C857" s="42">
        <f>原始数据!J857/(原始数据!J$2/100)</f>
        <v>268.84017108655479</v>
      </c>
    </row>
    <row r="858" spans="1:3" ht="18" customHeight="1" x14ac:dyDescent="0.3">
      <c r="A858" s="41">
        <f>表1[[#This Row],[订单日期]]</f>
        <v>45915</v>
      </c>
      <c r="B858" s="42">
        <f>原始数据!G858/(原始数据!G$2/100)</f>
        <v>400</v>
      </c>
      <c r="C858" s="42">
        <f>原始数据!J858/(原始数据!J$2/100)</f>
        <v>266.84555921656556</v>
      </c>
    </row>
    <row r="859" spans="1:3" ht="18" customHeight="1" x14ac:dyDescent="0.3">
      <c r="A859" s="41">
        <f>表1[[#This Row],[订单日期]]</f>
        <v>45915</v>
      </c>
      <c r="B859" s="42">
        <f>原始数据!G859/(原始数据!G$2/100)</f>
        <v>400</v>
      </c>
      <c r="C859" s="42">
        <f>原始数据!J859/(原始数据!J$2/100)</f>
        <v>140.29851724280468</v>
      </c>
    </row>
    <row r="860" spans="1:3" ht="18" customHeight="1" x14ac:dyDescent="0.3">
      <c r="A860" s="41">
        <f>表1[[#This Row],[订单日期]]</f>
        <v>45915</v>
      </c>
      <c r="B860" s="42">
        <f>原始数据!G860/(原始数据!G$2/100)</f>
        <v>400</v>
      </c>
      <c r="C860" s="42">
        <f>原始数据!J860/(原始数据!J$2/100)</f>
        <v>175.64747204983595</v>
      </c>
    </row>
    <row r="861" spans="1:3" ht="18" customHeight="1" x14ac:dyDescent="0.3">
      <c r="A861" s="41">
        <f>表1[[#This Row],[订单日期]]</f>
        <v>45915</v>
      </c>
      <c r="B861" s="42">
        <f>原始数据!G861/(原始数据!G$2/100)</f>
        <v>400</v>
      </c>
      <c r="C861" s="42">
        <f>原始数据!J861/(原始数据!J$2/100)</f>
        <v>528.0289024145992</v>
      </c>
    </row>
    <row r="862" spans="1:3" ht="18" customHeight="1" x14ac:dyDescent="0.3">
      <c r="A862" s="41">
        <f>表1[[#This Row],[订单日期]]</f>
        <v>45915</v>
      </c>
      <c r="B862" s="42">
        <f>原始数据!G862/(原始数据!G$2/100)</f>
        <v>400</v>
      </c>
      <c r="C862" s="42">
        <f>原始数据!J862/(原始数据!J$2/100)</f>
        <v>236.70475762561725</v>
      </c>
    </row>
    <row r="863" spans="1:3" ht="18" customHeight="1" x14ac:dyDescent="0.3">
      <c r="A863" s="41">
        <f>表1[[#This Row],[订单日期]]</f>
        <v>45915</v>
      </c>
      <c r="B863" s="42">
        <f>原始数据!G863/(原始数据!G$2/100)</f>
        <v>400</v>
      </c>
      <c r="C863" s="42">
        <f>原始数据!J863/(原始数据!J$2/100)</f>
        <v>206.12070895244915</v>
      </c>
    </row>
    <row r="864" spans="1:3" ht="18" customHeight="1" x14ac:dyDescent="0.3">
      <c r="A864" s="41">
        <f>表1[[#This Row],[订单日期]]</f>
        <v>45915</v>
      </c>
      <c r="B864" s="42">
        <f>原始数据!G864/(原始数据!G$2/100)</f>
        <v>400</v>
      </c>
      <c r="C864" s="42">
        <f>原始数据!J864/(原始数据!J$2/100)</f>
        <v>207.67207374021854</v>
      </c>
    </row>
    <row r="865" spans="1:3" ht="18" customHeight="1" x14ac:dyDescent="0.3">
      <c r="A865" s="41">
        <f>表1[[#This Row],[订单日期]]</f>
        <v>45915</v>
      </c>
      <c r="B865" s="42">
        <f>原始数据!G865/(原始数据!G$2/100)</f>
        <v>400</v>
      </c>
      <c r="C865" s="42">
        <f>原始数据!J865/(原始数据!J$2/100)</f>
        <v>120.68483385457728</v>
      </c>
    </row>
    <row r="866" spans="1:3" ht="18" customHeight="1" x14ac:dyDescent="0.3">
      <c r="A866" s="41">
        <f>表1[[#This Row],[订单日期]]</f>
        <v>45915</v>
      </c>
      <c r="B866" s="42">
        <f>原始数据!G866/(原始数据!G$2/100)</f>
        <v>400</v>
      </c>
      <c r="C866" s="42">
        <f>原始数据!J866/(原始数据!J$2/100)</f>
        <v>288.78628978644707</v>
      </c>
    </row>
    <row r="867" spans="1:3" ht="18" customHeight="1" x14ac:dyDescent="0.3">
      <c r="A867" s="41">
        <f>表1[[#This Row],[订单日期]]</f>
        <v>45915</v>
      </c>
      <c r="B867" s="42">
        <f>原始数据!G867/(原始数据!G$2/100)</f>
        <v>400</v>
      </c>
      <c r="C867" s="42">
        <f>原始数据!J867/(原始数据!J$2/100)</f>
        <v>207.0072031168888</v>
      </c>
    </row>
    <row r="868" spans="1:3" ht="18" customHeight="1" x14ac:dyDescent="0.3">
      <c r="A868" s="41">
        <f>表1[[#This Row],[订单日期]]</f>
        <v>45915</v>
      </c>
      <c r="B868" s="42">
        <f>原始数据!G868/(原始数据!G$2/100)</f>
        <v>400</v>
      </c>
      <c r="C868" s="42">
        <f>原始数据!J868/(原始数据!J$2/100)</f>
        <v>151.2688825277454</v>
      </c>
    </row>
    <row r="869" spans="1:3" ht="18" customHeight="1" x14ac:dyDescent="0.3">
      <c r="A869" s="41">
        <f>表1[[#This Row],[订单日期]]</f>
        <v>45915</v>
      </c>
      <c r="B869" s="42">
        <f>原始数据!G869/(原始数据!G$2/100)</f>
        <v>400</v>
      </c>
      <c r="C869" s="42">
        <f>原始数据!J869/(原始数据!J$2/100)</f>
        <v>92.981891215838019</v>
      </c>
    </row>
    <row r="870" spans="1:3" ht="18" customHeight="1" x14ac:dyDescent="0.3">
      <c r="A870" s="41">
        <f>表1[[#This Row],[订单日期]]</f>
        <v>45915</v>
      </c>
      <c r="B870" s="42">
        <f>原始数据!G870/(原始数据!G$2/100)</f>
        <v>400</v>
      </c>
      <c r="C870" s="42">
        <f>原始数据!J870/(原始数据!J$2/100)</f>
        <v>181.40968411869372</v>
      </c>
    </row>
    <row r="871" spans="1:3" ht="18" customHeight="1" x14ac:dyDescent="0.3">
      <c r="A871" s="41">
        <f>表1[[#This Row],[订单日期]]</f>
        <v>45915</v>
      </c>
      <c r="B871" s="42">
        <f>原始数据!G871/(原始数据!G$2/100)</f>
        <v>400</v>
      </c>
      <c r="C871" s="42">
        <f>原始数据!J871/(原始数据!J$2/100)</f>
        <v>196.81252022583274</v>
      </c>
    </row>
    <row r="872" spans="1:3" ht="18" customHeight="1" x14ac:dyDescent="0.3">
      <c r="A872" s="41">
        <f>表1[[#This Row],[订单日期]]</f>
        <v>45915</v>
      </c>
      <c r="B872" s="42">
        <f>原始数据!G872/(原始数据!G$2/100)</f>
        <v>400</v>
      </c>
      <c r="C872" s="42">
        <f>原始数据!J872/(原始数据!J$2/100)</f>
        <v>350.73006952666805</v>
      </c>
    </row>
    <row r="873" spans="1:3" ht="18" customHeight="1" x14ac:dyDescent="0.3">
      <c r="A873" s="41">
        <f>表1[[#This Row],[订单日期]]</f>
        <v>45915</v>
      </c>
      <c r="B873" s="42">
        <f>原始数据!G873/(原始数据!G$2/100)</f>
        <v>400</v>
      </c>
      <c r="C873" s="42">
        <f>原始数据!J873/(原始数据!J$2/100)</f>
        <v>343.08405735837601</v>
      </c>
    </row>
    <row r="874" spans="1:3" ht="18" customHeight="1" x14ac:dyDescent="0.3">
      <c r="A874" s="41">
        <f>表1[[#This Row],[订单日期]]</f>
        <v>45915</v>
      </c>
      <c r="B874" s="42">
        <f>原始数据!G874/(原始数据!G$2/100)</f>
        <v>2500</v>
      </c>
      <c r="C874" s="42">
        <f>原始数据!J874/(原始数据!J$2/100)</f>
        <v>342.7228540187412</v>
      </c>
    </row>
    <row r="875" spans="1:3" ht="18" customHeight="1" x14ac:dyDescent="0.3">
      <c r="A875" s="41">
        <f>表1[[#This Row],[订单日期]]</f>
        <v>45915</v>
      </c>
      <c r="B875" s="42">
        <f>原始数据!G875/(原始数据!G$2/100)</f>
        <v>2500</v>
      </c>
      <c r="C875" s="42">
        <f>原始数据!J875/(原始数据!J$2/100)</f>
        <v>198.55674052674212</v>
      </c>
    </row>
    <row r="876" spans="1:3" ht="18" customHeight="1" x14ac:dyDescent="0.3">
      <c r="A876" s="41">
        <f>表1[[#This Row],[订单日期]]</f>
        <v>45915</v>
      </c>
      <c r="B876" s="42">
        <f>原始数据!G876/(原始数据!G$2/100)</f>
        <v>2500</v>
      </c>
      <c r="C876" s="42">
        <f>原始数据!J876/(原始数据!J$2/100)</f>
        <v>275.12767398021742</v>
      </c>
    </row>
    <row r="877" spans="1:3" ht="18" customHeight="1" x14ac:dyDescent="0.3">
      <c r="A877" s="41">
        <f>表1[[#This Row],[订单日期]]</f>
        <v>45915</v>
      </c>
      <c r="B877" s="42">
        <f>原始数据!G877/(原始数据!G$2/100)</f>
        <v>2500</v>
      </c>
      <c r="C877" s="42">
        <f>原始数据!J877/(原始数据!J$2/100)</f>
        <v>104.80998263724847</v>
      </c>
    </row>
    <row r="878" spans="1:3" ht="18" customHeight="1" x14ac:dyDescent="0.3">
      <c r="A878" s="41">
        <f>表1[[#This Row],[订单日期]]</f>
        <v>45915</v>
      </c>
      <c r="B878" s="42">
        <f>原始数据!G878/(原始数据!G$2/100)</f>
        <v>2500</v>
      </c>
      <c r="C878" s="42">
        <f>原始数据!J878/(原始数据!J$2/100)</f>
        <v>347.48776015260432</v>
      </c>
    </row>
    <row r="879" spans="1:3" ht="18" customHeight="1" x14ac:dyDescent="0.3">
      <c r="A879" s="41">
        <f>表1[[#This Row],[订单日期]]</f>
        <v>45915</v>
      </c>
      <c r="B879" s="42">
        <f>原始数据!G879/(原始数据!G$2/100)</f>
        <v>2500</v>
      </c>
      <c r="C879" s="42">
        <f>原始数据!J879/(原始数据!J$2/100)</f>
        <v>394.69357440901604</v>
      </c>
    </row>
    <row r="880" spans="1:3" ht="18" customHeight="1" x14ac:dyDescent="0.3">
      <c r="A880" s="41">
        <f>表1[[#This Row],[订单日期]]</f>
        <v>45915</v>
      </c>
      <c r="B880" s="42">
        <f>原始数据!G880/(原始数据!G$2/100)</f>
        <v>2500</v>
      </c>
      <c r="C880" s="42">
        <f>原始数据!J880/(原始数据!J$2/100)</f>
        <v>234.90300126876801</v>
      </c>
    </row>
    <row r="881" spans="1:3" ht="18" customHeight="1" x14ac:dyDescent="0.3">
      <c r="A881" s="41">
        <f>表1[[#This Row],[订单日期]]</f>
        <v>45915</v>
      </c>
      <c r="B881" s="42">
        <f>原始数据!G881/(原始数据!G$2/100)</f>
        <v>2500</v>
      </c>
      <c r="C881" s="42">
        <f>原始数据!J881/(原始数据!J$2/100)</f>
        <v>387.49080932294385</v>
      </c>
    </row>
    <row r="882" spans="1:3" ht="18" customHeight="1" x14ac:dyDescent="0.3">
      <c r="A882" s="41">
        <f>表1[[#This Row],[订单日期]]</f>
        <v>45915</v>
      </c>
      <c r="B882" s="42">
        <f>原始数据!G882/(原始数据!G$2/100)</f>
        <v>2500</v>
      </c>
      <c r="C882" s="42">
        <f>原始数据!J882/(原始数据!J$2/100)</f>
        <v>392.80977430958177</v>
      </c>
    </row>
    <row r="883" spans="1:3" ht="18" customHeight="1" x14ac:dyDescent="0.3">
      <c r="A883" s="41">
        <f>表1[[#This Row],[订单日期]]</f>
        <v>45916</v>
      </c>
      <c r="B883" s="42">
        <f>原始数据!G883/(原始数据!G$2/100)</f>
        <v>200</v>
      </c>
      <c r="C883" s="42">
        <f>原始数据!J883/(原始数据!J$2/100)</f>
        <v>472.11386438721217</v>
      </c>
    </row>
    <row r="884" spans="1:3" ht="18" customHeight="1" x14ac:dyDescent="0.3">
      <c r="A884" s="41">
        <f>表1[[#This Row],[订单日期]]</f>
        <v>45916</v>
      </c>
      <c r="B884" s="42">
        <f>原始数据!G884/(原始数据!G$2/100)</f>
        <v>200</v>
      </c>
      <c r="C884" s="42">
        <f>原始数据!J884/(原始数据!J$2/100)</f>
        <v>428.56483855911409</v>
      </c>
    </row>
    <row r="885" spans="1:3" ht="18" customHeight="1" x14ac:dyDescent="0.3">
      <c r="A885" s="41">
        <f>表1[[#This Row],[订单日期]]</f>
        <v>45916</v>
      </c>
      <c r="B885" s="42">
        <f>原始数据!G885/(原始数据!G$2/100)</f>
        <v>200</v>
      </c>
      <c r="C885" s="42">
        <f>原始数据!J885/(原始数据!J$2/100)</f>
        <v>515.44126667420039</v>
      </c>
    </row>
    <row r="886" spans="1:3" ht="18" customHeight="1" x14ac:dyDescent="0.3">
      <c r="A886" s="41">
        <f>表1[[#This Row],[订单日期]]</f>
        <v>45916</v>
      </c>
      <c r="B886" s="42">
        <f>原始数据!G886/(原始数据!G$2/100)</f>
        <v>200</v>
      </c>
      <c r="C886" s="42">
        <f>原始数据!J886/(原始数据!J$2/100)</f>
        <v>8.4774163852720203</v>
      </c>
    </row>
    <row r="887" spans="1:3" ht="18" customHeight="1" x14ac:dyDescent="0.3">
      <c r="A887" s="41">
        <f>表1[[#This Row],[订单日期]]</f>
        <v>45916</v>
      </c>
      <c r="B887" s="42">
        <f>原始数据!G887/(原始数据!G$2/100)</f>
        <v>200</v>
      </c>
      <c r="C887" s="42">
        <f>原始数据!J887/(原始数据!J$2/100)</f>
        <v>282.73654850879063</v>
      </c>
    </row>
    <row r="888" spans="1:3" ht="18" customHeight="1" x14ac:dyDescent="0.3">
      <c r="A888" s="41">
        <f>表1[[#This Row],[订单日期]]</f>
        <v>45916</v>
      </c>
      <c r="B888" s="42">
        <f>原始数据!G888/(原始数据!G$2/100)</f>
        <v>200</v>
      </c>
      <c r="C888" s="42">
        <f>原始数据!J888/(原始数据!J$2/100)</f>
        <v>517.43587854418956</v>
      </c>
    </row>
    <row r="889" spans="1:3" ht="18" customHeight="1" x14ac:dyDescent="0.3">
      <c r="A889" s="41">
        <f>表1[[#This Row],[订单日期]]</f>
        <v>45916</v>
      </c>
      <c r="B889" s="42">
        <f>原始数据!G889/(原始数据!G$2/100)</f>
        <v>200</v>
      </c>
      <c r="C889" s="42">
        <f>原始数据!J889/(原始数据!J$2/100)</f>
        <v>12.688263666360388</v>
      </c>
    </row>
    <row r="890" spans="1:3" ht="18" customHeight="1" x14ac:dyDescent="0.3">
      <c r="A890" s="41">
        <f>表1[[#This Row],[订单日期]]</f>
        <v>45916</v>
      </c>
      <c r="B890" s="42">
        <f>原始数据!G890/(原始数据!G$2/100)</f>
        <v>200</v>
      </c>
      <c r="C890" s="42">
        <f>原始数据!J890/(原始数据!J$2/100)</f>
        <v>425.01886190135548</v>
      </c>
    </row>
    <row r="891" spans="1:3" ht="18" customHeight="1" x14ac:dyDescent="0.3">
      <c r="A891" s="41">
        <f>表1[[#This Row],[订单日期]]</f>
        <v>45916</v>
      </c>
      <c r="B891" s="42">
        <f>原始数据!G891/(原始数据!G$2/100)</f>
        <v>200</v>
      </c>
      <c r="C891" s="42">
        <f>原始数据!J891/(原始数据!J$2/100)</f>
        <v>523.75214946582219</v>
      </c>
    </row>
    <row r="892" spans="1:3" ht="18" customHeight="1" x14ac:dyDescent="0.3">
      <c r="A892" s="41">
        <f>表1[[#This Row],[订单日期]]</f>
        <v>45916</v>
      </c>
      <c r="B892" s="42">
        <f>原始数据!G892/(原始数据!G$2/100)</f>
        <v>250</v>
      </c>
      <c r="C892" s="42">
        <f>原始数据!J892/(原始数据!J$2/100)</f>
        <v>283.33183863930333</v>
      </c>
    </row>
    <row r="893" spans="1:3" ht="18" customHeight="1" x14ac:dyDescent="0.3">
      <c r="A893" s="41">
        <f>表1[[#This Row],[订单日期]]</f>
        <v>45916</v>
      </c>
      <c r="B893" s="42">
        <f>原始数据!G893/(原始数据!G$2/100)</f>
        <v>250</v>
      </c>
      <c r="C893" s="42">
        <f>原始数据!J893/(原始数据!J$2/100)</f>
        <v>436.91695262847372</v>
      </c>
    </row>
    <row r="894" spans="1:3" ht="18" customHeight="1" x14ac:dyDescent="0.3">
      <c r="A894" s="41">
        <f>表1[[#This Row],[订单日期]]</f>
        <v>45916</v>
      </c>
      <c r="B894" s="42">
        <f>原始数据!G894/(原始数据!G$2/100)</f>
        <v>250</v>
      </c>
      <c r="C894" s="42">
        <f>原始数据!J894/(原始数据!J$2/100)</f>
        <v>158.44697322386673</v>
      </c>
    </row>
    <row r="895" spans="1:3" ht="18" customHeight="1" x14ac:dyDescent="0.3">
      <c r="A895" s="41">
        <f>表1[[#This Row],[订单日期]]</f>
        <v>45916</v>
      </c>
      <c r="B895" s="42">
        <f>原始数据!G895/(原始数据!G$2/100)</f>
        <v>250</v>
      </c>
      <c r="C895" s="42">
        <f>原始数据!J895/(原始数据!J$2/100)</f>
        <v>525.01231021966453</v>
      </c>
    </row>
    <row r="896" spans="1:3" ht="18" customHeight="1" x14ac:dyDescent="0.3">
      <c r="A896" s="41">
        <f>表1[[#This Row],[订单日期]]</f>
        <v>45916</v>
      </c>
      <c r="B896" s="42">
        <f>原始数据!G896/(原始数据!G$2/100)</f>
        <v>250</v>
      </c>
      <c r="C896" s="42">
        <f>原始数据!J896/(原始数据!J$2/100)</f>
        <v>215.84747037133448</v>
      </c>
    </row>
    <row r="897" spans="1:3" ht="18" customHeight="1" x14ac:dyDescent="0.3">
      <c r="A897" s="41">
        <f>表1[[#This Row],[订单日期]]</f>
        <v>45916</v>
      </c>
      <c r="B897" s="42">
        <f>原始数据!G897/(原始数据!G$2/100)</f>
        <v>250</v>
      </c>
      <c r="C897" s="42">
        <f>原始数据!J897/(原始数据!J$2/100)</f>
        <v>216.0690939124444</v>
      </c>
    </row>
    <row r="898" spans="1:3" ht="18" customHeight="1" x14ac:dyDescent="0.3">
      <c r="A898" s="41">
        <f>表1[[#This Row],[订单日期]]</f>
        <v>45916</v>
      </c>
      <c r="B898" s="42">
        <f>原始数据!G898/(原始数据!G$2/100)</f>
        <v>250</v>
      </c>
      <c r="C898" s="42">
        <f>原始数据!J898/(原始数据!J$2/100)</f>
        <v>508.50135640697596</v>
      </c>
    </row>
    <row r="899" spans="1:3" ht="18" customHeight="1" x14ac:dyDescent="0.3">
      <c r="A899" s="41">
        <f>表1[[#This Row],[订单日期]]</f>
        <v>45916</v>
      </c>
      <c r="B899" s="42">
        <f>原始数据!G899/(原始数据!G$2/100)</f>
        <v>250</v>
      </c>
      <c r="C899" s="42">
        <f>原始数据!J899/(原始数据!J$2/100)</f>
        <v>321.67271125131845</v>
      </c>
    </row>
    <row r="900" spans="1:3" ht="18" customHeight="1" x14ac:dyDescent="0.3">
      <c r="A900" s="41">
        <f>表1[[#This Row],[订单日期]]</f>
        <v>45916</v>
      </c>
      <c r="B900" s="42">
        <f>原始数据!G900/(原始数据!G$2/100)</f>
        <v>400</v>
      </c>
      <c r="C900" s="42">
        <f>原始数据!J900/(原始数据!J$2/100)</f>
        <v>317.5757104492086</v>
      </c>
    </row>
    <row r="901" spans="1:3" ht="18" customHeight="1" x14ac:dyDescent="0.3">
      <c r="A901" s="41">
        <f>表1[[#This Row],[订单日期]]</f>
        <v>45916</v>
      </c>
      <c r="B901" s="42">
        <f>原始数据!G901/(原始数据!G$2/100)</f>
        <v>400</v>
      </c>
      <c r="C901" s="42">
        <f>原始数据!J901/(原始数据!J$2/100)</f>
        <v>39.770601667931331</v>
      </c>
    </row>
    <row r="902" spans="1:3" ht="18" customHeight="1" x14ac:dyDescent="0.3">
      <c r="A902" s="41">
        <f>表1[[#This Row],[订单日期]]</f>
        <v>45916</v>
      </c>
      <c r="B902" s="42">
        <f>原始数据!G902/(原始数据!G$2/100)</f>
        <v>400</v>
      </c>
      <c r="C902" s="42">
        <f>原始数据!J902/(原始数据!J$2/100)</f>
        <v>46.530119671783709</v>
      </c>
    </row>
    <row r="903" spans="1:3" ht="18" customHeight="1" x14ac:dyDescent="0.3">
      <c r="A903" s="41">
        <f>表1[[#This Row],[订单日期]]</f>
        <v>45916</v>
      </c>
      <c r="B903" s="42">
        <f>原始数据!G903/(原始数据!G$2/100)</f>
        <v>400</v>
      </c>
      <c r="C903" s="42">
        <f>原始数据!J903/(原始数据!J$2/100)</f>
        <v>367.55181896949421</v>
      </c>
    </row>
    <row r="904" spans="1:3" ht="18" customHeight="1" x14ac:dyDescent="0.3">
      <c r="A904" s="41">
        <f>表1[[#This Row],[订单日期]]</f>
        <v>45916</v>
      </c>
      <c r="B904" s="42">
        <f>原始数据!G904/(原始数据!G$2/100)</f>
        <v>400</v>
      </c>
      <c r="C904" s="42">
        <f>原始数据!J904/(原始数据!J$2/100)</f>
        <v>130.74706529355106</v>
      </c>
    </row>
    <row r="905" spans="1:3" ht="18" customHeight="1" x14ac:dyDescent="0.3">
      <c r="A905" s="41">
        <f>表1[[#This Row],[订单日期]]</f>
        <v>45916</v>
      </c>
      <c r="B905" s="42">
        <f>原始数据!G905/(原始数据!G$2/100)</f>
        <v>400</v>
      </c>
      <c r="C905" s="42">
        <f>原始数据!J905/(原始数据!J$2/100)</f>
        <v>123.6551119780338</v>
      </c>
    </row>
    <row r="906" spans="1:3" ht="18" customHeight="1" x14ac:dyDescent="0.3">
      <c r="A906" s="41">
        <f>表1[[#This Row],[订单日期]]</f>
        <v>45916</v>
      </c>
      <c r="B906" s="42">
        <f>原始数据!G906/(原始数据!G$2/100)</f>
        <v>400</v>
      </c>
      <c r="C906" s="42">
        <f>原始数据!J906/(原始数据!J$2/100)</f>
        <v>423.84419841141238</v>
      </c>
    </row>
    <row r="907" spans="1:3" ht="18" customHeight="1" x14ac:dyDescent="0.3">
      <c r="A907" s="41">
        <f>表1[[#This Row],[订单日期]]</f>
        <v>45916</v>
      </c>
      <c r="B907" s="42">
        <f>原始数据!G907/(原始数据!G$2/100)</f>
        <v>400</v>
      </c>
      <c r="C907" s="42">
        <f>原始数据!J907/(原始数据!J$2/100)</f>
        <v>123.43348843692388</v>
      </c>
    </row>
    <row r="908" spans="1:3" ht="18" customHeight="1" x14ac:dyDescent="0.3">
      <c r="A908" s="41">
        <f>表1[[#This Row],[订单日期]]</f>
        <v>45916</v>
      </c>
      <c r="B908" s="42">
        <f>原始数据!G908/(原始数据!G$2/100)</f>
        <v>400</v>
      </c>
      <c r="C908" s="42">
        <f>原始数据!J908/(原始数据!J$2/100)</f>
        <v>316.13515743199412</v>
      </c>
    </row>
    <row r="909" spans="1:3" ht="18" customHeight="1" x14ac:dyDescent="0.3">
      <c r="A909" s="41">
        <f>表1[[#This Row],[订单日期]]</f>
        <v>45916</v>
      </c>
      <c r="B909" s="42">
        <f>原始数据!G909/(原始数据!G$2/100)</f>
        <v>600</v>
      </c>
      <c r="C909" s="42">
        <f>原始数据!J909/(原始数据!J$2/100)</f>
        <v>523.50892025074893</v>
      </c>
    </row>
    <row r="910" spans="1:3" ht="18" customHeight="1" x14ac:dyDescent="0.3">
      <c r="A910" s="41">
        <f>表1[[#This Row],[订单日期]]</f>
        <v>45916</v>
      </c>
      <c r="B910" s="42">
        <f>原始数据!G910/(原始数据!G$2/100)</f>
        <v>600</v>
      </c>
      <c r="C910" s="42">
        <f>原始数据!J910/(原始数据!J$2/100)</f>
        <v>537.1387680290087</v>
      </c>
    </row>
    <row r="911" spans="1:3" ht="18" customHeight="1" x14ac:dyDescent="0.3">
      <c r="A911" s="41">
        <f>表1[[#This Row],[订单日期]]</f>
        <v>45916</v>
      </c>
      <c r="B911" s="42">
        <f>原始数据!G911/(原始数据!G$2/100)</f>
        <v>600</v>
      </c>
      <c r="C911" s="42">
        <f>原始数据!J911/(原始数据!J$2/100)</f>
        <v>155.83546554940159</v>
      </c>
    </row>
    <row r="912" spans="1:3" ht="18" customHeight="1" x14ac:dyDescent="0.3">
      <c r="A912" s="41">
        <f>表1[[#This Row],[订单日期]]</f>
        <v>45916</v>
      </c>
      <c r="B912" s="42">
        <f>原始数据!G912/(原始数据!G$2/100)</f>
        <v>600</v>
      </c>
      <c r="C912" s="42">
        <f>原始数据!J912/(原始数据!J$2/100)</f>
        <v>391.4212897492402</v>
      </c>
    </row>
    <row r="913" spans="1:3" ht="18" customHeight="1" x14ac:dyDescent="0.3">
      <c r="A913" s="41">
        <f>表1[[#This Row],[订单日期]]</f>
        <v>45916</v>
      </c>
      <c r="B913" s="42">
        <f>原始数据!G913/(原始数据!G$2/100)</f>
        <v>600</v>
      </c>
      <c r="C913" s="42">
        <f>原始数据!J913/(原始数据!J$2/100)</f>
        <v>138.99207642504811</v>
      </c>
    </row>
    <row r="914" spans="1:3" ht="18" customHeight="1" x14ac:dyDescent="0.3">
      <c r="A914" s="41">
        <f>表1[[#This Row],[订单日期]]</f>
        <v>45916</v>
      </c>
      <c r="B914" s="42">
        <f>原始数据!G914/(原始数据!G$2/100)</f>
        <v>600</v>
      </c>
      <c r="C914" s="42">
        <f>原始数据!J914/(原始数据!J$2/100)</f>
        <v>290.80420208533923</v>
      </c>
    </row>
    <row r="915" spans="1:3" ht="18" customHeight="1" x14ac:dyDescent="0.3">
      <c r="A915" s="41">
        <f>表1[[#This Row],[订单日期]]</f>
        <v>45916</v>
      </c>
      <c r="B915" s="42">
        <f>原始数据!G915/(原始数据!G$2/100)</f>
        <v>600</v>
      </c>
      <c r="C915" s="42">
        <f>原始数据!J915/(原始数据!J$2/100)</f>
        <v>464.3354347744019</v>
      </c>
    </row>
    <row r="916" spans="1:3" ht="18" customHeight="1" x14ac:dyDescent="0.3">
      <c r="A916" s="41">
        <f>表1[[#This Row],[订单日期]]</f>
        <v>45916</v>
      </c>
      <c r="B916" s="42">
        <f>原始数据!G916/(原始数据!G$2/100)</f>
        <v>600</v>
      </c>
      <c r="C916" s="42">
        <f>原始数据!J916/(原始数据!J$2/100)</f>
        <v>219.99548070072169</v>
      </c>
    </row>
    <row r="917" spans="1:3" ht="18" customHeight="1" x14ac:dyDescent="0.3">
      <c r="A917" s="41">
        <f>表1[[#This Row],[订单日期]]</f>
        <v>45916</v>
      </c>
      <c r="B917" s="42">
        <f>原始数据!G917/(原始数据!G$2/100)</f>
        <v>600</v>
      </c>
      <c r="C917" s="42">
        <f>原始数据!J917/(原始数据!J$2/100)</f>
        <v>444.6109396156196</v>
      </c>
    </row>
    <row r="918" spans="1:3" ht="18" customHeight="1" x14ac:dyDescent="0.3">
      <c r="A918" s="41">
        <f>表1[[#This Row],[订单日期]]</f>
        <v>45916</v>
      </c>
      <c r="B918" s="42">
        <f>原始数据!G918/(原始数据!G$2/100)</f>
        <v>650</v>
      </c>
      <c r="C918" s="42">
        <f>原始数据!J918/(原始数据!J$2/100)</f>
        <v>314.88258352850289</v>
      </c>
    </row>
    <row r="919" spans="1:3" ht="18" customHeight="1" x14ac:dyDescent="0.3">
      <c r="A919" s="41">
        <f>表1[[#This Row],[订单日期]]</f>
        <v>45916</v>
      </c>
      <c r="B919" s="42">
        <f>原始数据!G919/(原始数据!G$2/100)</f>
        <v>650</v>
      </c>
      <c r="C919" s="42">
        <f>原始数据!J919/(原始数据!J$2/100)</f>
        <v>265.81441597587792</v>
      </c>
    </row>
    <row r="920" spans="1:3" ht="18" customHeight="1" x14ac:dyDescent="0.3">
      <c r="A920" s="41">
        <f>表1[[#This Row],[订单日期]]</f>
        <v>45916</v>
      </c>
      <c r="B920" s="42">
        <f>原始数据!G920/(原始数据!G$2/100)</f>
        <v>650</v>
      </c>
      <c r="C920" s="42">
        <f>原始数据!J920/(原始数据!J$2/100)</f>
        <v>232.43862623561486</v>
      </c>
    </row>
    <row r="921" spans="1:3" ht="18" customHeight="1" x14ac:dyDescent="0.3">
      <c r="A921" s="41">
        <f>表1[[#This Row],[订单日期]]</f>
        <v>45916</v>
      </c>
      <c r="B921" s="42">
        <f>原始数据!G921/(原始数据!G$2/100)</f>
        <v>650</v>
      </c>
      <c r="C921" s="42">
        <f>原始数据!J921/(原始数据!J$2/100)</f>
        <v>143.81065659487024</v>
      </c>
    </row>
    <row r="922" spans="1:3" ht="18" customHeight="1" x14ac:dyDescent="0.3">
      <c r="A922" s="41">
        <f>表1[[#This Row],[订单日期]]</f>
        <v>45916</v>
      </c>
      <c r="B922" s="42">
        <f>原始数据!G922/(原始数据!G$2/100)</f>
        <v>650</v>
      </c>
      <c r="C922" s="42">
        <f>原始数据!J922/(原始数据!J$2/100)</f>
        <v>103.89697239186472</v>
      </c>
    </row>
    <row r="923" spans="1:3" ht="18" customHeight="1" x14ac:dyDescent="0.3">
      <c r="A923" s="41">
        <f>表1[[#This Row],[订单日期]]</f>
        <v>45916</v>
      </c>
      <c r="B923" s="42">
        <f>原始数据!G923/(原始数据!G$2/100)</f>
        <v>650</v>
      </c>
      <c r="C923" s="42">
        <f>原始数据!J923/(原始数据!J$2/100)</f>
        <v>192.23540032738646</v>
      </c>
    </row>
    <row r="924" spans="1:3" ht="18" customHeight="1" x14ac:dyDescent="0.3">
      <c r="A924" s="41">
        <f>表1[[#This Row],[订单日期]]</f>
        <v>45916</v>
      </c>
      <c r="B924" s="42">
        <f>原始数据!G924/(原始数据!G$2/100)</f>
        <v>650</v>
      </c>
      <c r="C924" s="42">
        <f>原始数据!J924/(原始数据!J$2/100)</f>
        <v>401.98063518469911</v>
      </c>
    </row>
    <row r="925" spans="1:3" ht="18" customHeight="1" x14ac:dyDescent="0.3">
      <c r="A925" s="41">
        <f>表1[[#This Row],[订单日期]]</f>
        <v>45916</v>
      </c>
      <c r="B925" s="42">
        <f>原始数据!G925/(原始数据!G$2/100)</f>
        <v>650</v>
      </c>
      <c r="C925" s="42">
        <f>原始数据!J925/(原始数据!J$2/100)</f>
        <v>462.39449694037165</v>
      </c>
    </row>
    <row r="926" spans="1:3" ht="18" customHeight="1" x14ac:dyDescent="0.3">
      <c r="A926" s="41">
        <f>表1[[#This Row],[订单日期]]</f>
        <v>45916</v>
      </c>
      <c r="B926" s="42">
        <f>原始数据!G926/(原始数据!G$2/100)</f>
        <v>650</v>
      </c>
      <c r="C926" s="42">
        <f>原始数据!J926/(原始数据!J$2/100)</f>
        <v>197.08967142858359</v>
      </c>
    </row>
    <row r="927" spans="1:3" ht="18" customHeight="1" x14ac:dyDescent="0.3">
      <c r="A927" s="41">
        <f>表1[[#This Row],[订单日期]]</f>
        <v>45916</v>
      </c>
      <c r="B927" s="42">
        <f>原始数据!G927/(原始数据!G$2/100)</f>
        <v>650</v>
      </c>
      <c r="C927" s="42">
        <f>原始数据!J927/(原始数据!J$2/100)</f>
        <v>222.15457837722485</v>
      </c>
    </row>
    <row r="928" spans="1:3" ht="18" customHeight="1" x14ac:dyDescent="0.3">
      <c r="A928" s="41">
        <f>表1[[#This Row],[订单日期]]</f>
        <v>45916</v>
      </c>
      <c r="B928" s="42">
        <f>原始数据!G928/(原始数据!G$2/100)</f>
        <v>650</v>
      </c>
      <c r="C928" s="42">
        <f>原始数据!J928/(原始数据!J$2/100)</f>
        <v>334.93951399895013</v>
      </c>
    </row>
    <row r="929" spans="1:3" ht="18" customHeight="1" x14ac:dyDescent="0.3">
      <c r="A929" s="41">
        <f>表1[[#This Row],[订单日期]]</f>
        <v>45916</v>
      </c>
      <c r="B929" s="42">
        <f>原始数据!G929/(原始数据!G$2/100)</f>
        <v>650</v>
      </c>
      <c r="C929" s="42">
        <f>原始数据!J929/(原始数据!J$2/100)</f>
        <v>159.21349270200926</v>
      </c>
    </row>
    <row r="930" spans="1:3" ht="18" customHeight="1" x14ac:dyDescent="0.3">
      <c r="A930" s="41">
        <f>表1[[#This Row],[订单日期]]</f>
        <v>45916</v>
      </c>
      <c r="B930" s="42">
        <f>原始数据!G930/(原始数据!G$2/100)</f>
        <v>650</v>
      </c>
      <c r="C930" s="42">
        <f>原始数据!J930/(原始数据!J$2/100)</f>
        <v>48.158651802721344</v>
      </c>
    </row>
    <row r="931" spans="1:3" ht="18" customHeight="1" x14ac:dyDescent="0.3">
      <c r="A931" s="41">
        <f>表1[[#This Row],[订单日期]]</f>
        <v>45916</v>
      </c>
      <c r="B931" s="42">
        <f>原始数据!G931/(原始数据!G$2/100)</f>
        <v>650</v>
      </c>
      <c r="C931" s="42">
        <f>原始数据!J931/(原始数据!J$2/100)</f>
        <v>198.21923593735414</v>
      </c>
    </row>
    <row r="932" spans="1:3" ht="18" customHeight="1" x14ac:dyDescent="0.3">
      <c r="A932" s="41">
        <f>表1[[#This Row],[订单日期]]</f>
        <v>45916</v>
      </c>
      <c r="B932" s="42">
        <f>原始数据!G932/(原始数据!G$2/100)</f>
        <v>650</v>
      </c>
      <c r="C932" s="42">
        <f>原始数据!J932/(原始数据!J$2/100)</f>
        <v>20.788144475646963</v>
      </c>
    </row>
    <row r="933" spans="1:3" ht="18" customHeight="1" x14ac:dyDescent="0.3">
      <c r="A933" s="41">
        <f>表1[[#This Row],[订单日期]]</f>
        <v>45916</v>
      </c>
      <c r="B933" s="42">
        <f>原始数据!G933/(原始数据!G$2/100)</f>
        <v>650</v>
      </c>
      <c r="C933" s="42">
        <f>原始数据!J933/(原始数据!J$2/100)</f>
        <v>372.30452747919162</v>
      </c>
    </row>
    <row r="934" spans="1:3" ht="18" customHeight="1" x14ac:dyDescent="0.3">
      <c r="A934" s="41">
        <f>表1[[#This Row],[订单日期]]</f>
        <v>45916</v>
      </c>
      <c r="B934" s="42">
        <f>原始数据!G934/(原始数据!G$2/100)</f>
        <v>650</v>
      </c>
      <c r="C934" s="42">
        <f>原始数据!J934/(原始数据!J$2/100)</f>
        <v>51.815440231034927</v>
      </c>
    </row>
    <row r="935" spans="1:3" ht="18" customHeight="1" x14ac:dyDescent="0.3">
      <c r="A935" s="41">
        <f>表1[[#This Row],[订单日期]]</f>
        <v>45916</v>
      </c>
      <c r="B935" s="42">
        <f>原始数据!G935/(原始数据!G$2/100)</f>
        <v>750</v>
      </c>
      <c r="C935" s="42">
        <f>原始数据!J935/(原始数据!J$2/100)</f>
        <v>234.45437703325143</v>
      </c>
    </row>
    <row r="936" spans="1:3" ht="18" customHeight="1" x14ac:dyDescent="0.3">
      <c r="A936" s="41">
        <f>表1[[#This Row],[订单日期]]</f>
        <v>45916</v>
      </c>
      <c r="B936" s="42">
        <f>原始数据!G936/(原始数据!G$2/100)</f>
        <v>750</v>
      </c>
      <c r="C936" s="42">
        <f>原始数据!J936/(原始数据!J$2/100)</f>
        <v>201.88528121124529</v>
      </c>
    </row>
    <row r="937" spans="1:3" ht="18" customHeight="1" x14ac:dyDescent="0.3">
      <c r="A937" s="41">
        <f>表1[[#This Row],[订单日期]]</f>
        <v>45916</v>
      </c>
      <c r="B937" s="42">
        <f>原始数据!G937/(原始数据!G$2/100)</f>
        <v>750</v>
      </c>
      <c r="C937" s="42">
        <f>原始数据!J937/(原始数据!J$2/100)</f>
        <v>537.19213418939398</v>
      </c>
    </row>
    <row r="938" spans="1:3" ht="18" customHeight="1" x14ac:dyDescent="0.3">
      <c r="A938" s="41">
        <f>表1[[#This Row],[订单日期]]</f>
        <v>45916</v>
      </c>
      <c r="B938" s="42">
        <f>原始数据!G938/(原始数据!G$2/100)</f>
        <v>750</v>
      </c>
      <c r="C938" s="42">
        <f>原始数据!J938/(原始数据!J$2/100)</f>
        <v>298.84558044683268</v>
      </c>
    </row>
    <row r="939" spans="1:3" ht="18" customHeight="1" x14ac:dyDescent="0.3">
      <c r="A939" s="41">
        <f>表1[[#This Row],[订单日期]]</f>
        <v>45916</v>
      </c>
      <c r="B939" s="42">
        <f>原始数据!G939/(原始数据!G$2/100)</f>
        <v>750</v>
      </c>
      <c r="C939" s="42">
        <f>原始数据!J939/(原始数据!J$2/100)</f>
        <v>169.62949125860158</v>
      </c>
    </row>
    <row r="940" spans="1:3" ht="18" customHeight="1" x14ac:dyDescent="0.3">
      <c r="A940" s="41">
        <f>表1[[#This Row],[订单日期]]</f>
        <v>45916</v>
      </c>
      <c r="B940" s="42">
        <f>原始数据!G940/(原始数据!G$2/100)</f>
        <v>750</v>
      </c>
      <c r="C940" s="42">
        <f>原始数据!J940/(原始数据!J$2/100)</f>
        <v>397.13562092907955</v>
      </c>
    </row>
    <row r="941" spans="1:3" ht="18" customHeight="1" x14ac:dyDescent="0.3">
      <c r="A941" s="41">
        <f>表1[[#This Row],[订单日期]]</f>
        <v>45916</v>
      </c>
      <c r="B941" s="42">
        <f>原始数据!G941/(原始数据!G$2/100)</f>
        <v>750</v>
      </c>
      <c r="C941" s="42">
        <f>原始数据!J941/(原始数据!J$2/100)</f>
        <v>341.83098270100476</v>
      </c>
    </row>
    <row r="942" spans="1:3" ht="18" customHeight="1" x14ac:dyDescent="0.3">
      <c r="A942" s="41">
        <f>表1[[#This Row],[订单日期]]</f>
        <v>45916</v>
      </c>
      <c r="B942" s="42">
        <f>原始数据!G942/(原始数据!G$2/100)</f>
        <v>750</v>
      </c>
      <c r="C942" s="42">
        <f>原始数据!J942/(原始数据!J$2/100)</f>
        <v>502.62842649739866</v>
      </c>
    </row>
    <row r="943" spans="1:3" ht="18" customHeight="1" x14ac:dyDescent="0.3">
      <c r="A943" s="41">
        <f>表1[[#This Row],[订单日期]]</f>
        <v>45916</v>
      </c>
      <c r="B943" s="42">
        <f>原始数据!G943/(原始数据!G$2/100)</f>
        <v>750</v>
      </c>
      <c r="C943" s="42">
        <f>原始数据!J943/(原始数据!J$2/100)</f>
        <v>160.21049076143024</v>
      </c>
    </row>
    <row r="944" spans="1:3" ht="18" customHeight="1" x14ac:dyDescent="0.3">
      <c r="A944" s="41">
        <f>表1[[#This Row],[订单日期]]</f>
        <v>45916</v>
      </c>
      <c r="B944" s="42">
        <f>原始数据!G944/(原始数据!G$2/100)</f>
        <v>750</v>
      </c>
      <c r="C944" s="42">
        <f>原始数据!J944/(原始数据!J$2/100)</f>
        <v>92.846498985167571</v>
      </c>
    </row>
    <row r="945" spans="1:3" ht="18" customHeight="1" x14ac:dyDescent="0.3">
      <c r="A945" s="41">
        <f>表1[[#This Row],[订单日期]]</f>
        <v>45916</v>
      </c>
      <c r="B945" s="42">
        <f>原始数据!G945/(原始数据!G$2/100)</f>
        <v>750</v>
      </c>
      <c r="C945" s="42">
        <f>原始数据!J945/(原始数据!J$2/100)</f>
        <v>409.09372742786371</v>
      </c>
    </row>
    <row r="946" spans="1:3" ht="18" customHeight="1" x14ac:dyDescent="0.3">
      <c r="A946" s="41">
        <f>表1[[#This Row],[订单日期]]</f>
        <v>45916</v>
      </c>
      <c r="B946" s="42">
        <f>原始数据!G946/(原始数据!G$2/100)</f>
        <v>750</v>
      </c>
      <c r="C946" s="42">
        <f>原始数据!J946/(原始数据!J$2/100)</f>
        <v>55.724555849256973</v>
      </c>
    </row>
    <row r="947" spans="1:3" ht="18" customHeight="1" x14ac:dyDescent="0.3">
      <c r="A947" s="41">
        <f>表1[[#This Row],[订单日期]]</f>
        <v>45916</v>
      </c>
      <c r="B947" s="42">
        <f>原始数据!G947/(原始数据!G$2/100)</f>
        <v>750</v>
      </c>
      <c r="C947" s="42">
        <f>原始数据!J947/(原始数据!J$2/100)</f>
        <v>67.904285889151026</v>
      </c>
    </row>
    <row r="948" spans="1:3" ht="18" customHeight="1" x14ac:dyDescent="0.3">
      <c r="A948" s="41">
        <f>表1[[#This Row],[订单日期]]</f>
        <v>45916</v>
      </c>
      <c r="B948" s="42">
        <f>原始数据!G948/(原始数据!G$2/100)</f>
        <v>750</v>
      </c>
      <c r="C948" s="42">
        <f>原始数据!J948/(原始数据!J$2/100)</f>
        <v>166.42551463365902</v>
      </c>
    </row>
    <row r="949" spans="1:3" ht="18" customHeight="1" x14ac:dyDescent="0.3">
      <c r="A949" s="41">
        <f>表1[[#This Row],[订单日期]]</f>
        <v>45916</v>
      </c>
      <c r="B949" s="42">
        <f>原始数据!G949/(原始数据!G$2/100)</f>
        <v>750</v>
      </c>
      <c r="C949" s="42">
        <f>原始数据!J949/(原始数据!J$2/100)</f>
        <v>10.836224053348159</v>
      </c>
    </row>
    <row r="950" spans="1:3" ht="18" customHeight="1" x14ac:dyDescent="0.3">
      <c r="A950" s="41">
        <f>表1[[#This Row],[订单日期]]</f>
        <v>45916</v>
      </c>
      <c r="B950" s="42">
        <f>原始数据!G950/(原始数据!G$2/100)</f>
        <v>750</v>
      </c>
      <c r="C950" s="42">
        <f>原始数据!J950/(原始数据!J$2/100)</f>
        <v>166.09307932199417</v>
      </c>
    </row>
    <row r="951" spans="1:3" ht="18" customHeight="1" x14ac:dyDescent="0.3">
      <c r="A951" s="41">
        <f>表1[[#This Row],[订单日期]]</f>
        <v>45916</v>
      </c>
      <c r="B951" s="42">
        <f>原始数据!G951/(原始数据!G$2/100)</f>
        <v>750</v>
      </c>
      <c r="C951" s="42">
        <f>原始数据!J951/(原始数据!J$2/100)</f>
        <v>306.59283966452847</v>
      </c>
    </row>
    <row r="952" spans="1:3" ht="18" customHeight="1" x14ac:dyDescent="0.3">
      <c r="A952" s="41">
        <f>表1[[#This Row],[订单日期]]</f>
        <v>45916</v>
      </c>
      <c r="B952" s="42">
        <f>原始数据!G952/(原始数据!G$2/100)</f>
        <v>750</v>
      </c>
      <c r="C952" s="42">
        <f>原始数据!J952/(原始数据!J$2/100)</f>
        <v>49.408284927624422</v>
      </c>
    </row>
    <row r="953" spans="1:3" ht="18" customHeight="1" x14ac:dyDescent="0.3">
      <c r="A953" s="41">
        <f>表1[[#This Row],[订单日期]]</f>
        <v>45916</v>
      </c>
      <c r="B953" s="42">
        <f>原始数据!G953/(原始数据!G$2/100)</f>
        <v>800</v>
      </c>
      <c r="C953" s="42">
        <f>原始数据!J953/(原始数据!J$2/100)</f>
        <v>147.56299285356687</v>
      </c>
    </row>
    <row r="954" spans="1:3" ht="18" customHeight="1" x14ac:dyDescent="0.3">
      <c r="A954" s="41">
        <f>表1[[#This Row],[订单日期]]</f>
        <v>45916</v>
      </c>
      <c r="B954" s="42">
        <f>原始数据!G954/(原始数据!G$2/100)</f>
        <v>800</v>
      </c>
      <c r="C954" s="42">
        <f>原始数据!J954/(原始数据!J$2/100)</f>
        <v>259.96662486196294</v>
      </c>
    </row>
    <row r="955" spans="1:3" ht="18" customHeight="1" x14ac:dyDescent="0.3">
      <c r="A955" s="41">
        <f>表1[[#This Row],[订单日期]]</f>
        <v>45916</v>
      </c>
      <c r="B955" s="42">
        <f>原始数据!G955/(原始数据!G$2/100)</f>
        <v>800</v>
      </c>
      <c r="C955" s="42">
        <f>原始数据!J955/(原始数据!J$2/100)</f>
        <v>479.88749274788296</v>
      </c>
    </row>
    <row r="956" spans="1:3" ht="18" customHeight="1" x14ac:dyDescent="0.3">
      <c r="A956" s="41">
        <f>表1[[#This Row],[订单日期]]</f>
        <v>45916</v>
      </c>
      <c r="B956" s="42">
        <f>原始数据!G956/(原始数据!G$2/100)</f>
        <v>800</v>
      </c>
      <c r="C956" s="42">
        <f>原始数据!J956/(原始数据!J$2/100)</f>
        <v>325.56719303049749</v>
      </c>
    </row>
    <row r="957" spans="1:3" ht="18" customHeight="1" x14ac:dyDescent="0.3">
      <c r="A957" s="41">
        <f>表1[[#This Row],[订单日期]]</f>
        <v>45916</v>
      </c>
      <c r="B957" s="42">
        <f>原始数据!G957/(原始数据!G$2/100)</f>
        <v>800</v>
      </c>
      <c r="C957" s="42">
        <f>原始数据!J957/(原始数据!J$2/100)</f>
        <v>353.45126254467698</v>
      </c>
    </row>
    <row r="958" spans="1:3" ht="18" customHeight="1" x14ac:dyDescent="0.3">
      <c r="A958" s="41">
        <f>表1[[#This Row],[订单日期]]</f>
        <v>45916</v>
      </c>
      <c r="B958" s="42">
        <f>原始数据!G958/(原始数据!G$2/100)</f>
        <v>800</v>
      </c>
      <c r="C958" s="42">
        <f>原始数据!J958/(原始数据!J$2/100)</f>
        <v>279.91274356185517</v>
      </c>
    </row>
    <row r="959" spans="1:3" ht="18" customHeight="1" x14ac:dyDescent="0.3">
      <c r="A959" s="41">
        <f>表1[[#This Row],[订单日期]]</f>
        <v>45916</v>
      </c>
      <c r="B959" s="42">
        <f>原始数据!G959/(原始数据!G$2/100)</f>
        <v>800</v>
      </c>
      <c r="C959" s="42">
        <f>原始数据!J959/(原始数据!J$2/100)</f>
        <v>222.25012620760791</v>
      </c>
    </row>
    <row r="960" spans="1:3" ht="18" customHeight="1" x14ac:dyDescent="0.3">
      <c r="A960" s="41">
        <f>表1[[#This Row],[订单日期]]</f>
        <v>45916</v>
      </c>
      <c r="B960" s="42">
        <f>原始数据!G960/(原始数据!G$2/100)</f>
        <v>800</v>
      </c>
      <c r="C960" s="42">
        <f>原始数据!J960/(原始数据!J$2/100)</f>
        <v>55.186472876402341</v>
      </c>
    </row>
    <row r="961" spans="1:3" ht="18" customHeight="1" x14ac:dyDescent="0.3">
      <c r="A961" s="41">
        <f>表1[[#This Row],[订单日期]]</f>
        <v>45916</v>
      </c>
      <c r="B961" s="42">
        <f>原始数据!G961/(原始数据!G$2/100)</f>
        <v>800</v>
      </c>
      <c r="C961" s="42">
        <f>原始数据!J961/(原始数据!J$2/100)</f>
        <v>466.70089205184308</v>
      </c>
    </row>
    <row r="962" spans="1:3" ht="18" customHeight="1" x14ac:dyDescent="0.3">
      <c r="A962" s="41">
        <f>表1[[#This Row],[订单日期]]</f>
        <v>45916</v>
      </c>
      <c r="B962" s="42">
        <f>原始数据!G962/(原始数据!G$2/100)</f>
        <v>800</v>
      </c>
      <c r="C962" s="42">
        <f>原始数据!J962/(原始数据!J$2/100)</f>
        <v>311.27247462890801</v>
      </c>
    </row>
    <row r="963" spans="1:3" ht="18" customHeight="1" x14ac:dyDescent="0.3">
      <c r="A963" s="41">
        <f>表1[[#This Row],[订单日期]]</f>
        <v>45916</v>
      </c>
      <c r="B963" s="42">
        <f>原始数据!G963/(原始数据!G$2/100)</f>
        <v>800</v>
      </c>
      <c r="C963" s="42">
        <f>原始数据!J963/(原始数据!J$2/100)</f>
        <v>364.42162782961776</v>
      </c>
    </row>
    <row r="964" spans="1:3" ht="18" customHeight="1" x14ac:dyDescent="0.3">
      <c r="A964" s="41">
        <f>表1[[#This Row],[订单日期]]</f>
        <v>45916</v>
      </c>
      <c r="B964" s="42">
        <f>原始数据!G964/(原始数据!G$2/100)</f>
        <v>800</v>
      </c>
      <c r="C964" s="42">
        <f>原始数据!J964/(原始数据!J$2/100)</f>
        <v>187.49572691902102</v>
      </c>
    </row>
    <row r="965" spans="1:3" ht="18" customHeight="1" x14ac:dyDescent="0.3">
      <c r="A965" s="41">
        <f>表1[[#This Row],[订单日期]]</f>
        <v>45916</v>
      </c>
      <c r="B965" s="42">
        <f>原始数据!G965/(原始数据!G$2/100)</f>
        <v>800</v>
      </c>
      <c r="C965" s="42">
        <f>原始数据!J965/(原始数据!J$2/100)</f>
        <v>524.6554480520856</v>
      </c>
    </row>
    <row r="966" spans="1:3" ht="18" customHeight="1" x14ac:dyDescent="0.3">
      <c r="A966" s="41">
        <f>表1[[#This Row],[订单日期]]</f>
        <v>45916</v>
      </c>
      <c r="B966" s="42">
        <f>原始数据!G966/(原始数据!G$2/100)</f>
        <v>800</v>
      </c>
      <c r="C966" s="42">
        <f>原始数据!J966/(原始数据!J$2/100)</f>
        <v>188.0497857717958</v>
      </c>
    </row>
    <row r="967" spans="1:3" ht="18" customHeight="1" x14ac:dyDescent="0.3">
      <c r="A967" s="41">
        <f>表1[[#This Row],[订单日期]]</f>
        <v>45916</v>
      </c>
      <c r="B967" s="42">
        <f>原始数据!G967/(原始数据!G$2/100)</f>
        <v>800</v>
      </c>
      <c r="C967" s="42">
        <f>原始数据!J967/(原始数据!J$2/100)</f>
        <v>221.47444381372318</v>
      </c>
    </row>
    <row r="968" spans="1:3" ht="18" customHeight="1" x14ac:dyDescent="0.3">
      <c r="A968" s="41">
        <f>表1[[#This Row],[订单日期]]</f>
        <v>45916</v>
      </c>
      <c r="B968" s="42">
        <f>原始数据!G968/(原始数据!G$2/100)</f>
        <v>800</v>
      </c>
      <c r="C968" s="42">
        <f>原始数据!J968/(原始数据!J$2/100)</f>
        <v>179.29565589795419</v>
      </c>
    </row>
    <row r="969" spans="1:3" ht="18" customHeight="1" x14ac:dyDescent="0.3">
      <c r="A969" s="41">
        <f>表1[[#This Row],[订单日期]]</f>
        <v>45916</v>
      </c>
      <c r="B969" s="42">
        <f>原始数据!G969/(原始数据!G$2/100)</f>
        <v>800</v>
      </c>
      <c r="C969" s="42">
        <f>原始数据!J969/(原始数据!J$2/100)</f>
        <v>246.07465687692365</v>
      </c>
    </row>
    <row r="970" spans="1:3" ht="18" customHeight="1" x14ac:dyDescent="0.3">
      <c r="A970" s="41">
        <f>表1[[#This Row],[订单日期]]</f>
        <v>45916</v>
      </c>
      <c r="B970" s="42">
        <f>原始数据!G970/(原始数据!G$2/100)</f>
        <v>800</v>
      </c>
      <c r="C970" s="42">
        <f>原始数据!J970/(原始数据!J$2/100)</f>
        <v>253.87197748144027</v>
      </c>
    </row>
    <row r="971" spans="1:3" ht="18" customHeight="1" x14ac:dyDescent="0.3">
      <c r="A971" s="41">
        <f>表1[[#This Row],[订单日期]]</f>
        <v>45917</v>
      </c>
      <c r="B971" s="42">
        <f>原始数据!G971/(原始数据!G$2/100)</f>
        <v>150</v>
      </c>
      <c r="C971" s="42">
        <f>原始数据!J971/(原始数据!J$2/100)</f>
        <v>466.66173064255094</v>
      </c>
    </row>
    <row r="972" spans="1:3" ht="18" customHeight="1" x14ac:dyDescent="0.3">
      <c r="A972" s="41">
        <f>表1[[#This Row],[订单日期]]</f>
        <v>45917</v>
      </c>
      <c r="B972" s="42">
        <f>原始数据!G972/(原始数据!G$2/100)</f>
        <v>150</v>
      </c>
      <c r="C972" s="42">
        <f>原始数据!J972/(原始数据!J$2/100)</f>
        <v>446.60480017210381</v>
      </c>
    </row>
    <row r="973" spans="1:3" ht="18" customHeight="1" x14ac:dyDescent="0.3">
      <c r="A973" s="41">
        <f>表1[[#This Row],[订单日期]]</f>
        <v>45917</v>
      </c>
      <c r="B973" s="42">
        <f>原始数据!G973/(原始数据!G$2/100)</f>
        <v>150</v>
      </c>
      <c r="C973" s="42">
        <f>原始数据!J973/(原始数据!J$2/100)</f>
        <v>493.69980265796045</v>
      </c>
    </row>
    <row r="974" spans="1:3" ht="18" customHeight="1" x14ac:dyDescent="0.3">
      <c r="A974" s="41">
        <f>表1[[#This Row],[订单日期]]</f>
        <v>45917</v>
      </c>
      <c r="B974" s="42">
        <f>原始数据!G974/(原始数据!G$2/100)</f>
        <v>150</v>
      </c>
      <c r="C974" s="42">
        <f>原始数据!J974/(原始数据!J$2/100)</f>
        <v>453.36431817595616</v>
      </c>
    </row>
    <row r="975" spans="1:3" ht="18" customHeight="1" x14ac:dyDescent="0.3">
      <c r="A975" s="41">
        <f>表1[[#This Row],[订单日期]]</f>
        <v>45917</v>
      </c>
      <c r="B975" s="42">
        <f>原始数据!G975/(原始数据!G$2/100)</f>
        <v>150</v>
      </c>
      <c r="C975" s="42">
        <f>原始数据!J975/(原始数据!J$2/100)</f>
        <v>314.62798144114998</v>
      </c>
    </row>
    <row r="976" spans="1:3" ht="18" customHeight="1" x14ac:dyDescent="0.3">
      <c r="A976" s="41">
        <f>表1[[#This Row],[订单日期]]</f>
        <v>45917</v>
      </c>
      <c r="B976" s="42">
        <f>原始数据!G976/(原始数据!G$2/100)</f>
        <v>150</v>
      </c>
      <c r="C976" s="42">
        <f>原始数据!J976/(原始数据!J$2/100)</f>
        <v>434.85875249327836</v>
      </c>
    </row>
    <row r="977" spans="1:3" ht="18" customHeight="1" x14ac:dyDescent="0.3">
      <c r="A977" s="41">
        <f>表1[[#This Row],[订单日期]]</f>
        <v>45917</v>
      </c>
      <c r="B977" s="42">
        <f>原始数据!G977/(原始数据!G$2/100)</f>
        <v>150</v>
      </c>
      <c r="C977" s="42">
        <f>原始数据!J977/(原始数据!J$2/100)</f>
        <v>219.44067053444189</v>
      </c>
    </row>
    <row r="978" spans="1:3" ht="18" customHeight="1" x14ac:dyDescent="0.3">
      <c r="A978" s="41">
        <f>表1[[#This Row],[订单日期]]</f>
        <v>45917</v>
      </c>
      <c r="B978" s="42">
        <f>原始数据!G978/(原始数据!G$2/100)</f>
        <v>150</v>
      </c>
      <c r="C978" s="42">
        <f>原始数据!J978/(原始数据!J$2/100)</f>
        <v>141.42918406375216</v>
      </c>
    </row>
    <row r="979" spans="1:3" ht="18" customHeight="1" x14ac:dyDescent="0.3">
      <c r="A979" s="41">
        <f>表1[[#This Row],[订单日期]]</f>
        <v>45917</v>
      </c>
      <c r="B979" s="42">
        <f>原始数据!G979/(原始数据!G$2/100)</f>
        <v>150</v>
      </c>
      <c r="C979" s="42">
        <f>原始数据!J979/(原始数据!J$2/100)</f>
        <v>528.93794569443685</v>
      </c>
    </row>
    <row r="980" spans="1:3" ht="18" customHeight="1" x14ac:dyDescent="0.3">
      <c r="A980" s="41">
        <f>表1[[#This Row],[订单日期]]</f>
        <v>45918</v>
      </c>
      <c r="B980" s="42">
        <f>原始数据!G980/(原始数据!G$2/100)</f>
        <v>250</v>
      </c>
      <c r="C980" s="42">
        <f>原始数据!J980/(原始数据!J$2/100)</f>
        <v>166.57408314295455</v>
      </c>
    </row>
    <row r="981" spans="1:3" ht="18" customHeight="1" x14ac:dyDescent="0.3">
      <c r="A981" s="41">
        <f>表1[[#This Row],[订单日期]]</f>
        <v>45918</v>
      </c>
      <c r="B981" s="42">
        <f>原始数据!G981/(原始数据!G$2/100)</f>
        <v>250</v>
      </c>
      <c r="C981" s="42">
        <f>原始数据!J981/(原始数据!J$2/100)</f>
        <v>297.88603125057864</v>
      </c>
    </row>
    <row r="982" spans="1:3" ht="18" customHeight="1" x14ac:dyDescent="0.3">
      <c r="A982" s="41">
        <f>表1[[#This Row],[订单日期]]</f>
        <v>45918</v>
      </c>
      <c r="B982" s="42">
        <f>原始数据!G982/(原始数据!G$2/100)</f>
        <v>250</v>
      </c>
      <c r="C982" s="42">
        <f>原始数据!J982/(原始数据!J$2/100)</f>
        <v>27.283687555373575</v>
      </c>
    </row>
    <row r="983" spans="1:3" ht="18" customHeight="1" x14ac:dyDescent="0.3">
      <c r="A983" s="41">
        <f>表1[[#This Row],[订单日期]]</f>
        <v>45918</v>
      </c>
      <c r="B983" s="42">
        <f>原始数据!G983/(原始数据!G$2/100)</f>
        <v>250</v>
      </c>
      <c r="C983" s="42">
        <f>原始数据!J983/(原始数据!J$2/100)</f>
        <v>512.30680727442041</v>
      </c>
    </row>
    <row r="984" spans="1:3" ht="18" customHeight="1" x14ac:dyDescent="0.3">
      <c r="A984" s="41">
        <f>表1[[#This Row],[订单日期]]</f>
        <v>45918</v>
      </c>
      <c r="B984" s="42">
        <f>原始数据!G984/(原始数据!G$2/100)</f>
        <v>250</v>
      </c>
      <c r="C984" s="42">
        <f>原始数据!J984/(原始数据!J$2/100)</f>
        <v>145.07659965529288</v>
      </c>
    </row>
    <row r="985" spans="1:3" ht="18" customHeight="1" x14ac:dyDescent="0.3">
      <c r="A985" s="41">
        <f>表1[[#This Row],[订单日期]]</f>
        <v>45918</v>
      </c>
      <c r="B985" s="42">
        <f>原始数据!G985/(原始数据!G$2/100)</f>
        <v>250</v>
      </c>
      <c r="C985" s="42">
        <f>原始数据!J985/(原始数据!J$2/100)</f>
        <v>13.543028006558904</v>
      </c>
    </row>
    <row r="986" spans="1:3" ht="18" customHeight="1" x14ac:dyDescent="0.3">
      <c r="A986" s="41">
        <f>表1[[#This Row],[订单日期]]</f>
        <v>45918</v>
      </c>
      <c r="B986" s="42">
        <f>原始数据!G986/(原始数据!G$2/100)</f>
        <v>250</v>
      </c>
      <c r="C986" s="42">
        <f>原始数据!J986/(原始数据!J$2/100)</f>
        <v>475.96054653239452</v>
      </c>
    </row>
    <row r="987" spans="1:3" ht="18" customHeight="1" x14ac:dyDescent="0.3">
      <c r="A987" s="41">
        <f>表1[[#This Row],[订单日期]]</f>
        <v>45918</v>
      </c>
      <c r="B987" s="42">
        <f>原始数据!G987/(原始数据!G$2/100)</f>
        <v>250</v>
      </c>
      <c r="C987" s="42">
        <f>原始数据!J987/(原始数据!J$2/100)</f>
        <v>331.24037418762066</v>
      </c>
    </row>
    <row r="988" spans="1:3" ht="18" customHeight="1" x14ac:dyDescent="0.3">
      <c r="A988" s="41">
        <f>表1[[#This Row],[订单日期]]</f>
        <v>45918</v>
      </c>
      <c r="B988" s="42">
        <f>原始数据!G988/(原始数据!G$2/100)</f>
        <v>250</v>
      </c>
      <c r="C988" s="42">
        <f>原始数据!J988/(原始数据!J$2/100)</f>
        <v>64.627254232394094</v>
      </c>
    </row>
    <row r="989" spans="1:3" ht="18" customHeight="1" x14ac:dyDescent="0.3">
      <c r="A989" s="41">
        <f>表1[[#This Row],[订单日期]]</f>
        <v>45918</v>
      </c>
      <c r="B989" s="42">
        <f>原始数据!G989/(原始数据!G$2/100)</f>
        <v>250</v>
      </c>
      <c r="C989" s="42">
        <f>原始数据!J989/(原始数据!J$2/100)</f>
        <v>529.92587879265852</v>
      </c>
    </row>
    <row r="990" spans="1:3" ht="18" customHeight="1" x14ac:dyDescent="0.3">
      <c r="A990" s="41">
        <f>表1[[#This Row],[订单日期]]</f>
        <v>45918</v>
      </c>
      <c r="B990" s="42">
        <f>原始数据!G990/(原始数据!G$2/100)</f>
        <v>250</v>
      </c>
      <c r="C990" s="42">
        <f>原始数据!J990/(原始数据!J$2/100)</f>
        <v>157.81995326911294</v>
      </c>
    </row>
    <row r="991" spans="1:3" ht="18" customHeight="1" x14ac:dyDescent="0.3">
      <c r="A991" s="41">
        <f>表1[[#This Row],[订单日期]]</f>
        <v>45918</v>
      </c>
      <c r="B991" s="42">
        <f>原始数据!G991/(原始数据!G$2/100)</f>
        <v>250</v>
      </c>
      <c r="C991" s="42">
        <f>原始数据!J991/(原始数据!J$2/100)</f>
        <v>31.826970148126811</v>
      </c>
    </row>
    <row r="992" spans="1:3" ht="18" customHeight="1" x14ac:dyDescent="0.3">
      <c r="A992" s="41">
        <f>表1[[#This Row],[订单日期]]</f>
        <v>45918</v>
      </c>
      <c r="B992" s="42">
        <f>原始数据!G992/(原始数据!G$2/100)</f>
        <v>250</v>
      </c>
      <c r="C992" s="42">
        <f>原始数据!J992/(原始数据!J$2/100)</f>
        <v>418.44923761437184</v>
      </c>
    </row>
    <row r="993" spans="1:3" ht="18" customHeight="1" x14ac:dyDescent="0.3">
      <c r="A993" s="41">
        <f>表1[[#This Row],[订单日期]]</f>
        <v>45918</v>
      </c>
      <c r="B993" s="42">
        <f>原始数据!G993/(原始数据!G$2/100)</f>
        <v>250</v>
      </c>
      <c r="C993" s="42">
        <f>原始数据!J993/(原始数据!J$2/100)</f>
        <v>244.03151076086951</v>
      </c>
    </row>
    <row r="994" spans="1:3" ht="18" customHeight="1" x14ac:dyDescent="0.3">
      <c r="A994" s="41">
        <f>表1[[#This Row],[订单日期]]</f>
        <v>45918</v>
      </c>
      <c r="B994" s="42">
        <f>原始数据!G994/(原始数据!G$2/100)</f>
        <v>250</v>
      </c>
      <c r="C994" s="42">
        <f>原始数据!J994/(原始数据!J$2/100)</f>
        <v>122.80343377374652</v>
      </c>
    </row>
    <row r="995" spans="1:3" ht="18" customHeight="1" x14ac:dyDescent="0.3">
      <c r="A995" s="41">
        <f>表1[[#This Row],[订单日期]]</f>
        <v>45918</v>
      </c>
      <c r="B995" s="42">
        <f>原始数据!G995/(原始数据!G$2/100)</f>
        <v>250</v>
      </c>
      <c r="C995" s="42">
        <f>原始数据!J995/(原始数据!J$2/100)</f>
        <v>254.55862896359042</v>
      </c>
    </row>
    <row r="996" spans="1:3" ht="18" customHeight="1" x14ac:dyDescent="0.3">
      <c r="A996" s="41">
        <f>表1[[#This Row],[订单日期]]</f>
        <v>45918</v>
      </c>
      <c r="B996" s="42">
        <f>原始数据!G996/(原始数据!G$2/100)</f>
        <v>250</v>
      </c>
      <c r="C996" s="42">
        <f>原始数据!J996/(原始数据!J$2/100)</f>
        <v>332.2376801226153</v>
      </c>
    </row>
    <row r="997" spans="1:3" ht="18" customHeight="1" x14ac:dyDescent="0.3">
      <c r="A997" s="41">
        <f>表1[[#This Row],[订单日期]]</f>
        <v>45918</v>
      </c>
      <c r="B997" s="42">
        <f>原始数据!G997/(原始数据!G$2/100)</f>
        <v>250</v>
      </c>
      <c r="C997" s="42">
        <f>原始数据!J997/(原始数据!J$2/100)</f>
        <v>260.87489988522299</v>
      </c>
    </row>
    <row r="998" spans="1:3" ht="18" customHeight="1" x14ac:dyDescent="0.3">
      <c r="A998" s="41">
        <f>表1[[#This Row],[订单日期]]</f>
        <v>45918</v>
      </c>
      <c r="B998" s="42">
        <f>原始数据!G998/(原始数据!G$2/100)</f>
        <v>500</v>
      </c>
      <c r="C998" s="42">
        <f>原始数据!J998/(原始数据!J$2/100)</f>
        <v>55.358703448867708</v>
      </c>
    </row>
    <row r="999" spans="1:3" ht="18" customHeight="1" x14ac:dyDescent="0.3">
      <c r="A999" s="41">
        <f>表1[[#This Row],[订单日期]]</f>
        <v>45918</v>
      </c>
      <c r="B999" s="42">
        <f>原始数据!G999/(原始数据!G$2/100)</f>
        <v>500</v>
      </c>
      <c r="C999" s="42">
        <f>原始数据!J999/(原始数据!J$2/100)</f>
        <v>187.77876926204135</v>
      </c>
    </row>
    <row r="1000" spans="1:3" ht="18" customHeight="1" x14ac:dyDescent="0.3">
      <c r="A1000" s="41">
        <f>表1[[#This Row],[订单日期]]</f>
        <v>45918</v>
      </c>
      <c r="B1000" s="42">
        <f>原始数据!G1000/(原始数据!G$2/100)</f>
        <v>500</v>
      </c>
      <c r="C1000" s="42">
        <f>原始数据!J1000/(原始数据!J$2/100)</f>
        <v>190.10581644369546</v>
      </c>
    </row>
    <row r="1001" spans="1:3" ht="18" customHeight="1" x14ac:dyDescent="0.3">
      <c r="A1001" s="41">
        <f>表1[[#This Row],[订单日期]]</f>
        <v>45918</v>
      </c>
      <c r="B1001" s="42">
        <f>原始数据!G1001/(原始数据!G$2/100)</f>
        <v>500</v>
      </c>
      <c r="C1001" s="42">
        <f>原始数据!J1001/(原始数据!J$2/100)</f>
        <v>26.436831334023928</v>
      </c>
    </row>
    <row r="1002" spans="1:3" ht="18" customHeight="1" x14ac:dyDescent="0.3">
      <c r="A1002" s="41">
        <f>表1[[#This Row],[订单日期]]</f>
        <v>45918</v>
      </c>
      <c r="B1002" s="42">
        <f>原始数据!G1002/(原始数据!G$2/100)</f>
        <v>500</v>
      </c>
      <c r="C1002" s="42">
        <f>原始数据!J1002/(原始数据!J$2/100)</f>
        <v>426.13488772575391</v>
      </c>
    </row>
    <row r="1003" spans="1:3" ht="18" customHeight="1" x14ac:dyDescent="0.3">
      <c r="A1003" s="41">
        <f>表1[[#This Row],[订单日期]]</f>
        <v>45918</v>
      </c>
      <c r="B1003" s="42">
        <f>原始数据!G1003/(原始数据!G$2/100)</f>
        <v>500</v>
      </c>
      <c r="C1003" s="42">
        <f>原始数据!J1003/(原始数据!J$2/100)</f>
        <v>453.83783036449313</v>
      </c>
    </row>
    <row r="1004" spans="1:3" ht="18" customHeight="1" x14ac:dyDescent="0.3">
      <c r="A1004" s="41">
        <f>表1[[#This Row],[订单日期]]</f>
        <v>45918</v>
      </c>
      <c r="B1004" s="42">
        <f>原始数据!G1004/(原始数据!G$2/100)</f>
        <v>500</v>
      </c>
      <c r="C1004" s="42">
        <f>原始数据!J1004/(原始数据!J$2/100)</f>
        <v>542.81968212012362</v>
      </c>
    </row>
    <row r="1005" spans="1:3" ht="18" customHeight="1" x14ac:dyDescent="0.3">
      <c r="A1005" s="41">
        <f>表1[[#This Row],[订单日期]]</f>
        <v>45918</v>
      </c>
      <c r="B1005" s="42">
        <f>原始数据!G1005/(原始数据!G$2/100)</f>
        <v>500</v>
      </c>
      <c r="C1005" s="42">
        <f>原始数据!J1005/(原始数据!J$2/100)</f>
        <v>399.65087456311915</v>
      </c>
    </row>
    <row r="1006" spans="1:3" ht="18" customHeight="1" x14ac:dyDescent="0.3">
      <c r="A1006" s="41">
        <f>表1[[#This Row],[订单日期]]</f>
        <v>45918</v>
      </c>
      <c r="B1006" s="42">
        <f>原始数据!G1006/(原始数据!G$2/100)</f>
        <v>500</v>
      </c>
      <c r="C1006" s="42">
        <f>原始数据!J1006/(原始数据!J$2/100)</f>
        <v>495.05980901093716</v>
      </c>
    </row>
    <row r="1007" spans="1:3" ht="18" customHeight="1" x14ac:dyDescent="0.3">
      <c r="A1007" s="41">
        <f>表1[[#This Row],[订单日期]]</f>
        <v>45918</v>
      </c>
      <c r="B1007" s="42">
        <f>原始数据!G1007/(原始数据!G$2/100)</f>
        <v>650</v>
      </c>
      <c r="C1007" s="42">
        <f>原始数据!J1007/(原始数据!J$2/100)</f>
        <v>369.52354003388245</v>
      </c>
    </row>
    <row r="1008" spans="1:3" ht="18" customHeight="1" x14ac:dyDescent="0.3">
      <c r="A1008" s="41">
        <f>表1[[#This Row],[订单日期]]</f>
        <v>45918</v>
      </c>
      <c r="B1008" s="42">
        <f>原始数据!G1008/(原始数据!G$2/100)</f>
        <v>650</v>
      </c>
      <c r="C1008" s="42">
        <f>原始数据!J1008/(原始数据!J$2/100)</f>
        <v>108.00776152418392</v>
      </c>
    </row>
    <row r="1009" spans="1:3" ht="18" customHeight="1" x14ac:dyDescent="0.3">
      <c r="A1009" s="41">
        <f>表1[[#This Row],[订单日期]]</f>
        <v>45918</v>
      </c>
      <c r="B1009" s="42">
        <f>原始数据!G1009/(原始数据!G$2/100)</f>
        <v>650</v>
      </c>
      <c r="C1009" s="42">
        <f>原始数据!J1009/(原始数据!J$2/100)</f>
        <v>260.48475780780478</v>
      </c>
    </row>
    <row r="1010" spans="1:3" ht="18" customHeight="1" x14ac:dyDescent="0.3">
      <c r="A1010" s="41">
        <f>表1[[#This Row],[订单日期]]</f>
        <v>45918</v>
      </c>
      <c r="B1010" s="42">
        <f>原始数据!G1010/(原始数据!G$2/100)</f>
        <v>650</v>
      </c>
      <c r="C1010" s="42">
        <f>原始数据!J1010/(原始数据!J$2/100)</f>
        <v>505.60039427536969</v>
      </c>
    </row>
    <row r="1011" spans="1:3" ht="18" customHeight="1" x14ac:dyDescent="0.3">
      <c r="A1011" s="41">
        <f>表1[[#This Row],[订单日期]]</f>
        <v>45918</v>
      </c>
      <c r="B1011" s="42">
        <f>原始数据!G1011/(原始数据!G$2/100)</f>
        <v>650</v>
      </c>
      <c r="C1011" s="42">
        <f>原始数据!J1011/(原始数据!J$2/100)</f>
        <v>352.680150909529</v>
      </c>
    </row>
    <row r="1012" spans="1:3" ht="18" customHeight="1" x14ac:dyDescent="0.3">
      <c r="A1012" s="41">
        <f>表1[[#This Row],[订单日期]]</f>
        <v>45918</v>
      </c>
      <c r="B1012" s="42">
        <f>原始数据!G1012/(原始数据!G$2/100)</f>
        <v>650</v>
      </c>
      <c r="C1012" s="42">
        <f>原始数据!J1012/(原始数据!J$2/100)</f>
        <v>196.98961327981439</v>
      </c>
    </row>
    <row r="1013" spans="1:3" ht="18" customHeight="1" x14ac:dyDescent="0.3">
      <c r="A1013" s="41">
        <f>表1[[#This Row],[订单日期]]</f>
        <v>45918</v>
      </c>
      <c r="B1013" s="42">
        <f>原始数据!G1013/(原始数据!G$2/100)</f>
        <v>650</v>
      </c>
      <c r="C1013" s="42">
        <f>原始数据!J1013/(原始数据!J$2/100)</f>
        <v>30.661145676823914</v>
      </c>
    </row>
    <row r="1014" spans="1:3" ht="18" customHeight="1" x14ac:dyDescent="0.3">
      <c r="A1014" s="41">
        <f>表1[[#This Row],[订单日期]]</f>
        <v>45918</v>
      </c>
      <c r="B1014" s="42">
        <f>原始数据!G1014/(原始数据!G$2/100)</f>
        <v>650</v>
      </c>
      <c r="C1014" s="42">
        <f>原始数据!J1014/(原始数据!J$2/100)</f>
        <v>73.877736193257149</v>
      </c>
    </row>
    <row r="1015" spans="1:3" ht="18" customHeight="1" x14ac:dyDescent="0.3">
      <c r="A1015" s="41">
        <f>表1[[#This Row],[订单日期]]</f>
        <v>45918</v>
      </c>
      <c r="B1015" s="42">
        <f>原始数据!G1015/(原始数据!G$2/100)</f>
        <v>650</v>
      </c>
      <c r="C1015" s="42">
        <f>原始数据!J1015/(原始数据!J$2/100)</f>
        <v>493.07866420265958</v>
      </c>
    </row>
    <row r="1016" spans="1:3" ht="18" customHeight="1" x14ac:dyDescent="0.3">
      <c r="A1016" s="41">
        <f>表1[[#This Row],[订单日期]]</f>
        <v>45918</v>
      </c>
      <c r="B1016" s="42">
        <f>原始数据!G1016/(原始数据!G$2/100)</f>
        <v>850</v>
      </c>
      <c r="C1016" s="42">
        <f>原始数据!J1016/(原始数据!J$2/100)</f>
        <v>12.849896375332367</v>
      </c>
    </row>
    <row r="1017" spans="1:3" ht="18" customHeight="1" x14ac:dyDescent="0.3">
      <c r="A1017" s="41">
        <f>表1[[#This Row],[订单日期]]</f>
        <v>45918</v>
      </c>
      <c r="B1017" s="42">
        <f>原始数据!G1017/(原始数据!G$2/100)</f>
        <v>850</v>
      </c>
      <c r="C1017" s="42">
        <f>原始数据!J1017/(原始数据!J$2/100)</f>
        <v>178.40268158443814</v>
      </c>
    </row>
    <row r="1018" spans="1:3" ht="18" customHeight="1" x14ac:dyDescent="0.3">
      <c r="A1018" s="41">
        <f>表1[[#This Row],[订单日期]]</f>
        <v>45918</v>
      </c>
      <c r="B1018" s="42">
        <f>原始数据!G1018/(原始数据!G$2/100)</f>
        <v>850</v>
      </c>
      <c r="C1018" s="42">
        <f>原始数据!J1018/(原始数据!J$2/100)</f>
        <v>127.24943687273139</v>
      </c>
    </row>
    <row r="1019" spans="1:3" ht="18" customHeight="1" x14ac:dyDescent="0.3">
      <c r="A1019" s="41">
        <f>表1[[#This Row],[订单日期]]</f>
        <v>45918</v>
      </c>
      <c r="B1019" s="42">
        <f>原始数据!G1019/(原始数据!G$2/100)</f>
        <v>850</v>
      </c>
      <c r="C1019" s="42">
        <f>原始数据!J1019/(原始数据!J$2/100)</f>
        <v>500.31087504658831</v>
      </c>
    </row>
    <row r="1020" spans="1:3" ht="18" customHeight="1" x14ac:dyDescent="0.3">
      <c r="A1020" s="41">
        <f>表1[[#This Row],[订单日期]]</f>
        <v>45918</v>
      </c>
      <c r="B1020" s="42">
        <f>原始数据!G1020/(原始数据!G$2/100)</f>
        <v>850</v>
      </c>
      <c r="C1020" s="42">
        <f>原始数据!J1020/(原始数据!J$2/100)</f>
        <v>299.85238211267102</v>
      </c>
    </row>
    <row r="1021" spans="1:3" ht="18" customHeight="1" x14ac:dyDescent="0.3">
      <c r="A1021" s="41">
        <f>表1[[#This Row],[订单日期]]</f>
        <v>45918</v>
      </c>
      <c r="B1021" s="42">
        <f>原始数据!G1021/(原始数据!G$2/100)</f>
        <v>850</v>
      </c>
      <c r="C1021" s="42">
        <f>原始数据!J1021/(原始数据!J$2/100)</f>
        <v>361.94876690813038</v>
      </c>
    </row>
    <row r="1022" spans="1:3" ht="18" customHeight="1" x14ac:dyDescent="0.3">
      <c r="A1022" s="41">
        <f>表1[[#This Row],[订单日期]]</f>
        <v>45918</v>
      </c>
      <c r="B1022" s="42">
        <f>原始数据!G1022/(原始数据!G$2/100)</f>
        <v>850</v>
      </c>
      <c r="C1022" s="42">
        <f>原始数据!J1022/(原始数据!J$2/100)</f>
        <v>250.98439129793499</v>
      </c>
    </row>
    <row r="1023" spans="1:3" ht="18" customHeight="1" x14ac:dyDescent="0.3">
      <c r="A1023" s="41">
        <f>表1[[#This Row],[订单日期]]</f>
        <v>45918</v>
      </c>
      <c r="B1023" s="42">
        <f>原始数据!G1023/(原始数据!G$2/100)</f>
        <v>850</v>
      </c>
      <c r="C1023" s="42">
        <f>原始数据!J1023/(原始数据!J$2/100)</f>
        <v>428.61565949753111</v>
      </c>
    </row>
    <row r="1024" spans="1:3" ht="18" customHeight="1" x14ac:dyDescent="0.3">
      <c r="A1024" s="41">
        <f>表1[[#This Row],[订单日期]]</f>
        <v>45918</v>
      </c>
      <c r="B1024" s="42">
        <f>原始数据!G1024/(原始数据!G$2/100)</f>
        <v>850</v>
      </c>
      <c r="C1024" s="42">
        <f>原始数据!J1024/(原始数据!J$2/100)</f>
        <v>185.20399287297391</v>
      </c>
    </row>
    <row r="1025" spans="1:3" ht="18" customHeight="1" x14ac:dyDescent="0.3">
      <c r="A1025" s="41">
        <f>表1[[#This Row],[订单日期]]</f>
        <v>45918</v>
      </c>
      <c r="B1025" s="42">
        <f>原始数据!G1025/(原始数据!G$2/100)</f>
        <v>850</v>
      </c>
      <c r="C1025" s="42">
        <f>原始数据!J1025/(原始数据!J$2/100)</f>
        <v>78.450464543866929</v>
      </c>
    </row>
    <row r="1026" spans="1:3" ht="18" customHeight="1" x14ac:dyDescent="0.3">
      <c r="A1026" s="41">
        <f>表1[[#This Row],[订单日期]]</f>
        <v>45918</v>
      </c>
      <c r="B1026" s="42">
        <f>原始数据!G1026/(原始数据!G$2/100)</f>
        <v>850</v>
      </c>
      <c r="C1026" s="42">
        <f>原始数据!J1026/(原始数据!J$2/100)</f>
        <v>341.07436075911505</v>
      </c>
    </row>
    <row r="1027" spans="1:3" ht="18" customHeight="1" x14ac:dyDescent="0.3">
      <c r="A1027" s="41">
        <f>表1[[#This Row],[订单日期]]</f>
        <v>45918</v>
      </c>
      <c r="B1027" s="42">
        <f>原始数据!G1027/(原始数据!G$2/100)</f>
        <v>850</v>
      </c>
      <c r="C1027" s="42">
        <f>原始数据!J1027/(原始数据!J$2/100)</f>
        <v>459.68474853760245</v>
      </c>
    </row>
    <row r="1028" spans="1:3" ht="18" customHeight="1" x14ac:dyDescent="0.3">
      <c r="A1028" s="41">
        <f>表1[[#This Row],[订单日期]]</f>
        <v>45918</v>
      </c>
      <c r="B1028" s="42">
        <f>原始数据!G1028/(原始数据!G$2/100)</f>
        <v>850</v>
      </c>
      <c r="C1028" s="42">
        <f>原始数据!J1028/(原始数据!J$2/100)</f>
        <v>476.70796791838245</v>
      </c>
    </row>
    <row r="1029" spans="1:3" ht="18" customHeight="1" x14ac:dyDescent="0.3">
      <c r="A1029" s="41">
        <f>表1[[#This Row],[订单日期]]</f>
        <v>45918</v>
      </c>
      <c r="B1029" s="42">
        <f>原始数据!G1029/(原始数据!G$2/100)</f>
        <v>850</v>
      </c>
      <c r="C1029" s="42">
        <f>原始数据!J1029/(原始数据!J$2/100)</f>
        <v>480.80800342891587</v>
      </c>
    </row>
    <row r="1030" spans="1:3" ht="18" customHeight="1" x14ac:dyDescent="0.3">
      <c r="A1030" s="41">
        <f>表1[[#This Row],[订单日期]]</f>
        <v>45918</v>
      </c>
      <c r="B1030" s="42">
        <f>原始数据!G1030/(原始数据!G$2/100)</f>
        <v>850</v>
      </c>
      <c r="C1030" s="42">
        <f>原始数据!J1030/(原始数据!J$2/100)</f>
        <v>59.986692145872475</v>
      </c>
    </row>
    <row r="1031" spans="1:3" ht="18" customHeight="1" x14ac:dyDescent="0.3">
      <c r="A1031" s="41">
        <f>表1[[#This Row],[订单日期]]</f>
        <v>45918</v>
      </c>
      <c r="B1031" s="42">
        <f>原始数据!G1031/(原始数据!G$2/100)</f>
        <v>850</v>
      </c>
      <c r="C1031" s="42">
        <f>原始数据!J1031/(原始数据!J$2/100)</f>
        <v>182.50271709497156</v>
      </c>
    </row>
    <row r="1032" spans="1:3" ht="18" customHeight="1" x14ac:dyDescent="0.3">
      <c r="A1032" s="41">
        <f>表1[[#This Row],[订单日期]]</f>
        <v>45918</v>
      </c>
      <c r="B1032" s="42">
        <f>原始数据!G1032/(原始数据!G$2/100)</f>
        <v>850</v>
      </c>
      <c r="C1032" s="42">
        <f>原始数据!J1032/(原始数据!J$2/100)</f>
        <v>119.0075725669812</v>
      </c>
    </row>
    <row r="1033" spans="1:3" ht="18" customHeight="1" x14ac:dyDescent="0.3">
      <c r="A1033" s="41">
        <f>表1[[#This Row],[订单日期]]</f>
        <v>45918</v>
      </c>
      <c r="B1033" s="42">
        <f>原始数据!G1033/(原始数据!G$2/100)</f>
        <v>850</v>
      </c>
      <c r="C1033" s="42">
        <f>原始数据!J1033/(原始数据!J$2/100)</f>
        <v>272.41285629972509</v>
      </c>
    </row>
    <row r="1034" spans="1:3" ht="18" customHeight="1" x14ac:dyDescent="0.3">
      <c r="A1034" s="41">
        <f>表1[[#This Row],[订单日期]]</f>
        <v>45918</v>
      </c>
      <c r="B1034" s="42">
        <f>原始数据!G1034/(原始数据!G$2/100)</f>
        <v>850</v>
      </c>
      <c r="C1034" s="42">
        <f>原始数据!J1034/(原始数据!J$2/100)</f>
        <v>153.69165675068274</v>
      </c>
    </row>
    <row r="1035" spans="1:3" ht="18" customHeight="1" x14ac:dyDescent="0.3">
      <c r="A1035" s="41">
        <f>表1[[#This Row],[订单日期]]</f>
        <v>45918</v>
      </c>
      <c r="B1035" s="42">
        <f>原始数据!G1035/(原始数据!G$2/100)</f>
        <v>850</v>
      </c>
      <c r="C1035" s="42">
        <f>原始数据!J1035/(原始数据!J$2/100)</f>
        <v>236.02480227301581</v>
      </c>
    </row>
    <row r="1036" spans="1:3" ht="18" customHeight="1" x14ac:dyDescent="0.3">
      <c r="A1036" s="41">
        <f>表1[[#This Row],[订单日期]]</f>
        <v>45918</v>
      </c>
      <c r="B1036" s="42">
        <f>原始数据!G1036/(原始数据!G$2/100)</f>
        <v>850</v>
      </c>
      <c r="C1036" s="42">
        <f>原始数据!J1036/(原始数据!J$2/100)</f>
        <v>283.60484512577574</v>
      </c>
    </row>
    <row r="1037" spans="1:3" ht="18" customHeight="1" x14ac:dyDescent="0.3">
      <c r="A1037" s="41">
        <f>表1[[#This Row],[订单日期]]</f>
        <v>45918</v>
      </c>
      <c r="B1037" s="42">
        <f>原始数据!G1037/(原始数据!G$2/100)</f>
        <v>850</v>
      </c>
      <c r="C1037" s="42">
        <f>原始数据!J1037/(原始数据!J$2/100)</f>
        <v>59.834087090634142</v>
      </c>
    </row>
    <row r="1038" spans="1:3" ht="18" customHeight="1" x14ac:dyDescent="0.3">
      <c r="A1038" s="41">
        <f>表1[[#This Row],[订单日期]]</f>
        <v>45918</v>
      </c>
      <c r="B1038" s="42">
        <f>原始数据!G1038/(原始数据!G$2/100)</f>
        <v>850</v>
      </c>
      <c r="C1038" s="42">
        <f>原始数据!J1038/(原始数据!J$2/100)</f>
        <v>461.85919066401823</v>
      </c>
    </row>
    <row r="1039" spans="1:3" ht="18" customHeight="1" x14ac:dyDescent="0.3">
      <c r="A1039" s="41">
        <f>表1[[#This Row],[订单日期]]</f>
        <v>45918</v>
      </c>
      <c r="B1039" s="42">
        <f>原始数据!G1039/(原始数据!G$2/100)</f>
        <v>850</v>
      </c>
      <c r="C1039" s="42">
        <f>原始数据!J1039/(原始数据!J$2/100)</f>
        <v>348.31891912987066</v>
      </c>
    </row>
    <row r="1040" spans="1:3" ht="18" customHeight="1" x14ac:dyDescent="0.3">
      <c r="A1040" s="41">
        <f>表1[[#This Row],[订单日期]]</f>
        <v>45918</v>
      </c>
      <c r="B1040" s="42">
        <f>原始数据!G1040/(原始数据!G$2/100)</f>
        <v>850</v>
      </c>
      <c r="C1040" s="42">
        <f>原始数据!J1040/(原始数据!J$2/100)</f>
        <v>231.1490843685977</v>
      </c>
    </row>
    <row r="1041" spans="1:3" ht="18" customHeight="1" x14ac:dyDescent="0.3">
      <c r="A1041" s="41">
        <f>表1[[#This Row],[订单日期]]</f>
        <v>45918</v>
      </c>
      <c r="B1041" s="42">
        <f>原始数据!G1041/(原始数据!G$2/100)</f>
        <v>850</v>
      </c>
      <c r="C1041" s="42">
        <f>原始数据!J1041/(原始数据!J$2/100)</f>
        <v>323.78772455254176</v>
      </c>
    </row>
    <row r="1042" spans="1:3" ht="18" customHeight="1" x14ac:dyDescent="0.3">
      <c r="A1042" s="41">
        <f>表1[[#This Row],[订单日期]]</f>
        <v>45918</v>
      </c>
      <c r="B1042" s="42">
        <f>原始数据!G1042/(原始数据!G$2/100)</f>
        <v>900</v>
      </c>
      <c r="C1042" s="42">
        <f>原始数据!J1042/(原始数据!J$2/100)</f>
        <v>170.45102968732789</v>
      </c>
    </row>
    <row r="1043" spans="1:3" ht="18" customHeight="1" x14ac:dyDescent="0.3">
      <c r="A1043" s="41">
        <f>表1[[#This Row],[订单日期]]</f>
        <v>45918</v>
      </c>
      <c r="B1043" s="42">
        <f>原始数据!G1043/(原始数据!G$2/100)</f>
        <v>900</v>
      </c>
      <c r="C1043" s="42">
        <f>原始数据!J1043/(原始数据!J$2/100)</f>
        <v>40.690446367473236</v>
      </c>
    </row>
    <row r="1044" spans="1:3" ht="18" customHeight="1" x14ac:dyDescent="0.3">
      <c r="A1044" s="41">
        <f>表1[[#This Row],[订单日期]]</f>
        <v>45918</v>
      </c>
      <c r="B1044" s="42">
        <f>原始数据!G1044/(原始数据!G$2/100)</f>
        <v>900</v>
      </c>
      <c r="C1044" s="42">
        <f>原始数据!J1044/(原始数据!J$2/100)</f>
        <v>302.87109550050155</v>
      </c>
    </row>
    <row r="1045" spans="1:3" ht="18" customHeight="1" x14ac:dyDescent="0.3">
      <c r="A1045" s="41">
        <f>表1[[#This Row],[订单日期]]</f>
        <v>45918</v>
      </c>
      <c r="B1045" s="42">
        <f>原始数据!G1045/(原始数据!G$2/100)</f>
        <v>900</v>
      </c>
      <c r="C1045" s="42">
        <f>原始数据!J1045/(原始数据!J$2/100)</f>
        <v>166.3509941767945</v>
      </c>
    </row>
    <row r="1046" spans="1:3" ht="18" customHeight="1" x14ac:dyDescent="0.3">
      <c r="A1046" s="41">
        <f>表1[[#This Row],[订单日期]]</f>
        <v>45918</v>
      </c>
      <c r="B1046" s="42">
        <f>原始数据!G1046/(原始数据!G$2/100)</f>
        <v>900</v>
      </c>
      <c r="C1046" s="42">
        <f>原始数据!J1046/(原始数据!J$2/100)</f>
        <v>54.209482375177991</v>
      </c>
    </row>
    <row r="1047" spans="1:3" ht="18" customHeight="1" x14ac:dyDescent="0.3">
      <c r="A1047" s="41">
        <f>表1[[#This Row],[订单日期]]</f>
        <v>45918</v>
      </c>
      <c r="B1047" s="42">
        <f>原始数据!G1047/(原始数据!G$2/100)</f>
        <v>900</v>
      </c>
      <c r="C1047" s="42">
        <f>原始数据!J1047/(原始数据!J$2/100)</f>
        <v>168.34560604678373</v>
      </c>
    </row>
    <row r="1048" spans="1:3" ht="18" customHeight="1" x14ac:dyDescent="0.3">
      <c r="A1048" s="41">
        <f>表1[[#This Row],[订单日期]]</f>
        <v>45918</v>
      </c>
      <c r="B1048" s="42">
        <f>原始数据!G1048/(原始数据!G$2/100)</f>
        <v>900</v>
      </c>
      <c r="C1048" s="42">
        <f>原始数据!J1048/(原始数据!J$2/100)</f>
        <v>14.538868516503376</v>
      </c>
    </row>
    <row r="1049" spans="1:3" ht="18" customHeight="1" x14ac:dyDescent="0.3">
      <c r="A1049" s="41">
        <f>表1[[#This Row],[订单日期]]</f>
        <v>45918</v>
      </c>
      <c r="B1049" s="42">
        <f>原始数据!G1049/(原始数据!G$2/100)</f>
        <v>900</v>
      </c>
      <c r="C1049" s="42">
        <f>原始数据!J1049/(原始数据!J$2/100)</f>
        <v>98.977437679380628</v>
      </c>
    </row>
    <row r="1050" spans="1:3" ht="18" customHeight="1" x14ac:dyDescent="0.3">
      <c r="A1050" s="41">
        <f>表1[[#This Row],[订单日期]]</f>
        <v>45918</v>
      </c>
      <c r="B1050" s="42">
        <f>原始数据!G1050/(原始数据!G$2/100)</f>
        <v>900</v>
      </c>
      <c r="C1050" s="42">
        <f>原始数据!J1050/(原始数据!J$2/100)</f>
        <v>259.43288144295838</v>
      </c>
    </row>
    <row r="1051" spans="1:3" ht="18" customHeight="1" x14ac:dyDescent="0.3">
      <c r="A1051" s="41">
        <f>表1[[#This Row],[订单日期]]</f>
        <v>45918</v>
      </c>
      <c r="B1051" s="42">
        <f>原始数据!G1051/(原始数据!G$2/100)</f>
        <v>900</v>
      </c>
      <c r="C1051" s="42">
        <f>原始数据!J1051/(原始数据!J$2/100)</f>
        <v>356.28236890799081</v>
      </c>
    </row>
    <row r="1052" spans="1:3" ht="18" customHeight="1" x14ac:dyDescent="0.3">
      <c r="A1052" s="41">
        <f>表1[[#This Row],[订单日期]]</f>
        <v>45918</v>
      </c>
      <c r="B1052" s="42">
        <f>原始数据!G1052/(原始数据!G$2/100)</f>
        <v>900</v>
      </c>
      <c r="C1052" s="42">
        <f>原始数据!J1052/(原始数据!J$2/100)</f>
        <v>504.88095322218817</v>
      </c>
    </row>
    <row r="1053" spans="1:3" ht="18" customHeight="1" x14ac:dyDescent="0.3">
      <c r="A1053" s="41">
        <f>表1[[#This Row],[订单日期]]</f>
        <v>45918</v>
      </c>
      <c r="B1053" s="42">
        <f>原始数据!G1053/(原始数据!G$2/100)</f>
        <v>900</v>
      </c>
      <c r="C1053" s="42">
        <f>原始数据!J1053/(原始数据!J$2/100)</f>
        <v>118.36949752649811</v>
      </c>
    </row>
    <row r="1054" spans="1:3" ht="18" customHeight="1" x14ac:dyDescent="0.3">
      <c r="A1054" s="41">
        <f>表1[[#This Row],[订单日期]]</f>
        <v>45918</v>
      </c>
      <c r="B1054" s="42">
        <f>原始数据!G1054/(原始数据!G$2/100)</f>
        <v>900</v>
      </c>
      <c r="C1054" s="42">
        <f>原始数据!J1054/(原始数据!J$2/100)</f>
        <v>293.45209500333021</v>
      </c>
    </row>
    <row r="1055" spans="1:3" ht="18" customHeight="1" x14ac:dyDescent="0.3">
      <c r="A1055" s="41">
        <f>表1[[#This Row],[订单日期]]</f>
        <v>45918</v>
      </c>
      <c r="B1055" s="42">
        <f>原始数据!G1055/(原始数据!G$2/100)</f>
        <v>900</v>
      </c>
      <c r="C1055" s="42">
        <f>原始数据!J1055/(原始数据!J$2/100)</f>
        <v>130.44798051698842</v>
      </c>
    </row>
    <row r="1056" spans="1:3" ht="18" customHeight="1" x14ac:dyDescent="0.3">
      <c r="A1056" s="41">
        <f>表1[[#This Row],[订单日期]]</f>
        <v>45918</v>
      </c>
      <c r="B1056" s="42">
        <f>原始数据!G1056/(原始数据!G$2/100)</f>
        <v>900</v>
      </c>
      <c r="C1056" s="42">
        <f>原始数据!J1056/(原始数据!J$2/100)</f>
        <v>305.30895445271062</v>
      </c>
    </row>
    <row r="1057" spans="1:3" ht="18" customHeight="1" x14ac:dyDescent="0.3">
      <c r="A1057" s="41">
        <f>表1[[#This Row],[订单日期]]</f>
        <v>45918</v>
      </c>
      <c r="B1057" s="42">
        <f>原始数据!G1057/(原始数据!G$2/100)</f>
        <v>900</v>
      </c>
      <c r="C1057" s="42">
        <f>原始数据!J1057/(原始数据!J$2/100)</f>
        <v>508.31611810939188</v>
      </c>
    </row>
    <row r="1058" spans="1:3" ht="18" customHeight="1" x14ac:dyDescent="0.3">
      <c r="A1058" s="41">
        <f>表1[[#This Row],[订单日期]]</f>
        <v>45918</v>
      </c>
      <c r="B1058" s="42">
        <f>原始数据!G1058/(原始数据!G$2/100)</f>
        <v>900</v>
      </c>
      <c r="C1058" s="42">
        <f>原始数据!J1058/(原始数据!J$2/100)</f>
        <v>538.45691970034022</v>
      </c>
    </row>
    <row r="1059" spans="1:3" ht="18" customHeight="1" x14ac:dyDescent="0.3">
      <c r="A1059" s="41">
        <f>表1[[#This Row],[订单日期]]</f>
        <v>45918</v>
      </c>
      <c r="B1059" s="42">
        <f>原始数据!G1059/(原始数据!G$2/100)</f>
        <v>900</v>
      </c>
      <c r="C1059" s="42">
        <f>原始数据!J1059/(原始数据!J$2/100)</f>
        <v>411.79906595602426</v>
      </c>
    </row>
    <row r="1060" spans="1:3" ht="18" customHeight="1" x14ac:dyDescent="0.3">
      <c r="A1060" s="41">
        <f>表1[[#This Row],[订单日期]]</f>
        <v>45918</v>
      </c>
      <c r="B1060" s="42">
        <f>原始数据!G1060/(原始数据!G$2/100)</f>
        <v>900</v>
      </c>
      <c r="C1060" s="42">
        <f>原始数据!J1060/(原始数据!J$2/100)</f>
        <v>224.85960902981179</v>
      </c>
    </row>
    <row r="1061" spans="1:3" ht="18" customHeight="1" x14ac:dyDescent="0.3">
      <c r="A1061" s="41">
        <f>表1[[#This Row],[订单日期]]</f>
        <v>45918</v>
      </c>
      <c r="B1061" s="42">
        <f>原始数据!G1061/(原始数据!G$2/100)</f>
        <v>900</v>
      </c>
      <c r="C1061" s="42">
        <f>原始数据!J1061/(原始数据!J$2/100)</f>
        <v>546.54617895085198</v>
      </c>
    </row>
    <row r="1062" spans="1:3" ht="18" customHeight="1" x14ac:dyDescent="0.3">
      <c r="A1062" s="41">
        <f>表1[[#This Row],[订单日期]]</f>
        <v>45918</v>
      </c>
      <c r="B1062" s="42">
        <f>原始数据!G1062/(原始数据!G$2/100)</f>
        <v>900</v>
      </c>
      <c r="C1062" s="42">
        <f>原始数据!J1062/(原始数据!J$2/100)</f>
        <v>351.29583923301777</v>
      </c>
    </row>
    <row r="1063" spans="1:3" ht="18" customHeight="1" x14ac:dyDescent="0.3">
      <c r="A1063" s="41">
        <f>表1[[#This Row],[订单日期]]</f>
        <v>45918</v>
      </c>
      <c r="B1063" s="42">
        <f>原始数据!G1063/(原始数据!G$2/100)</f>
        <v>900</v>
      </c>
      <c r="C1063" s="42">
        <f>原始数据!J1063/(原始数据!J$2/100)</f>
        <v>117.70462690316836</v>
      </c>
    </row>
    <row r="1064" spans="1:3" ht="18" customHeight="1" x14ac:dyDescent="0.3">
      <c r="A1064" s="41">
        <f>表1[[#This Row],[订单日期]]</f>
        <v>45918</v>
      </c>
      <c r="B1064" s="42">
        <f>原始数据!G1064/(原始数据!G$2/100)</f>
        <v>900</v>
      </c>
      <c r="C1064" s="42">
        <f>原始数据!J1064/(原始数据!J$2/100)</f>
        <v>211.22976125155208</v>
      </c>
    </row>
    <row r="1065" spans="1:3" ht="18" customHeight="1" x14ac:dyDescent="0.3">
      <c r="A1065" s="41">
        <f>表1[[#This Row],[订单日期]]</f>
        <v>45918</v>
      </c>
      <c r="B1065" s="42">
        <f>原始数据!G1065/(原始数据!G$2/100)</f>
        <v>900</v>
      </c>
      <c r="C1065" s="42">
        <f>原始数据!J1065/(原始数据!J$2/100)</f>
        <v>180.53490080782899</v>
      </c>
    </row>
    <row r="1066" spans="1:3" ht="18" customHeight="1" x14ac:dyDescent="0.3">
      <c r="A1066" s="41">
        <f>表1[[#This Row],[订单日期]]</f>
        <v>45918</v>
      </c>
      <c r="B1066" s="42">
        <f>原始数据!G1066/(原始数据!G$2/100)</f>
        <v>900</v>
      </c>
      <c r="C1066" s="42">
        <f>原始数据!J1066/(原始数据!J$2/100)</f>
        <v>478.8401871417733</v>
      </c>
    </row>
    <row r="1067" spans="1:3" ht="18" customHeight="1" x14ac:dyDescent="0.3">
      <c r="A1067" s="41">
        <f>表1[[#This Row],[订单日期]]</f>
        <v>45918</v>
      </c>
      <c r="B1067" s="42">
        <f>原始数据!G1067/(原始数据!G$2/100)</f>
        <v>900</v>
      </c>
      <c r="C1067" s="42">
        <f>原始数据!J1067/(原始数据!J$2/100)</f>
        <v>144.85351068913283</v>
      </c>
    </row>
    <row r="1068" spans="1:3" ht="18" customHeight="1" x14ac:dyDescent="0.3">
      <c r="A1068" s="41">
        <f>表1[[#This Row],[订单日期]]</f>
        <v>45918</v>
      </c>
      <c r="B1068" s="42">
        <f>原始数据!G1068/(原始数据!G$2/100)</f>
        <v>900</v>
      </c>
      <c r="C1068" s="42">
        <f>原始数据!J1068/(原始数据!J$2/100)</f>
        <v>324.92263784093797</v>
      </c>
    </row>
    <row r="1069" spans="1:3" ht="18" customHeight="1" x14ac:dyDescent="0.3">
      <c r="A1069" s="41">
        <f>表1[[#This Row],[订单日期]]</f>
        <v>45919</v>
      </c>
      <c r="B1069" s="42">
        <f>原始数据!G1069/(原始数据!G$2/100)</f>
        <v>100</v>
      </c>
      <c r="C1069" s="42">
        <f>原始数据!J1069/(原始数据!J$2/100)</f>
        <v>500.58370248756853</v>
      </c>
    </row>
    <row r="1070" spans="1:3" ht="18" customHeight="1" x14ac:dyDescent="0.3">
      <c r="A1070" s="41">
        <f>表1[[#This Row],[订单日期]]</f>
        <v>45919</v>
      </c>
      <c r="B1070" s="42">
        <f>原始数据!G1070/(原始数据!G$2/100)</f>
        <v>100</v>
      </c>
      <c r="C1070" s="42">
        <f>原始数据!J1070/(原始数据!J$2/100)</f>
        <v>251.25721873891524</v>
      </c>
    </row>
    <row r="1071" spans="1:3" ht="18" customHeight="1" x14ac:dyDescent="0.3">
      <c r="A1071" s="41">
        <f>表1[[#This Row],[订单日期]]</f>
        <v>45919</v>
      </c>
      <c r="B1071" s="42">
        <f>原始数据!G1071/(原始数据!G$2/100)</f>
        <v>100</v>
      </c>
      <c r="C1071" s="42">
        <f>原始数据!J1071/(原始数据!J$2/100)</f>
        <v>534.82453958905023</v>
      </c>
    </row>
    <row r="1072" spans="1:3" ht="18" customHeight="1" x14ac:dyDescent="0.3">
      <c r="A1072" s="41">
        <f>表1[[#This Row],[订单日期]]</f>
        <v>45919</v>
      </c>
      <c r="B1072" s="42">
        <f>原始数据!G1072/(原始数据!G$2/100)</f>
        <v>100</v>
      </c>
      <c r="C1072" s="42">
        <f>原始数据!J1072/(原始数据!J$2/100)</f>
        <v>390.8800496381611</v>
      </c>
    </row>
    <row r="1073" spans="1:3" ht="18" customHeight="1" x14ac:dyDescent="0.3">
      <c r="A1073" s="41">
        <f>表1[[#This Row],[订单日期]]</f>
        <v>45919</v>
      </c>
      <c r="B1073" s="42">
        <f>原始数据!G1073/(原始数据!G$2/100)</f>
        <v>100</v>
      </c>
      <c r="C1073" s="42">
        <f>原始数据!J1073/(原始数据!J$2/100)</f>
        <v>332.48224655569874</v>
      </c>
    </row>
    <row r="1074" spans="1:3" ht="18" customHeight="1" x14ac:dyDescent="0.3">
      <c r="A1074" s="41">
        <f>表1[[#This Row],[订单日期]]</f>
        <v>45919</v>
      </c>
      <c r="B1074" s="42">
        <f>原始数据!G1074/(原始数据!G$2/100)</f>
        <v>100</v>
      </c>
      <c r="C1074" s="42">
        <f>原始数据!J1074/(原始数据!J$2/100)</f>
        <v>331.26331707959423</v>
      </c>
    </row>
    <row r="1075" spans="1:3" ht="18" customHeight="1" x14ac:dyDescent="0.3">
      <c r="A1075" s="41">
        <f>表1[[#This Row],[订单日期]]</f>
        <v>45919</v>
      </c>
      <c r="B1075" s="42">
        <f>原始数据!G1075/(原始数据!G$2/100)</f>
        <v>100</v>
      </c>
      <c r="C1075" s="42">
        <f>原始数据!J1075/(原始数据!J$2/100)</f>
        <v>47.363560917794324</v>
      </c>
    </row>
    <row r="1076" spans="1:3" ht="18" customHeight="1" x14ac:dyDescent="0.3">
      <c r="A1076" s="41">
        <f>表1[[#This Row],[订单日期]]</f>
        <v>45919</v>
      </c>
      <c r="B1076" s="42">
        <f>原始数据!G1076/(原始数据!G$2/100)</f>
        <v>100</v>
      </c>
      <c r="C1076" s="42">
        <f>原始数据!J1076/(原始数据!J$2/100)</f>
        <v>127.70209457013816</v>
      </c>
    </row>
    <row r="1077" spans="1:3" ht="18" customHeight="1" x14ac:dyDescent="0.3">
      <c r="A1077" s="41">
        <f>表1[[#This Row],[订单日期]]</f>
        <v>45919</v>
      </c>
      <c r="B1077" s="42">
        <f>原始数据!G1077/(原始数据!G$2/100)</f>
        <v>200</v>
      </c>
      <c r="C1077" s="42">
        <f>原始数据!J1077/(原始数据!J$2/100)</f>
        <v>372.08584161623196</v>
      </c>
    </row>
    <row r="1078" spans="1:3" ht="18" customHeight="1" x14ac:dyDescent="0.3">
      <c r="A1078" s="41">
        <f>表1[[#This Row],[订单日期]]</f>
        <v>45919</v>
      </c>
      <c r="B1078" s="42">
        <f>原始数据!G1078/(原始数据!G$2/100)</f>
        <v>200</v>
      </c>
      <c r="C1078" s="42">
        <f>原始数据!J1078/(原始数据!J$2/100)</f>
        <v>346.37751084748191</v>
      </c>
    </row>
    <row r="1079" spans="1:3" ht="18" customHeight="1" x14ac:dyDescent="0.3">
      <c r="A1079" s="41">
        <f>表1[[#This Row],[订单日期]]</f>
        <v>45919</v>
      </c>
      <c r="B1079" s="42">
        <f>原始数据!G1079/(原始数据!G$2/100)</f>
        <v>200</v>
      </c>
      <c r="C1079" s="42">
        <f>原始数据!J1079/(原始数据!J$2/100)</f>
        <v>100.4861919860323</v>
      </c>
    </row>
    <row r="1080" spans="1:3" ht="18" customHeight="1" x14ac:dyDescent="0.3">
      <c r="A1080" s="41">
        <f>表1[[#This Row],[订单日期]]</f>
        <v>45919</v>
      </c>
      <c r="B1080" s="42">
        <f>原始数据!G1080/(原始数据!G$2/100)</f>
        <v>200</v>
      </c>
      <c r="C1080" s="42">
        <f>原始数据!J1080/(原始数据!J$2/100)</f>
        <v>206.53305640712617</v>
      </c>
    </row>
    <row r="1081" spans="1:3" ht="18" customHeight="1" x14ac:dyDescent="0.3">
      <c r="A1081" s="41">
        <f>表1[[#This Row],[订单日期]]</f>
        <v>45919</v>
      </c>
      <c r="B1081" s="42">
        <f>原始数据!G1081/(原始数据!G$2/100)</f>
        <v>200</v>
      </c>
      <c r="C1081" s="42">
        <f>原始数据!J1081/(原始数据!J$2/100)</f>
        <v>249.52802338244948</v>
      </c>
    </row>
    <row r="1082" spans="1:3" ht="18" customHeight="1" x14ac:dyDescent="0.3">
      <c r="A1082" s="41">
        <f>表1[[#This Row],[订单日期]]</f>
        <v>45919</v>
      </c>
      <c r="B1082" s="42">
        <f>原始数据!G1082/(原始数据!G$2/100)</f>
        <v>200</v>
      </c>
      <c r="C1082" s="42">
        <f>原始数据!J1082/(原始数据!J$2/100)</f>
        <v>150.240676965208</v>
      </c>
    </row>
    <row r="1083" spans="1:3" ht="18" customHeight="1" x14ac:dyDescent="0.3">
      <c r="A1083" s="41">
        <f>表1[[#This Row],[订单日期]]</f>
        <v>45919</v>
      </c>
      <c r="B1083" s="42">
        <f>原始数据!G1083/(原始数据!G$2/100)</f>
        <v>200</v>
      </c>
      <c r="C1083" s="42">
        <f>原始数据!J1083/(原始数据!J$2/100)</f>
        <v>406.65911402937854</v>
      </c>
    </row>
    <row r="1084" spans="1:3" ht="18" customHeight="1" x14ac:dyDescent="0.3">
      <c r="A1084" s="41">
        <f>表1[[#This Row],[订单日期]]</f>
        <v>45919</v>
      </c>
      <c r="B1084" s="42">
        <f>原始数据!G1084/(原始数据!G$2/100)</f>
        <v>200</v>
      </c>
      <c r="C1084" s="42">
        <f>原始数据!J1084/(原始数据!J$2/100)</f>
        <v>224.37375146647423</v>
      </c>
    </row>
    <row r="1085" spans="1:3" ht="18" customHeight="1" x14ac:dyDescent="0.3">
      <c r="A1085" s="41">
        <f>表1[[#This Row],[订单日期]]</f>
        <v>45919</v>
      </c>
      <c r="B1085" s="42">
        <f>原始数据!G1085/(原始数据!G$2/100)</f>
        <v>200</v>
      </c>
      <c r="C1085" s="42">
        <f>原始数据!J1085/(原始数据!J$2/100)</f>
        <v>127.19182868977694</v>
      </c>
    </row>
    <row r="1086" spans="1:3" ht="18" customHeight="1" x14ac:dyDescent="0.3">
      <c r="A1086" s="41">
        <f>表1[[#This Row],[订单日期]]</f>
        <v>45919</v>
      </c>
      <c r="B1086" s="42">
        <f>原始数据!G1086/(原始数据!G$2/100)</f>
        <v>300</v>
      </c>
      <c r="C1086" s="42">
        <f>原始数据!J1086/(原始数据!J$2/100)</f>
        <v>30.84184918586126</v>
      </c>
    </row>
    <row r="1087" spans="1:3" ht="18" customHeight="1" x14ac:dyDescent="0.3">
      <c r="A1087" s="41">
        <f>表1[[#This Row],[订单日期]]</f>
        <v>45919</v>
      </c>
      <c r="B1087" s="42">
        <f>原始数据!G1087/(原始数据!G$2/100)</f>
        <v>300</v>
      </c>
      <c r="C1087" s="42">
        <f>原始数据!J1087/(原始数据!J$2/100)</f>
        <v>30.952660956416217</v>
      </c>
    </row>
    <row r="1088" spans="1:3" ht="18" customHeight="1" x14ac:dyDescent="0.3">
      <c r="A1088" s="41">
        <f>表1[[#This Row],[订单日期]]</f>
        <v>45919</v>
      </c>
      <c r="B1088" s="42">
        <f>原始数据!G1088/(原始数据!G$2/100)</f>
        <v>300</v>
      </c>
      <c r="C1088" s="42">
        <f>原始数据!J1088/(原始数据!J$2/100)</f>
        <v>80.374710623927044</v>
      </c>
    </row>
    <row r="1089" spans="1:3" ht="18" customHeight="1" x14ac:dyDescent="0.3">
      <c r="A1089" s="41">
        <f>表1[[#This Row],[订单日期]]</f>
        <v>45919</v>
      </c>
      <c r="B1089" s="42">
        <f>原始数据!G1089/(原始数据!G$2/100)</f>
        <v>300</v>
      </c>
      <c r="C1089" s="42">
        <f>原始数据!J1089/(原始数据!J$2/100)</f>
        <v>89.018028727213689</v>
      </c>
    </row>
    <row r="1090" spans="1:3" ht="18" customHeight="1" x14ac:dyDescent="0.3">
      <c r="A1090" s="41">
        <f>表1[[#This Row],[订单日期]]</f>
        <v>45919</v>
      </c>
      <c r="B1090" s="42">
        <f>原始数据!G1090/(原始数据!G$2/100)</f>
        <v>300</v>
      </c>
      <c r="C1090" s="42">
        <f>原始数据!J1090/(原始数据!J$2/100)</f>
        <v>324.93628823871717</v>
      </c>
    </row>
    <row r="1091" spans="1:3" ht="18" customHeight="1" x14ac:dyDescent="0.3">
      <c r="A1091" s="41">
        <f>表1[[#This Row],[订单日期]]</f>
        <v>45919</v>
      </c>
      <c r="B1091" s="42">
        <f>原始数据!G1091/(原始数据!G$2/100)</f>
        <v>300</v>
      </c>
      <c r="C1091" s="42">
        <f>原始数据!J1091/(原始数据!J$2/100)</f>
        <v>285.81973323281738</v>
      </c>
    </row>
    <row r="1092" spans="1:3" ht="18" customHeight="1" x14ac:dyDescent="0.3">
      <c r="A1092" s="41">
        <f>表1[[#This Row],[订单日期]]</f>
        <v>45919</v>
      </c>
      <c r="B1092" s="42">
        <f>原始数据!G1092/(原始数据!G$2/100)</f>
        <v>300</v>
      </c>
      <c r="C1092" s="42">
        <f>原始数据!J1092/(原始数据!J$2/100)</f>
        <v>154.17534981352841</v>
      </c>
    </row>
    <row r="1093" spans="1:3" ht="18" customHeight="1" x14ac:dyDescent="0.3">
      <c r="A1093" s="41">
        <f>表1[[#This Row],[订单日期]]</f>
        <v>45919</v>
      </c>
      <c r="B1093" s="42">
        <f>原始数据!G1093/(原始数据!G$2/100)</f>
        <v>300</v>
      </c>
      <c r="C1093" s="42">
        <f>原始数据!J1093/(原始数据!J$2/100)</f>
        <v>473.97811963513436</v>
      </c>
    </row>
    <row r="1094" spans="1:3" ht="18" customHeight="1" x14ac:dyDescent="0.3">
      <c r="A1094" s="41">
        <f>表1[[#This Row],[订单日期]]</f>
        <v>45919</v>
      </c>
      <c r="B1094" s="42">
        <f>原始数据!G1094/(原始数据!G$2/100)</f>
        <v>300</v>
      </c>
      <c r="C1094" s="42">
        <f>原始数据!J1094/(原始数据!J$2/100)</f>
        <v>510.32438037716031</v>
      </c>
    </row>
    <row r="1095" spans="1:3" ht="18" customHeight="1" x14ac:dyDescent="0.3">
      <c r="A1095" s="41">
        <f>表1[[#This Row],[订单日期]]</f>
        <v>45919</v>
      </c>
      <c r="B1095" s="42">
        <f>原始数据!G1095/(原始数据!G$2/100)</f>
        <v>450</v>
      </c>
      <c r="C1095" s="42">
        <f>原始数据!J1095/(原始数据!J$2/100)</f>
        <v>223.81331011420713</v>
      </c>
    </row>
    <row r="1096" spans="1:3" ht="18" customHeight="1" x14ac:dyDescent="0.3">
      <c r="A1096" s="41">
        <f>表1[[#This Row],[订单日期]]</f>
        <v>45919</v>
      </c>
      <c r="B1096" s="42">
        <f>原始数据!G1096/(原始数据!G$2/100)</f>
        <v>450</v>
      </c>
      <c r="C1096" s="42">
        <f>原始数据!J1096/(原始数据!J$2/100)</f>
        <v>399.24413007767714</v>
      </c>
    </row>
    <row r="1097" spans="1:3" ht="18" customHeight="1" x14ac:dyDescent="0.3">
      <c r="A1097" s="41">
        <f>表1[[#This Row],[订单日期]]</f>
        <v>45919</v>
      </c>
      <c r="B1097" s="42">
        <f>原始数据!G1097/(原始数据!G$2/100)</f>
        <v>450</v>
      </c>
      <c r="C1097" s="42">
        <f>原始数据!J1097/(原始数据!J$2/100)</f>
        <v>540.18091504860934</v>
      </c>
    </row>
    <row r="1098" spans="1:3" ht="18" customHeight="1" x14ac:dyDescent="0.3">
      <c r="A1098" s="41">
        <f>表1[[#This Row],[订单日期]]</f>
        <v>45919</v>
      </c>
      <c r="B1098" s="42">
        <f>原始数据!G1098/(原始数据!G$2/100)</f>
        <v>450</v>
      </c>
      <c r="C1098" s="42">
        <f>原始数据!J1098/(原始数据!J$2/100)</f>
        <v>161.33125869618442</v>
      </c>
    </row>
    <row r="1099" spans="1:3" ht="18" customHeight="1" x14ac:dyDescent="0.3">
      <c r="A1099" s="41">
        <f>表1[[#This Row],[订单日期]]</f>
        <v>45919</v>
      </c>
      <c r="B1099" s="42">
        <f>原始数据!G1099/(原始数据!G$2/100)</f>
        <v>450</v>
      </c>
      <c r="C1099" s="42">
        <f>原始数据!J1099/(原始数据!J$2/100)</f>
        <v>282.76517204944429</v>
      </c>
    </row>
    <row r="1100" spans="1:3" ht="18" customHeight="1" x14ac:dyDescent="0.3">
      <c r="A1100" s="41">
        <f>表1[[#This Row],[订单日期]]</f>
        <v>45919</v>
      </c>
      <c r="B1100" s="42">
        <f>原始数据!G1100/(原始数据!G$2/100)</f>
        <v>450</v>
      </c>
      <c r="C1100" s="42">
        <f>原始数据!J1100/(原始数据!J$2/100)</f>
        <v>365.22491651730536</v>
      </c>
    </row>
    <row r="1101" spans="1:3" ht="18" customHeight="1" x14ac:dyDescent="0.3">
      <c r="A1101" s="41">
        <f>表1[[#This Row],[订单日期]]</f>
        <v>45919</v>
      </c>
      <c r="B1101" s="42">
        <f>原始数据!G1101/(原始数据!G$2/100)</f>
        <v>450</v>
      </c>
      <c r="C1101" s="42">
        <f>原始数据!J1101/(原始数据!J$2/100)</f>
        <v>117.65563392255831</v>
      </c>
    </row>
    <row r="1102" spans="1:3" ht="18" customHeight="1" x14ac:dyDescent="0.3">
      <c r="A1102" s="41">
        <f>表1[[#This Row],[订单日期]]</f>
        <v>45919</v>
      </c>
      <c r="B1102" s="42">
        <f>原始数据!G1102/(原始数据!G$2/100)</f>
        <v>450</v>
      </c>
      <c r="C1102" s="42">
        <f>原始数据!J1102/(原始数据!J$2/100)</f>
        <v>392.37380030326977</v>
      </c>
    </row>
    <row r="1103" spans="1:3" ht="18" customHeight="1" x14ac:dyDescent="0.3">
      <c r="A1103" s="41">
        <f>表1[[#This Row],[订单日期]]</f>
        <v>45919</v>
      </c>
      <c r="B1103" s="42">
        <f>原始数据!G1103/(原始数据!G$2/100)</f>
        <v>450</v>
      </c>
      <c r="C1103" s="42">
        <f>原始数据!J1103/(原始数据!J$2/100)</f>
        <v>246.52972307797333</v>
      </c>
    </row>
    <row r="1104" spans="1:3" ht="18" customHeight="1" x14ac:dyDescent="0.3">
      <c r="A1104" s="41">
        <f>表1[[#This Row],[订单日期]]</f>
        <v>45919</v>
      </c>
      <c r="B1104" s="42">
        <f>原始数据!G1104/(原始数据!G$2/100)</f>
        <v>450</v>
      </c>
      <c r="C1104" s="42">
        <f>原始数据!J1104/(原始数据!J$2/100)</f>
        <v>157.78528203842578</v>
      </c>
    </row>
    <row r="1105" spans="1:3" ht="18" customHeight="1" x14ac:dyDescent="0.3">
      <c r="A1105" s="41">
        <f>表1[[#This Row],[订单日期]]</f>
        <v>45919</v>
      </c>
      <c r="B1105" s="42">
        <f>原始数据!G1105/(原始数据!G$2/100)</f>
        <v>450</v>
      </c>
      <c r="C1105" s="42">
        <f>原始数据!J1105/(原始数据!J$2/100)</f>
        <v>252.29193514683109</v>
      </c>
    </row>
    <row r="1106" spans="1:3" ht="18" customHeight="1" x14ac:dyDescent="0.3">
      <c r="A1106" s="41">
        <f>表1[[#This Row],[订单日期]]</f>
        <v>45919</v>
      </c>
      <c r="B1106" s="42">
        <f>原始数据!G1106/(原始数据!G$2/100)</f>
        <v>450</v>
      </c>
      <c r="C1106" s="42">
        <f>原始数据!J1106/(原始数据!J$2/100)</f>
        <v>144.37705780127598</v>
      </c>
    </row>
    <row r="1107" spans="1:3" ht="18" customHeight="1" x14ac:dyDescent="0.3">
      <c r="A1107" s="41">
        <f>表1[[#This Row],[订单日期]]</f>
        <v>45919</v>
      </c>
      <c r="B1107" s="42">
        <f>原始数据!G1107/(原始数据!G$2/100)</f>
        <v>450</v>
      </c>
      <c r="C1107" s="42">
        <f>原始数据!J1107/(原始数据!J$2/100)</f>
        <v>99.59331532210031</v>
      </c>
    </row>
    <row r="1108" spans="1:3" ht="18" customHeight="1" x14ac:dyDescent="0.3">
      <c r="A1108" s="41">
        <f>表1[[#This Row],[订单日期]]</f>
        <v>45919</v>
      </c>
      <c r="B1108" s="42">
        <f>原始数据!G1108/(原始数据!G$2/100)</f>
        <v>450</v>
      </c>
      <c r="C1108" s="42">
        <f>原始数据!J1108/(原始数据!J$2/100)</f>
        <v>506.84235928654039</v>
      </c>
    </row>
    <row r="1109" spans="1:3" ht="18" customHeight="1" x14ac:dyDescent="0.3">
      <c r="A1109" s="41">
        <f>表1[[#This Row],[订单日期]]</f>
        <v>45919</v>
      </c>
      <c r="B1109" s="42">
        <f>原始数据!G1109/(原始数据!G$2/100)</f>
        <v>450</v>
      </c>
      <c r="C1109" s="42">
        <f>原始数据!J1109/(原始数据!J$2/100)</f>
        <v>150.45591800682558</v>
      </c>
    </row>
    <row r="1110" spans="1:3" ht="18" customHeight="1" x14ac:dyDescent="0.3">
      <c r="A1110" s="41">
        <f>表1[[#This Row],[订单日期]]</f>
        <v>45919</v>
      </c>
      <c r="B1110" s="42">
        <f>原始数据!G1110/(原始数据!G$2/100)</f>
        <v>450</v>
      </c>
      <c r="C1110" s="42">
        <f>原始数据!J1110/(原始数据!J$2/100)</f>
        <v>172.19081221057021</v>
      </c>
    </row>
    <row r="1111" spans="1:3" ht="18" customHeight="1" x14ac:dyDescent="0.3">
      <c r="A1111" s="41">
        <f>表1[[#This Row],[订单日期]]</f>
        <v>45919</v>
      </c>
      <c r="B1111" s="42">
        <f>原始数据!G1111/(原始数据!G$2/100)</f>
        <v>450</v>
      </c>
      <c r="C1111" s="42">
        <f>原始数据!J1111/(原始数据!J$2/100)</f>
        <v>84.855349838291033</v>
      </c>
    </row>
    <row r="1112" spans="1:3" ht="18" customHeight="1" x14ac:dyDescent="0.3">
      <c r="A1112" s="41">
        <f>表1[[#This Row],[订单日期]]</f>
        <v>45919</v>
      </c>
      <c r="B1112" s="42">
        <f>原始数据!G1112/(原始数据!G$2/100)</f>
        <v>450</v>
      </c>
      <c r="C1112" s="42">
        <f>原始数据!J1112/(原始数据!J$2/100)</f>
        <v>430.38223760362007</v>
      </c>
    </row>
    <row r="1113" spans="1:3" ht="18" customHeight="1" x14ac:dyDescent="0.3">
      <c r="A1113" s="41">
        <f>表1[[#This Row],[订单日期]]</f>
        <v>45919</v>
      </c>
      <c r="B1113" s="42">
        <f>原始数据!G1113/(原始数据!G$2/100)</f>
        <v>800</v>
      </c>
      <c r="C1113" s="42">
        <f>原始数据!J1113/(原始数据!J$2/100)</f>
        <v>103.33609189035259</v>
      </c>
    </row>
    <row r="1114" spans="1:3" ht="18" customHeight="1" x14ac:dyDescent="0.3">
      <c r="A1114" s="41">
        <f>表1[[#This Row],[订单日期]]</f>
        <v>45919</v>
      </c>
      <c r="B1114" s="42">
        <f>原始数据!G1114/(原始数据!G$2/100)</f>
        <v>800</v>
      </c>
      <c r="C1114" s="42">
        <f>原始数据!J1114/(原始数据!J$2/100)</f>
        <v>388.83526237158696</v>
      </c>
    </row>
    <row r="1115" spans="1:3" ht="18" customHeight="1" x14ac:dyDescent="0.3">
      <c r="A1115" s="41">
        <f>表1[[#This Row],[订单日期]]</f>
        <v>45919</v>
      </c>
      <c r="B1115" s="42">
        <f>原始数据!G1115/(原始数据!G$2/100)</f>
        <v>800</v>
      </c>
      <c r="C1115" s="42">
        <f>原始数据!J1115/(原始数据!J$2/100)</f>
        <v>550.4615860796041</v>
      </c>
    </row>
    <row r="1116" spans="1:3" ht="18" customHeight="1" x14ac:dyDescent="0.3">
      <c r="A1116" s="41">
        <f>表1[[#This Row],[订单日期]]</f>
        <v>45919</v>
      </c>
      <c r="B1116" s="42">
        <f>原始数据!G1116/(原始数据!G$2/100)</f>
        <v>800</v>
      </c>
      <c r="C1116" s="42">
        <f>原始数据!J1116/(原始数据!J$2/100)</f>
        <v>311.377834753672</v>
      </c>
    </row>
    <row r="1117" spans="1:3" ht="18" customHeight="1" x14ac:dyDescent="0.3">
      <c r="A1117" s="41">
        <f>表1[[#This Row],[订单日期]]</f>
        <v>45919</v>
      </c>
      <c r="B1117" s="42">
        <f>原始数据!G1117/(原始数据!G$2/100)</f>
        <v>800</v>
      </c>
      <c r="C1117" s="42">
        <f>原始数据!J1117/(原始数据!J$2/100)</f>
        <v>421.03343807141437</v>
      </c>
    </row>
    <row r="1118" spans="1:3" ht="18" customHeight="1" x14ac:dyDescent="0.3">
      <c r="A1118" s="41">
        <f>表1[[#This Row],[订单日期]]</f>
        <v>45919</v>
      </c>
      <c r="B1118" s="42">
        <f>原始数据!G1118/(原始数据!G$2/100)</f>
        <v>800</v>
      </c>
      <c r="C1118" s="42">
        <f>原始数据!J1118/(原始数据!J$2/100)</f>
        <v>516.82285736256233</v>
      </c>
    </row>
    <row r="1119" spans="1:3" ht="18" customHeight="1" x14ac:dyDescent="0.3">
      <c r="A1119" s="41">
        <f>表1[[#This Row],[订单日期]]</f>
        <v>45919</v>
      </c>
      <c r="B1119" s="42">
        <f>原始数据!G1119/(原始数据!G$2/100)</f>
        <v>800</v>
      </c>
      <c r="C1119" s="42">
        <f>原始数据!J1119/(原始数据!J$2/100)</f>
        <v>40.062570903472135</v>
      </c>
    </row>
    <row r="1120" spans="1:3" ht="18" customHeight="1" x14ac:dyDescent="0.3">
      <c r="A1120" s="41">
        <f>表1[[#This Row],[订单日期]]</f>
        <v>45919</v>
      </c>
      <c r="B1120" s="42">
        <f>原始数据!G1120/(原始数据!G$2/100)</f>
        <v>800</v>
      </c>
      <c r="C1120" s="42">
        <f>原始数据!J1120/(原始数据!J$2/100)</f>
        <v>78.229869506042448</v>
      </c>
    </row>
    <row r="1121" spans="1:3" ht="18" customHeight="1" x14ac:dyDescent="0.3">
      <c r="A1121" s="41">
        <f>表1[[#This Row],[订单日期]]</f>
        <v>45919</v>
      </c>
      <c r="B1121" s="42">
        <f>原始数据!G1121/(原始数据!G$2/100)</f>
        <v>800</v>
      </c>
      <c r="C1121" s="42">
        <f>原始数据!J1121/(原始数据!J$2/100)</f>
        <v>22.221875844124057</v>
      </c>
    </row>
    <row r="1122" spans="1:3" ht="18" customHeight="1" x14ac:dyDescent="0.3">
      <c r="A1122" s="41">
        <f>表1[[#This Row],[订单日期]]</f>
        <v>45919</v>
      </c>
      <c r="B1122" s="42">
        <f>原始数据!G1122/(原始数据!G$2/100)</f>
        <v>800</v>
      </c>
      <c r="C1122" s="42">
        <f>原始数据!J1122/(原始数据!J$2/100)</f>
        <v>261.18010269227648</v>
      </c>
    </row>
    <row r="1123" spans="1:3" ht="18" customHeight="1" x14ac:dyDescent="0.3">
      <c r="A1123" s="41">
        <f>表1[[#This Row],[订单日期]]</f>
        <v>45919</v>
      </c>
      <c r="B1123" s="42">
        <f>原始数据!G1123/(原始数据!G$2/100)</f>
        <v>800</v>
      </c>
      <c r="C1123" s="42">
        <f>原始数据!J1123/(原始数据!J$2/100)</f>
        <v>348.56254012847245</v>
      </c>
    </row>
    <row r="1124" spans="1:3" ht="18" customHeight="1" x14ac:dyDescent="0.3">
      <c r="A1124" s="41">
        <f>表1[[#This Row],[订单日期]]</f>
        <v>45919</v>
      </c>
      <c r="B1124" s="42">
        <f>原始数据!G1124/(原始数据!G$2/100)</f>
        <v>800</v>
      </c>
      <c r="C1124" s="42">
        <f>原始数据!J1124/(原始数据!J$2/100)</f>
        <v>35.678149612938945</v>
      </c>
    </row>
    <row r="1125" spans="1:3" ht="18" customHeight="1" x14ac:dyDescent="0.3">
      <c r="A1125" s="41">
        <f>表1[[#This Row],[订单日期]]</f>
        <v>45919</v>
      </c>
      <c r="B1125" s="42">
        <f>原始数据!G1125/(原始数据!G$2/100)</f>
        <v>800</v>
      </c>
      <c r="C1125" s="42">
        <f>原始数据!J1125/(原始数据!J$2/100)</f>
        <v>320.74878571917822</v>
      </c>
    </row>
    <row r="1126" spans="1:3" ht="18" customHeight="1" x14ac:dyDescent="0.3">
      <c r="A1126" s="41">
        <f>表1[[#This Row],[订单日期]]</f>
        <v>45919</v>
      </c>
      <c r="B1126" s="42">
        <f>原始数据!G1126/(原始数据!G$2/100)</f>
        <v>800</v>
      </c>
      <c r="C1126" s="42">
        <f>原始数据!J1126/(原始数据!J$2/100)</f>
        <v>542.53118813131232</v>
      </c>
    </row>
    <row r="1127" spans="1:3" ht="18" customHeight="1" x14ac:dyDescent="0.3">
      <c r="A1127" s="41">
        <f>表1[[#This Row],[订单日期]]</f>
        <v>45919</v>
      </c>
      <c r="B1127" s="42">
        <f>原始数据!G1127/(原始数据!G$2/100)</f>
        <v>800</v>
      </c>
      <c r="C1127" s="42">
        <f>原始数据!J1127/(原始数据!J$2/100)</f>
        <v>114.52808071640325</v>
      </c>
    </row>
    <row r="1128" spans="1:3" ht="18" customHeight="1" x14ac:dyDescent="0.3">
      <c r="A1128" s="41">
        <f>表1[[#This Row],[订单日期]]</f>
        <v>45919</v>
      </c>
      <c r="B1128" s="42">
        <f>原始数据!G1128/(原始数据!G$2/100)</f>
        <v>800</v>
      </c>
      <c r="C1128" s="42">
        <f>原始数据!J1128/(原始数据!J$2/100)</f>
        <v>218.51757102861802</v>
      </c>
    </row>
    <row r="1129" spans="1:3" ht="18" customHeight="1" x14ac:dyDescent="0.3">
      <c r="A1129" s="41">
        <f>表1[[#This Row],[订单日期]]</f>
        <v>45919</v>
      </c>
      <c r="B1129" s="42">
        <f>原始数据!G1129/(原始数据!G$2/100)</f>
        <v>800</v>
      </c>
      <c r="C1129" s="42">
        <f>原始数据!J1129/(原始数据!J$2/100)</f>
        <v>528.85329082138753</v>
      </c>
    </row>
    <row r="1130" spans="1:3" ht="18" customHeight="1" x14ac:dyDescent="0.3">
      <c r="A1130" s="41">
        <f>表1[[#This Row],[订单日期]]</f>
        <v>45919</v>
      </c>
      <c r="B1130" s="42">
        <f>原始数据!G1130/(原始数据!G$2/100)</f>
        <v>800</v>
      </c>
      <c r="C1130" s="42">
        <f>原始数据!J1130/(原始数据!J$2/100)</f>
        <v>27.92132567409195</v>
      </c>
    </row>
    <row r="1131" spans="1:3" ht="18" customHeight="1" x14ac:dyDescent="0.3">
      <c r="A1131" s="41">
        <f>表1[[#This Row],[订单日期]]</f>
        <v>45919</v>
      </c>
      <c r="B1131" s="42">
        <f>原始数据!G1131/(原始数据!G$2/100)</f>
        <v>900</v>
      </c>
      <c r="C1131" s="42">
        <f>原始数据!J1131/(原始数据!J$2/100)</f>
        <v>60.64509401201331</v>
      </c>
    </row>
    <row r="1132" spans="1:3" ht="18" customHeight="1" x14ac:dyDescent="0.3">
      <c r="A1132" s="41">
        <f>表1[[#This Row],[订单日期]]</f>
        <v>45919</v>
      </c>
      <c r="B1132" s="42">
        <f>原始数据!G1132/(原始数据!G$2/100)</f>
        <v>900</v>
      </c>
      <c r="C1132" s="42">
        <f>原始数据!J1132/(原始数据!J$2/100)</f>
        <v>269.96852859032714</v>
      </c>
    </row>
    <row r="1133" spans="1:3" ht="18" customHeight="1" x14ac:dyDescent="0.3">
      <c r="A1133" s="41">
        <f>表1[[#This Row],[订单日期]]</f>
        <v>45919</v>
      </c>
      <c r="B1133" s="42">
        <f>原始数据!G1133/(原始数据!G$2/100)</f>
        <v>900</v>
      </c>
      <c r="C1133" s="42">
        <f>原始数据!J1133/(原始数据!J$2/100)</f>
        <v>452.25389115323139</v>
      </c>
    </row>
    <row r="1134" spans="1:3" ht="18" customHeight="1" x14ac:dyDescent="0.3">
      <c r="A1134" s="41">
        <f>表1[[#This Row],[订单日期]]</f>
        <v>45919</v>
      </c>
      <c r="B1134" s="42">
        <f>原始数据!G1134/(原始数据!G$2/100)</f>
        <v>900</v>
      </c>
      <c r="C1134" s="42">
        <f>原始数据!J1134/(原始数据!J$2/100)</f>
        <v>280.82808210471291</v>
      </c>
    </row>
    <row r="1135" spans="1:3" ht="18" customHeight="1" x14ac:dyDescent="0.3">
      <c r="A1135" s="41">
        <f>表1[[#This Row],[订单日期]]</f>
        <v>45919</v>
      </c>
      <c r="B1135" s="42">
        <f>原始数据!G1135/(原始数据!G$2/100)</f>
        <v>900</v>
      </c>
      <c r="C1135" s="42">
        <f>原始数据!J1135/(原始数据!J$2/100)</f>
        <v>490.70557553580153</v>
      </c>
    </row>
    <row r="1136" spans="1:3" ht="18" customHeight="1" x14ac:dyDescent="0.3">
      <c r="A1136" s="41">
        <f>表1[[#This Row],[订单日期]]</f>
        <v>45919</v>
      </c>
      <c r="B1136" s="42">
        <f>原始数据!G1136/(原始数据!G$2/100)</f>
        <v>900</v>
      </c>
      <c r="C1136" s="42">
        <f>原始数据!J1136/(原始数据!J$2/100)</f>
        <v>145.30528671600047</v>
      </c>
    </row>
    <row r="1137" spans="1:3" ht="18" customHeight="1" x14ac:dyDescent="0.3">
      <c r="A1137" s="41">
        <f>表1[[#This Row],[订单日期]]</f>
        <v>45919</v>
      </c>
      <c r="B1137" s="42">
        <f>原始数据!G1137/(原始数据!G$2/100)</f>
        <v>900</v>
      </c>
      <c r="C1137" s="42">
        <f>原始数据!J1137/(原始数据!J$2/100)</f>
        <v>15.987950478365628</v>
      </c>
    </row>
    <row r="1138" spans="1:3" ht="18" customHeight="1" x14ac:dyDescent="0.3">
      <c r="A1138" s="41">
        <f>表1[[#This Row],[订单日期]]</f>
        <v>45919</v>
      </c>
      <c r="B1138" s="42">
        <f>原始数据!G1138/(原始数据!G$2/100)</f>
        <v>900</v>
      </c>
      <c r="C1138" s="42">
        <f>原始数据!J1138/(原始数据!J$2/100)</f>
        <v>144.86203963378065</v>
      </c>
    </row>
    <row r="1139" spans="1:3" ht="18" customHeight="1" x14ac:dyDescent="0.3">
      <c r="A1139" s="41">
        <f>表1[[#This Row],[订单日期]]</f>
        <v>45919</v>
      </c>
      <c r="B1139" s="42">
        <f>原始数据!G1139/(原始数据!G$2/100)</f>
        <v>900</v>
      </c>
      <c r="C1139" s="42">
        <f>原始数据!J1139/(原始数据!J$2/100)</f>
        <v>369.80993386034339</v>
      </c>
    </row>
    <row r="1140" spans="1:3" ht="18" customHeight="1" x14ac:dyDescent="0.3">
      <c r="A1140" s="41">
        <f>表1[[#This Row],[订单日期]]</f>
        <v>45919</v>
      </c>
      <c r="B1140" s="42">
        <f>原始数据!G1140/(原始数据!G$2/100)</f>
        <v>950</v>
      </c>
      <c r="C1140" s="42">
        <f>原始数据!J1140/(原始数据!J$2/100)</f>
        <v>300.34445106177247</v>
      </c>
    </row>
    <row r="1141" spans="1:3" ht="18" customHeight="1" x14ac:dyDescent="0.3">
      <c r="A1141" s="41">
        <f>表1[[#This Row],[订单日期]]</f>
        <v>45919</v>
      </c>
      <c r="B1141" s="42">
        <f>原始数据!G1141/(原始数据!G$2/100)</f>
        <v>950</v>
      </c>
      <c r="C1141" s="42">
        <f>原始数据!J1141/(原始数据!J$2/100)</f>
        <v>226.57882638768572</v>
      </c>
    </row>
    <row r="1142" spans="1:3" ht="18" customHeight="1" x14ac:dyDescent="0.3">
      <c r="A1142" s="41">
        <f>表1[[#This Row],[订单日期]]</f>
        <v>45919</v>
      </c>
      <c r="B1142" s="42">
        <f>原始数据!G1142/(原始数据!G$2/100)</f>
        <v>950</v>
      </c>
      <c r="C1142" s="42">
        <f>原始数据!J1142/(原始数据!J$2/100)</f>
        <v>260.23059012087805</v>
      </c>
    </row>
    <row r="1143" spans="1:3" ht="18" customHeight="1" x14ac:dyDescent="0.3">
      <c r="A1143" s="41">
        <f>表1[[#This Row],[订单日期]]</f>
        <v>45919</v>
      </c>
      <c r="B1143" s="42">
        <f>原始数据!G1143/(原始数据!G$2/100)</f>
        <v>950</v>
      </c>
      <c r="C1143" s="42">
        <f>原始数据!J1143/(原始数据!J$2/100)</f>
        <v>249.18442758089694</v>
      </c>
    </row>
    <row r="1144" spans="1:3" ht="18" customHeight="1" x14ac:dyDescent="0.3">
      <c r="A1144" s="41">
        <f>表1[[#This Row],[订单日期]]</f>
        <v>45919</v>
      </c>
      <c r="B1144" s="42">
        <f>原始数据!G1144/(原始数据!G$2/100)</f>
        <v>950</v>
      </c>
      <c r="C1144" s="42">
        <f>原始数据!J1144/(原始数据!J$2/100)</f>
        <v>243.27638922596964</v>
      </c>
    </row>
    <row r="1145" spans="1:3" ht="18" customHeight="1" x14ac:dyDescent="0.3">
      <c r="A1145" s="41">
        <f>表1[[#This Row],[订单日期]]</f>
        <v>45919</v>
      </c>
      <c r="B1145" s="42">
        <f>原始数据!G1145/(原始数据!G$2/100)</f>
        <v>950</v>
      </c>
      <c r="C1145" s="42">
        <f>原始数据!J1145/(原始数据!J$2/100)</f>
        <v>431.2481666026913</v>
      </c>
    </row>
    <row r="1146" spans="1:3" ht="18" customHeight="1" x14ac:dyDescent="0.3">
      <c r="A1146" s="41">
        <f>表1[[#This Row],[订单日期]]</f>
        <v>45919</v>
      </c>
      <c r="B1146" s="42">
        <f>原始数据!G1146/(原始数据!G$2/100)</f>
        <v>950</v>
      </c>
      <c r="C1146" s="42">
        <f>原始数据!J1146/(原始数据!J$2/100)</f>
        <v>23.204212903824985</v>
      </c>
    </row>
    <row r="1147" spans="1:3" ht="18" customHeight="1" x14ac:dyDescent="0.3">
      <c r="A1147" s="41">
        <f>表1[[#This Row],[订单日期]]</f>
        <v>45919</v>
      </c>
      <c r="B1147" s="42">
        <f>原始数据!G1147/(原始数据!G$2/100)</f>
        <v>950</v>
      </c>
      <c r="C1147" s="42">
        <f>原始数据!J1147/(原始数据!J$2/100)</f>
        <v>28.336568864867601</v>
      </c>
    </row>
    <row r="1148" spans="1:3" ht="18" customHeight="1" x14ac:dyDescent="0.3">
      <c r="A1148" s="41">
        <f>表1[[#This Row],[订单日期]]</f>
        <v>45919</v>
      </c>
      <c r="B1148" s="42">
        <f>原始数据!G1148/(原始数据!G$2/100)</f>
        <v>950</v>
      </c>
      <c r="C1148" s="42">
        <f>原始数据!J1148/(原始数据!J$2/100)</f>
        <v>158.61619652198246</v>
      </c>
    </row>
    <row r="1149" spans="1:3" ht="18" customHeight="1" x14ac:dyDescent="0.3">
      <c r="A1149" s="41">
        <f>表1[[#This Row],[订单日期]]</f>
        <v>45919</v>
      </c>
      <c r="B1149" s="42">
        <f>原始数据!G1149/(原始数据!G$2/100)</f>
        <v>950</v>
      </c>
      <c r="C1149" s="42">
        <f>原始数据!J1149/(原始数据!J$2/100)</f>
        <v>460.5024740291999</v>
      </c>
    </row>
    <row r="1150" spans="1:3" ht="18" customHeight="1" x14ac:dyDescent="0.3">
      <c r="A1150" s="41">
        <f>表1[[#This Row],[订单日期]]</f>
        <v>45919</v>
      </c>
      <c r="B1150" s="42">
        <f>原始数据!G1150/(原始数据!G$2/100)</f>
        <v>950</v>
      </c>
      <c r="C1150" s="42">
        <f>原始数据!J1150/(原始数据!J$2/100)</f>
        <v>64.093756238604129</v>
      </c>
    </row>
    <row r="1151" spans="1:3" ht="18" customHeight="1" x14ac:dyDescent="0.3">
      <c r="A1151" s="41">
        <f>表1[[#This Row],[订单日期]]</f>
        <v>45919</v>
      </c>
      <c r="B1151" s="42">
        <f>原始数据!G1151/(原始数据!G$2/100)</f>
        <v>950</v>
      </c>
      <c r="C1151" s="42">
        <f>原始数据!J1151/(原始数据!J$2/100)</f>
        <v>77.536994991268514</v>
      </c>
    </row>
    <row r="1152" spans="1:3" ht="18" customHeight="1" x14ac:dyDescent="0.3">
      <c r="A1152" s="41">
        <f>表1[[#This Row],[订单日期]]</f>
        <v>45919</v>
      </c>
      <c r="B1152" s="42">
        <f>原始数据!G1152/(原始数据!G$2/100)</f>
        <v>950</v>
      </c>
      <c r="C1152" s="42">
        <f>原始数据!J1152/(原始数据!J$2/100)</f>
        <v>392.76146770460667</v>
      </c>
    </row>
    <row r="1153" spans="1:3" ht="18" customHeight="1" x14ac:dyDescent="0.3">
      <c r="A1153" s="41">
        <f>表1[[#This Row],[订单日期]]</f>
        <v>45919</v>
      </c>
      <c r="B1153" s="42">
        <f>原始数据!G1153/(原始数据!G$2/100)</f>
        <v>950</v>
      </c>
      <c r="C1153" s="42">
        <f>原始数据!J1153/(原始数据!J$2/100)</f>
        <v>184.91360065902188</v>
      </c>
    </row>
    <row r="1154" spans="1:3" ht="18" customHeight="1" x14ac:dyDescent="0.3">
      <c r="A1154" s="41">
        <f>表1[[#This Row],[订单日期]]</f>
        <v>45919</v>
      </c>
      <c r="B1154" s="42">
        <f>原始数据!G1154/(原始数据!G$2/100)</f>
        <v>950</v>
      </c>
      <c r="C1154" s="42">
        <f>原始数据!J1154/(原始数据!J$2/100)</f>
        <v>332.70148806381997</v>
      </c>
    </row>
    <row r="1155" spans="1:3" ht="18" customHeight="1" x14ac:dyDescent="0.3">
      <c r="A1155" s="41">
        <f>表1[[#This Row],[订单日期]]</f>
        <v>45919</v>
      </c>
      <c r="B1155" s="42">
        <f>原始数据!G1155/(原始数据!G$2/100)</f>
        <v>950</v>
      </c>
      <c r="C1155" s="42">
        <f>原始数据!J1155/(原始数据!J$2/100)</f>
        <v>153.99711667418887</v>
      </c>
    </row>
    <row r="1156" spans="1:3" ht="18" customHeight="1" x14ac:dyDescent="0.3">
      <c r="A1156" s="41">
        <f>表1[[#This Row],[订单日期]]</f>
        <v>45919</v>
      </c>
      <c r="B1156" s="42">
        <f>原始数据!G1156/(原始数据!G$2/100)</f>
        <v>950</v>
      </c>
      <c r="C1156" s="42">
        <f>原始数据!J1156/(原始数据!J$2/100)</f>
        <v>212.02746992947175</v>
      </c>
    </row>
    <row r="1157" spans="1:3" ht="18" customHeight="1" x14ac:dyDescent="0.3">
      <c r="A1157" s="41">
        <f>表1[[#This Row],[订单日期]]</f>
        <v>45919</v>
      </c>
      <c r="B1157" s="42">
        <f>原始数据!G1157/(原始数据!G$2/100)</f>
        <v>1000</v>
      </c>
      <c r="C1157" s="42">
        <f>原始数据!J1157/(原始数据!J$2/100)</f>
        <v>441.64992065401555</v>
      </c>
    </row>
    <row r="1158" spans="1:3" ht="18" customHeight="1" x14ac:dyDescent="0.3">
      <c r="A1158" s="41">
        <f>表1[[#This Row],[订单日期]]</f>
        <v>45919</v>
      </c>
      <c r="B1158" s="42">
        <f>原始数据!G1158/(原始数据!G$2/100)</f>
        <v>1000</v>
      </c>
      <c r="C1158" s="42">
        <f>原始数据!J1158/(原始数据!J$2/100)</f>
        <v>20.232757233513997</v>
      </c>
    </row>
    <row r="1159" spans="1:3" ht="18" customHeight="1" x14ac:dyDescent="0.3">
      <c r="A1159" s="41">
        <f>表1[[#This Row],[订单日期]]</f>
        <v>45919</v>
      </c>
      <c r="B1159" s="42">
        <f>原始数据!G1159/(原始数据!G$2/100)</f>
        <v>1000</v>
      </c>
      <c r="C1159" s="42">
        <f>原始数据!J1159/(原始数据!J$2/100)</f>
        <v>324.85431448909083</v>
      </c>
    </row>
    <row r="1160" spans="1:3" ht="18" customHeight="1" x14ac:dyDescent="0.3">
      <c r="A1160" s="41">
        <f>表1[[#This Row],[订单日期]]</f>
        <v>45919</v>
      </c>
      <c r="B1160" s="42">
        <f>原始数据!G1160/(原始数据!G$2/100)</f>
        <v>1000</v>
      </c>
      <c r="C1160" s="42">
        <f>原始数据!J1160/(原始数据!J$2/100)</f>
        <v>431.78767307462437</v>
      </c>
    </row>
    <row r="1161" spans="1:3" ht="18" customHeight="1" x14ac:dyDescent="0.3">
      <c r="A1161" s="41">
        <f>表1[[#This Row],[订单日期]]</f>
        <v>45919</v>
      </c>
      <c r="B1161" s="42">
        <f>原始数据!G1161/(原始数据!G$2/100)</f>
        <v>1000</v>
      </c>
      <c r="C1161" s="42">
        <f>原始数据!J1161/(原始数据!J$2/100)</f>
        <v>463.36902768278713</v>
      </c>
    </row>
    <row r="1162" spans="1:3" ht="18" customHeight="1" x14ac:dyDescent="0.3">
      <c r="A1162" s="41">
        <f>表1[[#This Row],[订单日期]]</f>
        <v>45919</v>
      </c>
      <c r="B1162" s="42">
        <f>原始数据!G1162/(原始数据!G$2/100)</f>
        <v>1000</v>
      </c>
      <c r="C1162" s="42">
        <f>原始数据!J1162/(原始数据!J$2/100)</f>
        <v>84.503584155389063</v>
      </c>
    </row>
    <row r="1163" spans="1:3" ht="18" customHeight="1" x14ac:dyDescent="0.3">
      <c r="A1163" s="41">
        <f>表1[[#This Row],[订单日期]]</f>
        <v>45919</v>
      </c>
      <c r="B1163" s="42">
        <f>原始数据!G1163/(原始数据!G$2/100)</f>
        <v>1000</v>
      </c>
      <c r="C1163" s="42">
        <f>原始数据!J1163/(原始数据!J$2/100)</f>
        <v>53.254664858891189</v>
      </c>
    </row>
    <row r="1164" spans="1:3" ht="18" customHeight="1" x14ac:dyDescent="0.3">
      <c r="A1164" s="41">
        <f>表1[[#This Row],[订单日期]]</f>
        <v>45919</v>
      </c>
      <c r="B1164" s="42">
        <f>原始数据!G1164/(原始数据!G$2/100)</f>
        <v>1000</v>
      </c>
      <c r="C1164" s="42">
        <f>原始数据!J1164/(原始数据!J$2/100)</f>
        <v>187.11528368927927</v>
      </c>
    </row>
    <row r="1165" spans="1:3" ht="18" customHeight="1" x14ac:dyDescent="0.3">
      <c r="A1165" s="41">
        <f>表1[[#This Row],[订单日期]]</f>
        <v>45919</v>
      </c>
      <c r="B1165" s="42">
        <f>原始数据!G1165/(原始数据!G$2/100)</f>
        <v>1000</v>
      </c>
      <c r="C1165" s="42">
        <f>原始数据!J1165/(原始数据!J$2/100)</f>
        <v>236.75895689790002</v>
      </c>
    </row>
    <row r="1166" spans="1:3" ht="18" customHeight="1" x14ac:dyDescent="0.3">
      <c r="A1166" s="41">
        <f>表1[[#This Row],[订单日期]]</f>
        <v>45919</v>
      </c>
      <c r="B1166" s="42">
        <f>原始数据!G1166/(原始数据!G$2/100)</f>
        <v>1000</v>
      </c>
      <c r="C1166" s="42">
        <f>原始数据!J1166/(原始数据!J$2/100)</f>
        <v>46.495146855038811</v>
      </c>
    </row>
    <row r="1167" spans="1:3" ht="18" customHeight="1" x14ac:dyDescent="0.3">
      <c r="A1167" s="41">
        <f>表1[[#This Row],[订单日期]]</f>
        <v>45919</v>
      </c>
      <c r="B1167" s="42">
        <f>原始数据!G1167/(原始数据!G$2/100)</f>
        <v>1000</v>
      </c>
      <c r="C1167" s="42">
        <f>原始数据!J1167/(原始数据!J$2/100)</f>
        <v>182.35037755541612</v>
      </c>
    </row>
    <row r="1168" spans="1:3" ht="18" customHeight="1" x14ac:dyDescent="0.3">
      <c r="A1168" s="41">
        <f>表1[[#This Row],[订单日期]]</f>
        <v>45919</v>
      </c>
      <c r="B1168" s="42">
        <f>原始数据!G1168/(原始数据!G$2/100)</f>
        <v>1000</v>
      </c>
      <c r="C1168" s="42">
        <f>原始数据!J1168/(原始数据!J$2/100)</f>
        <v>8.8191448663534224</v>
      </c>
    </row>
    <row r="1169" spans="1:3" ht="18" customHeight="1" x14ac:dyDescent="0.3">
      <c r="A1169" s="41">
        <f>表1[[#This Row],[订单日期]]</f>
        <v>45919</v>
      </c>
      <c r="B1169" s="42">
        <f>原始数据!G1169/(原始数据!G$2/100)</f>
        <v>1000</v>
      </c>
      <c r="C1169" s="42">
        <f>原始数据!J1169/(原始数据!J$2/100)</f>
        <v>88.60361966592248</v>
      </c>
    </row>
    <row r="1170" spans="1:3" ht="18" customHeight="1" x14ac:dyDescent="0.3">
      <c r="A1170" s="41">
        <f>表1[[#This Row],[订单日期]]</f>
        <v>45919</v>
      </c>
      <c r="B1170" s="42">
        <f>原始数据!G1170/(原始数据!G$2/100)</f>
        <v>1000</v>
      </c>
      <c r="C1170" s="42">
        <f>原始数据!J1170/(原始数据!J$2/100)</f>
        <v>237.09139220956487</v>
      </c>
    </row>
    <row r="1171" spans="1:3" ht="18" customHeight="1" x14ac:dyDescent="0.3">
      <c r="A1171" s="41">
        <f>表1[[#This Row],[订单日期]]</f>
        <v>45919</v>
      </c>
      <c r="B1171" s="42">
        <f>原始数据!G1171/(原始数据!G$2/100)</f>
        <v>1000</v>
      </c>
      <c r="C1171" s="42">
        <f>原始数据!J1171/(原始数据!J$2/100)</f>
        <v>278.20255908545391</v>
      </c>
    </row>
    <row r="1172" spans="1:3" ht="18" customHeight="1" x14ac:dyDescent="0.3">
      <c r="A1172" s="41">
        <f>表1[[#This Row],[订单日期]]</f>
        <v>45919</v>
      </c>
      <c r="B1172" s="42">
        <f>原始数据!G1172/(原始数据!G$2/100)</f>
        <v>1000</v>
      </c>
      <c r="C1172" s="42">
        <f>原始数据!J1172/(原始数据!J$2/100)</f>
        <v>207.3938377008364</v>
      </c>
    </row>
    <row r="1173" spans="1:3" ht="18" customHeight="1" x14ac:dyDescent="0.3">
      <c r="A1173" s="41">
        <f>表1[[#This Row],[订单日期]]</f>
        <v>45919</v>
      </c>
      <c r="B1173" s="42">
        <f>原始数据!G1173/(原始数据!G$2/100)</f>
        <v>1000</v>
      </c>
      <c r="C1173" s="42">
        <f>原始数据!J1173/(原始数据!J$2/100)</f>
        <v>538.27778457793806</v>
      </c>
    </row>
    <row r="1174" spans="1:3" ht="18" customHeight="1" x14ac:dyDescent="0.3">
      <c r="A1174" s="41">
        <f>表1[[#This Row],[订单日期]]</f>
        <v>45919</v>
      </c>
      <c r="B1174" s="42">
        <f>原始数据!G1174/(原始数据!G$2/100)</f>
        <v>1000</v>
      </c>
      <c r="C1174" s="42">
        <f>原始数据!J1174/(原始数据!J$2/100)</f>
        <v>48.822194036692906</v>
      </c>
    </row>
    <row r="1175" spans="1:3" ht="18" customHeight="1" x14ac:dyDescent="0.3">
      <c r="A1175" s="41">
        <f>表1[[#This Row],[订单日期]]</f>
        <v>45919</v>
      </c>
      <c r="B1175" s="42">
        <f>原始数据!G1175/(原始数据!G$2/100)</f>
        <v>1000</v>
      </c>
      <c r="C1175" s="42">
        <f>原始数据!J1175/(原始数据!J$2/100)</f>
        <v>446.30401501732376</v>
      </c>
    </row>
    <row r="1176" spans="1:3" ht="18" customHeight="1" x14ac:dyDescent="0.3">
      <c r="A1176" s="41">
        <f>表1[[#This Row],[订单日期]]</f>
        <v>45919</v>
      </c>
      <c r="B1176" s="42">
        <f>原始数据!G1176/(原始数据!G$2/100)</f>
        <v>1000</v>
      </c>
      <c r="C1176" s="42">
        <f>原始数据!J1176/(原始数据!J$2/100)</f>
        <v>8.0434624724687236</v>
      </c>
    </row>
    <row r="1177" spans="1:3" ht="18" customHeight="1" x14ac:dyDescent="0.3">
      <c r="A1177" s="41">
        <f>表1[[#This Row],[订单日期]]</f>
        <v>45919</v>
      </c>
      <c r="B1177" s="42">
        <f>原始数据!G1177/(原始数据!G$2/100)</f>
        <v>1000</v>
      </c>
      <c r="C1177" s="42">
        <f>原始数据!J1177/(原始数据!J$2/100)</f>
        <v>414.05778978583123</v>
      </c>
    </row>
    <row r="1178" spans="1:3" ht="18" customHeight="1" x14ac:dyDescent="0.3">
      <c r="A1178" s="41">
        <f>表1[[#This Row],[订单日期]]</f>
        <v>45919</v>
      </c>
      <c r="B1178" s="42">
        <f>原始数据!G1178/(原始数据!G$2/100)</f>
        <v>1000</v>
      </c>
      <c r="C1178" s="42">
        <f>原始数据!J1178/(原始数据!J$2/100)</f>
        <v>125.06069217850333</v>
      </c>
    </row>
    <row r="1179" spans="1:3" ht="18" customHeight="1" x14ac:dyDescent="0.3">
      <c r="A1179" s="41">
        <f>表1[[#This Row],[订单日期]]</f>
        <v>45919</v>
      </c>
      <c r="B1179" s="42">
        <f>原始数据!G1179/(原始数据!G$2/100)</f>
        <v>1000</v>
      </c>
      <c r="C1179" s="42">
        <f>原始数据!J1179/(原始数据!J$2/100)</f>
        <v>528.96959585132163</v>
      </c>
    </row>
    <row r="1180" spans="1:3" ht="18" customHeight="1" x14ac:dyDescent="0.3">
      <c r="A1180" s="41">
        <f>表1[[#This Row],[订单日期]]</f>
        <v>45919</v>
      </c>
      <c r="B1180" s="42">
        <f>原始数据!G1180/(原始数据!G$2/100)</f>
        <v>1000</v>
      </c>
      <c r="C1180" s="42">
        <f>原始数据!J1180/(原始数据!J$2/100)</f>
        <v>449.07430928119766</v>
      </c>
    </row>
    <row r="1181" spans="1:3" ht="18" customHeight="1" x14ac:dyDescent="0.3">
      <c r="A1181" s="41">
        <f>表1[[#This Row],[订单日期]]</f>
        <v>45919</v>
      </c>
      <c r="B1181" s="42">
        <f>原始数据!G1181/(原始数据!G$2/100)</f>
        <v>1000</v>
      </c>
      <c r="C1181" s="42">
        <f>原始数据!J1181/(原始数据!J$2/100)</f>
        <v>215.81553226301313</v>
      </c>
    </row>
    <row r="1182" spans="1:3" ht="18" customHeight="1" x14ac:dyDescent="0.3">
      <c r="A1182" s="41">
        <f>表1[[#This Row],[订单日期]]</f>
        <v>45919</v>
      </c>
      <c r="B1182" s="42">
        <f>原始数据!G1182/(原始数据!G$2/100)</f>
        <v>1000</v>
      </c>
      <c r="C1182" s="42">
        <f>原始数据!J1182/(原始数据!J$2/100)</f>
        <v>39.846440621741387</v>
      </c>
    </row>
    <row r="1183" spans="1:3" ht="18" customHeight="1" x14ac:dyDescent="0.3">
      <c r="A1183" s="41">
        <f>表1[[#This Row],[订单日期]]</f>
        <v>45919</v>
      </c>
      <c r="B1183" s="42">
        <f>原始数据!G1183/(原始数据!G$2/100)</f>
        <v>1000</v>
      </c>
      <c r="C1183" s="42">
        <f>原始数据!J1183/(原始数据!J$2/100)</f>
        <v>90.044172683136921</v>
      </c>
    </row>
    <row r="1184" spans="1:3" ht="18" customHeight="1" x14ac:dyDescent="0.3">
      <c r="A1184" s="41">
        <f>表1[[#This Row],[订单日期]]</f>
        <v>45920</v>
      </c>
      <c r="B1184" s="42">
        <f>原始数据!G1184/(原始数据!G$2/100)</f>
        <v>50</v>
      </c>
      <c r="C1184" s="42">
        <f>原始数据!J1184/(原始数据!J$2/100)</f>
        <v>352.845491765112</v>
      </c>
    </row>
    <row r="1185" spans="1:3" ht="18" customHeight="1" x14ac:dyDescent="0.3">
      <c r="A1185" s="41">
        <f>表1[[#This Row],[订单日期]]</f>
        <v>45920</v>
      </c>
      <c r="B1185" s="42">
        <f>原始数据!G1185/(原始数据!G$2/100)</f>
        <v>50</v>
      </c>
      <c r="C1185" s="42">
        <f>原始数据!J1185/(原始数据!J$2/100)</f>
        <v>468.42216845393216</v>
      </c>
    </row>
    <row r="1186" spans="1:3" ht="18" customHeight="1" x14ac:dyDescent="0.3">
      <c r="A1186" s="41">
        <f>表1[[#This Row],[订单日期]]</f>
        <v>45920</v>
      </c>
      <c r="B1186" s="42">
        <f>原始数据!G1186/(原始数据!G$2/100)</f>
        <v>50</v>
      </c>
      <c r="C1186" s="42">
        <f>原始数据!J1186/(原始数据!J$2/100)</f>
        <v>10.547932520849752</v>
      </c>
    </row>
    <row r="1187" spans="1:3" ht="18" customHeight="1" x14ac:dyDescent="0.3">
      <c r="A1187" s="41">
        <f>表1[[#This Row],[订单日期]]</f>
        <v>45920</v>
      </c>
      <c r="B1187" s="42">
        <f>原始数据!G1187/(原始数据!G$2/100)</f>
        <v>50</v>
      </c>
      <c r="C1187" s="42">
        <f>原始数据!J1187/(原始数据!J$2/100)</f>
        <v>284.4746293327035</v>
      </c>
    </row>
    <row r="1188" spans="1:3" ht="18" customHeight="1" x14ac:dyDescent="0.3">
      <c r="A1188" s="41">
        <f>表1[[#This Row],[订单日期]]</f>
        <v>45920</v>
      </c>
      <c r="B1188" s="42">
        <f>原始数据!G1188/(原始数据!G$2/100)</f>
        <v>50</v>
      </c>
      <c r="C1188" s="42">
        <f>原始数据!J1188/(原始数据!J$2/100)</f>
        <v>414.01358911144825</v>
      </c>
    </row>
    <row r="1189" spans="1:3" ht="18" customHeight="1" x14ac:dyDescent="0.3">
      <c r="A1189" s="41">
        <f>表1[[#This Row],[订单日期]]</f>
        <v>45920</v>
      </c>
      <c r="B1189" s="42">
        <f>原始数据!G1189/(原始数据!G$2/100)</f>
        <v>50</v>
      </c>
      <c r="C1189" s="42">
        <f>原始数据!J1189/(原始数据!J$2/100)</f>
        <v>68.945735603312102</v>
      </c>
    </row>
    <row r="1190" spans="1:3" ht="18" customHeight="1" x14ac:dyDescent="0.3">
      <c r="A1190" s="41">
        <f>表1[[#This Row],[订单日期]]</f>
        <v>45920</v>
      </c>
      <c r="B1190" s="42">
        <f>原始数据!G1190/(原始数据!G$2/100)</f>
        <v>50</v>
      </c>
      <c r="C1190" s="42">
        <f>原始数据!J1190/(原始数据!J$2/100)</f>
        <v>477.73035718054854</v>
      </c>
    </row>
    <row r="1191" spans="1:3" ht="18" customHeight="1" x14ac:dyDescent="0.3">
      <c r="A1191" s="41">
        <f>表1[[#This Row],[订单日期]]</f>
        <v>45920</v>
      </c>
      <c r="B1191" s="42">
        <f>原始数据!G1191/(原始数据!G$2/100)</f>
        <v>50</v>
      </c>
      <c r="C1191" s="42">
        <f>原始数据!J1191/(原始数据!J$2/100)</f>
        <v>26.837262792428433</v>
      </c>
    </row>
    <row r="1192" spans="1:3" ht="18" customHeight="1" x14ac:dyDescent="0.3">
      <c r="A1192" s="41">
        <f>表1[[#This Row],[订单日期]]</f>
        <v>45920</v>
      </c>
      <c r="B1192" s="42">
        <f>原始数据!G1192/(原始数据!G$2/100)</f>
        <v>50</v>
      </c>
      <c r="C1192" s="42">
        <f>原始数据!J1192/(原始数据!J$2/100)</f>
        <v>203.58203682758489</v>
      </c>
    </row>
    <row r="1193" spans="1:3" ht="18" customHeight="1" x14ac:dyDescent="0.3">
      <c r="A1193" s="41">
        <f>表1[[#This Row],[订单日期]]</f>
        <v>45920</v>
      </c>
      <c r="B1193" s="42">
        <f>原始数据!G1193/(原始数据!G$2/100)</f>
        <v>250</v>
      </c>
      <c r="C1193" s="42">
        <f>原始数据!J1193/(原始数据!J$2/100)</f>
        <v>300.627082427706</v>
      </c>
    </row>
    <row r="1194" spans="1:3" ht="18" customHeight="1" x14ac:dyDescent="0.3">
      <c r="A1194" s="41">
        <f>表1[[#This Row],[订单日期]]</f>
        <v>45920</v>
      </c>
      <c r="B1194" s="42">
        <f>原始数据!G1194/(原始数据!G$2/100)</f>
        <v>250</v>
      </c>
      <c r="C1194" s="42">
        <f>原始数据!J1194/(原始数据!J$2/100)</f>
        <v>238.12924383471022</v>
      </c>
    </row>
    <row r="1195" spans="1:3" ht="18" customHeight="1" x14ac:dyDescent="0.3">
      <c r="A1195" s="41">
        <f>表1[[#This Row],[订单日期]]</f>
        <v>45920</v>
      </c>
      <c r="B1195" s="42">
        <f>原始数据!G1195/(原始数据!G$2/100)</f>
        <v>250</v>
      </c>
      <c r="C1195" s="42">
        <f>原始数据!J1195/(原始数据!J$2/100)</f>
        <v>98.506412935464382</v>
      </c>
    </row>
    <row r="1196" spans="1:3" ht="18" customHeight="1" x14ac:dyDescent="0.3">
      <c r="A1196" s="41">
        <f>表1[[#This Row],[订单日期]]</f>
        <v>45920</v>
      </c>
      <c r="B1196" s="42">
        <f>原始数据!G1196/(原始数据!G$2/100)</f>
        <v>250</v>
      </c>
      <c r="C1196" s="42">
        <f>原始数据!J1196/(原始数据!J$2/100)</f>
        <v>456.87167891019539</v>
      </c>
    </row>
    <row r="1197" spans="1:3" ht="18" customHeight="1" x14ac:dyDescent="0.3">
      <c r="A1197" s="41">
        <f>表1[[#This Row],[订单日期]]</f>
        <v>45920</v>
      </c>
      <c r="B1197" s="42">
        <f>原始数据!G1197/(原始数据!G$2/100)</f>
        <v>250</v>
      </c>
      <c r="C1197" s="42">
        <f>原始数据!J1197/(原始数据!J$2/100)</f>
        <v>240.78872632802918</v>
      </c>
    </row>
    <row r="1198" spans="1:3" ht="18" customHeight="1" x14ac:dyDescent="0.3">
      <c r="A1198" s="41">
        <f>表1[[#This Row],[订单日期]]</f>
        <v>45920</v>
      </c>
      <c r="B1198" s="42">
        <f>原始数据!G1198/(原始数据!G$2/100)</f>
        <v>250</v>
      </c>
      <c r="C1198" s="42">
        <f>原始数据!J1198/(原始数据!J$2/100)</f>
        <v>156.79340424737177</v>
      </c>
    </row>
    <row r="1199" spans="1:3" ht="18" customHeight="1" x14ac:dyDescent="0.3">
      <c r="A1199" s="41">
        <f>表1[[#This Row],[订单日期]]</f>
        <v>45920</v>
      </c>
      <c r="B1199" s="42">
        <f>原始数据!G1199/(原始数据!G$2/100)</f>
        <v>250</v>
      </c>
      <c r="C1199" s="42">
        <f>原始数据!J1199/(原始数据!J$2/100)</f>
        <v>415.20645318153151</v>
      </c>
    </row>
    <row r="1200" spans="1:3" ht="18" customHeight="1" x14ac:dyDescent="0.3">
      <c r="A1200" s="41">
        <f>表1[[#This Row],[订单日期]]</f>
        <v>45920</v>
      </c>
      <c r="B1200" s="42">
        <f>原始数据!G1200/(原始数据!G$2/100)</f>
        <v>250</v>
      </c>
      <c r="C1200" s="42">
        <f>原始数据!J1200/(原始数据!J$2/100)</f>
        <v>465.84743232514688</v>
      </c>
    </row>
    <row r="1201" spans="1:3" ht="18" customHeight="1" x14ac:dyDescent="0.3">
      <c r="A1201" s="41">
        <f>表1[[#This Row],[订单日期]]</f>
        <v>45920</v>
      </c>
      <c r="B1201" s="42">
        <f>原始数据!G1201/(原始数据!G$2/100)</f>
        <v>250</v>
      </c>
      <c r="C1201" s="42">
        <f>原始数据!J1201/(原始数据!J$2/100)</f>
        <v>195.24508862994185</v>
      </c>
    </row>
    <row r="1202" spans="1:3" ht="18" customHeight="1" x14ac:dyDescent="0.3">
      <c r="A1202" s="41">
        <f>表1[[#This Row],[订单日期]]</f>
        <v>45920</v>
      </c>
      <c r="B1202" s="42">
        <f>原始数据!G1202/(原始数据!G$2/100)</f>
        <v>300</v>
      </c>
      <c r="C1202" s="42">
        <f>原始数据!J1202/(原始数据!J$2/100)</f>
        <v>311.26429360234675</v>
      </c>
    </row>
    <row r="1203" spans="1:3" ht="18" customHeight="1" x14ac:dyDescent="0.3">
      <c r="A1203" s="41">
        <f>表1[[#This Row],[订单日期]]</f>
        <v>45920</v>
      </c>
      <c r="B1203" s="42">
        <f>原始数据!G1203/(原始数据!G$2/100)</f>
        <v>300</v>
      </c>
      <c r="C1203" s="42">
        <f>原始数据!J1203/(原始数据!J$2/100)</f>
        <v>116.12476565506743</v>
      </c>
    </row>
    <row r="1204" spans="1:3" ht="18" customHeight="1" x14ac:dyDescent="0.3">
      <c r="A1204" s="41">
        <f>表1[[#This Row],[订单日期]]</f>
        <v>45920</v>
      </c>
      <c r="B1204" s="42">
        <f>原始数据!G1204/(原始数据!G$2/100)</f>
        <v>300</v>
      </c>
      <c r="C1204" s="42">
        <f>原始数据!J1204/(原始数据!J$2/100)</f>
        <v>244.22317241659775</v>
      </c>
    </row>
    <row r="1205" spans="1:3" ht="18" customHeight="1" x14ac:dyDescent="0.3">
      <c r="A1205" s="41">
        <f>表1[[#This Row],[订单日期]]</f>
        <v>45920</v>
      </c>
      <c r="B1205" s="42">
        <f>原始数据!G1205/(原始数据!G$2/100)</f>
        <v>300</v>
      </c>
      <c r="C1205" s="42">
        <f>原始数据!J1205/(原始数据!J$2/100)</f>
        <v>69.251386710320617</v>
      </c>
    </row>
    <row r="1206" spans="1:3" ht="18" customHeight="1" x14ac:dyDescent="0.3">
      <c r="A1206" s="41">
        <f>表1[[#This Row],[订单日期]]</f>
        <v>45920</v>
      </c>
      <c r="B1206" s="42">
        <f>原始数据!G1206/(原始数据!G$2/100)</f>
        <v>300</v>
      </c>
      <c r="C1206" s="42">
        <f>原始数据!J1206/(原始数据!J$2/100)</f>
        <v>68.586516086990883</v>
      </c>
    </row>
    <row r="1207" spans="1:3" ht="18" customHeight="1" x14ac:dyDescent="0.3">
      <c r="A1207" s="41">
        <f>表1[[#This Row],[订单日期]]</f>
        <v>45920</v>
      </c>
      <c r="B1207" s="42">
        <f>原始数据!G1207/(原始数据!G$2/100)</f>
        <v>300</v>
      </c>
      <c r="C1207" s="42">
        <f>原始数据!J1207/(原始数据!J$2/100)</f>
        <v>179.50909841250285</v>
      </c>
    </row>
    <row r="1208" spans="1:3" ht="18" customHeight="1" x14ac:dyDescent="0.3">
      <c r="A1208" s="41">
        <f>表1[[#This Row],[订单日期]]</f>
        <v>45920</v>
      </c>
      <c r="B1208" s="42">
        <f>原始数据!G1208/(原始数据!G$2/100)</f>
        <v>300</v>
      </c>
      <c r="C1208" s="42">
        <f>原始数据!J1208/(原始数据!J$2/100)</f>
        <v>185.71455756358046</v>
      </c>
    </row>
    <row r="1209" spans="1:3" ht="18" customHeight="1" x14ac:dyDescent="0.3">
      <c r="A1209" s="41">
        <f>表1[[#This Row],[订单日期]]</f>
        <v>45920</v>
      </c>
      <c r="B1209" s="42">
        <f>原始数据!G1209/(原始数据!G$2/100)</f>
        <v>300</v>
      </c>
      <c r="C1209" s="42">
        <f>原始数据!J1209/(原始数据!J$2/100)</f>
        <v>228.48790099779384</v>
      </c>
    </row>
    <row r="1210" spans="1:3" ht="18" customHeight="1" x14ac:dyDescent="0.3">
      <c r="A1210" s="41">
        <f>表1[[#This Row],[订单日期]]</f>
        <v>45920</v>
      </c>
      <c r="B1210" s="42">
        <f>原始数据!G1210/(原始数据!G$2/100)</f>
        <v>300</v>
      </c>
      <c r="C1210" s="42">
        <f>原始数据!J1210/(原始数据!J$2/100)</f>
        <v>332.65096531945346</v>
      </c>
    </row>
    <row r="1211" spans="1:3" ht="18" customHeight="1" x14ac:dyDescent="0.3">
      <c r="A1211" s="41">
        <f>表1[[#This Row],[订单日期]]</f>
        <v>45920</v>
      </c>
      <c r="B1211" s="42">
        <f>原始数据!G1211/(原始数据!G$2/100)</f>
        <v>300</v>
      </c>
      <c r="C1211" s="42">
        <f>原始数据!J1211/(原始数据!J$2/100)</f>
        <v>50.191762174868011</v>
      </c>
    </row>
    <row r="1212" spans="1:3" ht="18" customHeight="1" x14ac:dyDescent="0.3">
      <c r="A1212" s="41">
        <f>表1[[#This Row],[订单日期]]</f>
        <v>45920</v>
      </c>
      <c r="B1212" s="42">
        <f>原始数据!G1212/(原始数据!G$2/100)</f>
        <v>300</v>
      </c>
      <c r="C1212" s="42">
        <f>原始数据!J1212/(原始数据!J$2/100)</f>
        <v>170.42253322699636</v>
      </c>
    </row>
    <row r="1213" spans="1:3" ht="18" customHeight="1" x14ac:dyDescent="0.3">
      <c r="A1213" s="41">
        <f>表1[[#This Row],[订单日期]]</f>
        <v>45920</v>
      </c>
      <c r="B1213" s="42">
        <f>原始数据!G1213/(原始数据!G$2/100)</f>
        <v>300</v>
      </c>
      <c r="C1213" s="42">
        <f>原始数据!J1213/(原始数据!J$2/100)</f>
        <v>485.90364399695903</v>
      </c>
    </row>
    <row r="1214" spans="1:3" ht="18" customHeight="1" x14ac:dyDescent="0.3">
      <c r="A1214" s="41">
        <f>表1[[#This Row],[订单日期]]</f>
        <v>45920</v>
      </c>
      <c r="B1214" s="42">
        <f>原始数据!G1214/(原始数据!G$2/100)</f>
        <v>300</v>
      </c>
      <c r="C1214" s="42">
        <f>原始数据!J1214/(原始数据!J$2/100)</f>
        <v>394.1514979774546</v>
      </c>
    </row>
    <row r="1215" spans="1:3" ht="18" customHeight="1" x14ac:dyDescent="0.3">
      <c r="A1215" s="41">
        <f>表1[[#This Row],[订单日期]]</f>
        <v>45920</v>
      </c>
      <c r="B1215" s="42">
        <f>原始数据!G1215/(原始数据!G$2/100)</f>
        <v>300</v>
      </c>
      <c r="C1215" s="42">
        <f>原始数据!J1215/(原始数据!J$2/100)</f>
        <v>299.07499884130146</v>
      </c>
    </row>
    <row r="1216" spans="1:3" ht="18" customHeight="1" x14ac:dyDescent="0.3">
      <c r="A1216" s="41">
        <f>表1[[#This Row],[订单日期]]</f>
        <v>45920</v>
      </c>
      <c r="B1216" s="42">
        <f>原始数据!G1216/(原始数据!G$2/100)</f>
        <v>300</v>
      </c>
      <c r="C1216" s="42">
        <f>原始数据!J1216/(原始数据!J$2/100)</f>
        <v>22.378007765573798</v>
      </c>
    </row>
    <row r="1217" spans="1:3" ht="18" customHeight="1" x14ac:dyDescent="0.3">
      <c r="A1217" s="41">
        <f>表1[[#This Row],[订单日期]]</f>
        <v>45920</v>
      </c>
      <c r="B1217" s="42">
        <f>原始数据!G1217/(原始数据!G$2/100)</f>
        <v>300</v>
      </c>
      <c r="C1217" s="42">
        <f>原始数据!J1217/(原始数据!J$2/100)</f>
        <v>127.53837802222802</v>
      </c>
    </row>
    <row r="1218" spans="1:3" ht="18" customHeight="1" x14ac:dyDescent="0.3">
      <c r="A1218" s="41">
        <f>表1[[#This Row],[订单日期]]</f>
        <v>45920</v>
      </c>
      <c r="B1218" s="42">
        <f>原始数据!G1218/(原始数据!G$2/100)</f>
        <v>300</v>
      </c>
      <c r="C1218" s="42">
        <f>原始数据!J1218/(原始数据!J$2/100)</f>
        <v>402.24075722796647</v>
      </c>
    </row>
    <row r="1219" spans="1:3" ht="18" customHeight="1" x14ac:dyDescent="0.3">
      <c r="A1219" s="41">
        <f>表1[[#This Row],[订单日期]]</f>
        <v>45920</v>
      </c>
      <c r="B1219" s="42">
        <f>原始数据!G1219/(原始数据!G$2/100)</f>
        <v>300</v>
      </c>
      <c r="C1219" s="42">
        <f>原始数据!J1219/(原始数据!J$2/100)</f>
        <v>244.88804303992751</v>
      </c>
    </row>
    <row r="1220" spans="1:3" ht="18" customHeight="1" x14ac:dyDescent="0.3">
      <c r="A1220" s="41">
        <f>表1[[#This Row],[订单日期]]</f>
        <v>45920</v>
      </c>
      <c r="B1220" s="42">
        <f>原始数据!G1220/(原始数据!G$2/100)</f>
        <v>300</v>
      </c>
      <c r="C1220" s="42">
        <f>原始数据!J1220/(原始数据!J$2/100)</f>
        <v>68.364892545880963</v>
      </c>
    </row>
    <row r="1221" spans="1:3" ht="18" customHeight="1" x14ac:dyDescent="0.3">
      <c r="A1221" s="41">
        <f>表1[[#This Row],[订单日期]]</f>
        <v>45920</v>
      </c>
      <c r="B1221" s="42">
        <f>原始数据!G1221/(原始数据!G$2/100)</f>
        <v>300</v>
      </c>
      <c r="C1221" s="42">
        <f>原始数据!J1221/(原始数据!J$2/100)</f>
        <v>453.32498345380168</v>
      </c>
    </row>
    <row r="1222" spans="1:3" ht="18" customHeight="1" x14ac:dyDescent="0.3">
      <c r="A1222" s="41">
        <f>表1[[#This Row],[订单日期]]</f>
        <v>45920</v>
      </c>
      <c r="B1222" s="42">
        <f>原始数据!G1222/(原始数据!G$2/100)</f>
        <v>300</v>
      </c>
      <c r="C1222" s="42">
        <f>原始数据!J1222/(原始数据!J$2/100)</f>
        <v>255.9692200954232</v>
      </c>
    </row>
    <row r="1223" spans="1:3" ht="18" customHeight="1" x14ac:dyDescent="0.3">
      <c r="A1223" s="41">
        <f>表1[[#This Row],[订单日期]]</f>
        <v>45920</v>
      </c>
      <c r="B1223" s="42">
        <f>原始数据!G1223/(原始数据!G$2/100)</f>
        <v>300</v>
      </c>
      <c r="C1223" s="42">
        <f>原始数据!J1223/(原始数据!J$2/100)</f>
        <v>199.34440534184017</v>
      </c>
    </row>
    <row r="1224" spans="1:3" ht="18" customHeight="1" x14ac:dyDescent="0.3">
      <c r="A1224" s="41">
        <f>表1[[#This Row],[订单日期]]</f>
        <v>45920</v>
      </c>
      <c r="B1224" s="42">
        <f>原始数据!G1224/(原始数据!G$2/100)</f>
        <v>300</v>
      </c>
      <c r="C1224" s="42">
        <f>原始数据!J1224/(原始数据!J$2/100)</f>
        <v>472.49541975980924</v>
      </c>
    </row>
    <row r="1225" spans="1:3" ht="18" customHeight="1" x14ac:dyDescent="0.3">
      <c r="A1225" s="41">
        <f>表1[[#This Row],[订单日期]]</f>
        <v>45920</v>
      </c>
      <c r="B1225" s="42">
        <f>原始数据!G1225/(原始数据!G$2/100)</f>
        <v>300</v>
      </c>
      <c r="C1225" s="42">
        <f>原始数据!J1225/(原始数据!J$2/100)</f>
        <v>111.02742420953942</v>
      </c>
    </row>
    <row r="1226" spans="1:3" ht="18" customHeight="1" x14ac:dyDescent="0.3">
      <c r="A1226" s="41">
        <f>表1[[#This Row],[订单日期]]</f>
        <v>45920</v>
      </c>
      <c r="B1226" s="42">
        <f>原始数据!G1226/(原始数据!G$2/100)</f>
        <v>300</v>
      </c>
      <c r="C1226" s="42">
        <f>原始数据!J1226/(原始数据!J$2/100)</f>
        <v>394.59474505967444</v>
      </c>
    </row>
    <row r="1227" spans="1:3" ht="18" customHeight="1" x14ac:dyDescent="0.3">
      <c r="A1227" s="41">
        <f>表1[[#This Row],[订单日期]]</f>
        <v>45920</v>
      </c>
      <c r="B1227" s="42">
        <f>原始数据!G1227/(原始数据!G$2/100)</f>
        <v>300</v>
      </c>
      <c r="C1227" s="42">
        <f>原始数据!J1227/(原始数据!J$2/100)</f>
        <v>429.05720570226606</v>
      </c>
    </row>
    <row r="1228" spans="1:3" ht="18" customHeight="1" x14ac:dyDescent="0.3">
      <c r="A1228" s="41">
        <f>表1[[#This Row],[订单日期]]</f>
        <v>45920</v>
      </c>
      <c r="B1228" s="42">
        <f>原始数据!G1228/(原始数据!G$2/100)</f>
        <v>300</v>
      </c>
      <c r="C1228" s="42">
        <f>原始数据!J1228/(原始数据!J$2/100)</f>
        <v>429.72207632559582</v>
      </c>
    </row>
    <row r="1229" spans="1:3" ht="18" customHeight="1" x14ac:dyDescent="0.3">
      <c r="A1229" s="41">
        <f>表1[[#This Row],[订单日期]]</f>
        <v>45921</v>
      </c>
      <c r="B1229" s="42">
        <f>原始数据!G1229/(原始数据!G$2/100)</f>
        <v>50</v>
      </c>
      <c r="C1229" s="42">
        <f>原始数据!J1229/(原始数据!J$2/100)</f>
        <v>114.26280977628852</v>
      </c>
    </row>
    <row r="1230" spans="1:3" ht="18" customHeight="1" x14ac:dyDescent="0.3">
      <c r="A1230" s="41">
        <f>表1[[#This Row],[订单日期]]</f>
        <v>45921</v>
      </c>
      <c r="B1230" s="42">
        <f>原始数据!G1230/(原始数据!G$2/100)</f>
        <v>50</v>
      </c>
      <c r="C1230" s="42">
        <f>原始数据!J1230/(原始数据!J$2/100)</f>
        <v>474.73349939156373</v>
      </c>
    </row>
    <row r="1231" spans="1:3" ht="18" customHeight="1" x14ac:dyDescent="0.3">
      <c r="A1231" s="41">
        <f>表1[[#This Row],[订单日期]]</f>
        <v>45921</v>
      </c>
      <c r="B1231" s="42">
        <f>原始数据!G1231/(原始数据!G$2/100)</f>
        <v>50</v>
      </c>
      <c r="C1231" s="42">
        <f>原始数据!J1231/(原始数据!J$2/100)</f>
        <v>9.1024395196343111</v>
      </c>
    </row>
    <row r="1232" spans="1:3" ht="18" customHeight="1" x14ac:dyDescent="0.3">
      <c r="A1232" s="41">
        <f>表1[[#This Row],[订单日期]]</f>
        <v>45921</v>
      </c>
      <c r="B1232" s="42">
        <f>原始数据!G1232/(原始数据!G$2/100)</f>
        <v>50</v>
      </c>
      <c r="C1232" s="42">
        <f>原始数据!J1232/(原始数据!J$2/100)</f>
        <v>132.43594014730147</v>
      </c>
    </row>
    <row r="1233" spans="1:3" ht="18" customHeight="1" x14ac:dyDescent="0.3">
      <c r="A1233" s="41">
        <f>表1[[#This Row],[订单日期]]</f>
        <v>45921</v>
      </c>
      <c r="B1233" s="42">
        <f>原始数据!G1233/(原始数据!G$2/100)</f>
        <v>50</v>
      </c>
      <c r="C1233" s="42">
        <f>原始数据!J1233/(原始数据!J$2/100)</f>
        <v>373.34072933377809</v>
      </c>
    </row>
    <row r="1234" spans="1:3" ht="18" customHeight="1" x14ac:dyDescent="0.3">
      <c r="A1234" s="41">
        <f>表1[[#This Row],[订单日期]]</f>
        <v>45921</v>
      </c>
      <c r="B1234" s="42">
        <f>原始数据!G1234/(原始数据!G$2/100)</f>
        <v>50</v>
      </c>
      <c r="C1234" s="42">
        <f>原始数据!J1234/(原始数据!J$2/100)</f>
        <v>76.808431328713041</v>
      </c>
    </row>
    <row r="1235" spans="1:3" ht="18" customHeight="1" x14ac:dyDescent="0.3">
      <c r="A1235" s="41">
        <f>表1[[#This Row],[订单日期]]</f>
        <v>45921</v>
      </c>
      <c r="B1235" s="42">
        <f>原始数据!G1235/(原始数据!G$2/100)</f>
        <v>50</v>
      </c>
      <c r="C1235" s="42">
        <f>原始数据!J1235/(原始数据!J$2/100)</f>
        <v>264.30194710770036</v>
      </c>
    </row>
    <row r="1236" spans="1:3" ht="18" customHeight="1" x14ac:dyDescent="0.3">
      <c r="A1236" s="41">
        <f>表1[[#This Row],[订单日期]]</f>
        <v>45921</v>
      </c>
      <c r="B1236" s="42">
        <f>原始数据!G1236/(原始数据!G$2/100)</f>
        <v>50</v>
      </c>
      <c r="C1236" s="42">
        <f>原始数据!J1236/(原始数据!J$2/100)</f>
        <v>538.45026746066401</v>
      </c>
    </row>
    <row r="1237" spans="1:3" ht="18" customHeight="1" x14ac:dyDescent="0.3">
      <c r="A1237" s="41">
        <f>表1[[#This Row],[订单日期]]</f>
        <v>45921</v>
      </c>
      <c r="B1237" s="42">
        <f>原始数据!G1237/(原始数据!G$2/100)</f>
        <v>50</v>
      </c>
      <c r="C1237" s="42">
        <f>原始数据!J1237/(原始数据!J$2/100)</f>
        <v>39.132429340027663</v>
      </c>
    </row>
    <row r="1238" spans="1:3" ht="18" customHeight="1" x14ac:dyDescent="0.3">
      <c r="A1238" s="41">
        <f>表1[[#This Row],[订单日期]]</f>
        <v>45921</v>
      </c>
      <c r="B1238" s="42">
        <f>原始数据!G1238/(原始数据!G$2/100)</f>
        <v>150</v>
      </c>
      <c r="C1238" s="42">
        <f>原始数据!J1238/(原始数据!J$2/100)</f>
        <v>309.27766338976949</v>
      </c>
    </row>
    <row r="1239" spans="1:3" ht="18" customHeight="1" x14ac:dyDescent="0.3">
      <c r="A1239" s="41">
        <f>表1[[#This Row],[订单日期]]</f>
        <v>45921</v>
      </c>
      <c r="B1239" s="42">
        <f>原始数据!G1239/(原始数据!G$2/100)</f>
        <v>150</v>
      </c>
      <c r="C1239" s="42">
        <f>原始数据!J1239/(原始数据!J$2/100)</f>
        <v>208.2173286436487</v>
      </c>
    </row>
    <row r="1240" spans="1:3" ht="18" customHeight="1" x14ac:dyDescent="0.3">
      <c r="A1240" s="41">
        <f>表1[[#This Row],[订单日期]]</f>
        <v>45921</v>
      </c>
      <c r="B1240" s="42">
        <f>原始数据!G1240/(原始数据!G$2/100)</f>
        <v>150</v>
      </c>
      <c r="C1240" s="42">
        <f>原始数据!J1240/(原始数据!J$2/100)</f>
        <v>430.39492860633749</v>
      </c>
    </row>
    <row r="1241" spans="1:3" ht="18" customHeight="1" x14ac:dyDescent="0.3">
      <c r="A1241" s="41">
        <f>表1[[#This Row],[订单日期]]</f>
        <v>45921</v>
      </c>
      <c r="B1241" s="42">
        <f>原始数据!G1241/(原始数据!G$2/100)</f>
        <v>150</v>
      </c>
      <c r="C1241" s="42">
        <f>原始数据!J1241/(原始数据!J$2/100)</f>
        <v>300.85596882759273</v>
      </c>
    </row>
    <row r="1242" spans="1:3" ht="18" customHeight="1" x14ac:dyDescent="0.3">
      <c r="A1242" s="41">
        <f>表1[[#This Row],[订单日期]]</f>
        <v>45921</v>
      </c>
      <c r="B1242" s="42">
        <f>原始数据!G1242/(原始数据!G$2/100)</f>
        <v>150</v>
      </c>
      <c r="C1242" s="42">
        <f>原始数据!J1242/(原始数据!J$2/100)</f>
        <v>503.86313248427399</v>
      </c>
    </row>
    <row r="1243" spans="1:3" ht="18" customHeight="1" x14ac:dyDescent="0.3">
      <c r="A1243" s="41">
        <f>表1[[#This Row],[订单日期]]</f>
        <v>45921</v>
      </c>
      <c r="B1243" s="42">
        <f>原始数据!G1243/(原始数据!G$2/100)</f>
        <v>150</v>
      </c>
      <c r="C1243" s="42">
        <f>原始数据!J1243/(原始数据!J$2/100)</f>
        <v>493.89007313432791</v>
      </c>
    </row>
    <row r="1244" spans="1:3" ht="18" customHeight="1" x14ac:dyDescent="0.3">
      <c r="A1244" s="41">
        <f>表1[[#This Row],[订单日期]]</f>
        <v>45921</v>
      </c>
      <c r="B1244" s="42">
        <f>原始数据!G1244/(原始数据!G$2/100)</f>
        <v>150</v>
      </c>
      <c r="C1244" s="42">
        <f>原始数据!J1244/(原始数据!J$2/100)</f>
        <v>433.60846995243128</v>
      </c>
    </row>
    <row r="1245" spans="1:3" ht="18" customHeight="1" x14ac:dyDescent="0.3">
      <c r="A1245" s="41">
        <f>表1[[#This Row],[订单日期]]</f>
        <v>45921</v>
      </c>
      <c r="B1245" s="42">
        <f>原始数据!G1245/(原始数据!G$2/100)</f>
        <v>150</v>
      </c>
      <c r="C1245" s="42">
        <f>原始数据!J1245/(原始数据!J$2/100)</f>
        <v>389.39457350100344</v>
      </c>
    </row>
    <row r="1246" spans="1:3" ht="18" customHeight="1" x14ac:dyDescent="0.3">
      <c r="A1246" s="41">
        <f>表1[[#This Row],[订单日期]]</f>
        <v>45921</v>
      </c>
      <c r="B1246" s="42">
        <f>原始数据!G1246/(原始数据!G$2/100)</f>
        <v>400</v>
      </c>
      <c r="C1246" s="42">
        <f>原始数据!J1246/(原始数据!J$2/100)</f>
        <v>139.84569642227379</v>
      </c>
    </row>
    <row r="1247" spans="1:3" ht="18" customHeight="1" x14ac:dyDescent="0.3">
      <c r="A1247" s="41">
        <f>表1[[#This Row],[订单日期]]</f>
        <v>45921</v>
      </c>
      <c r="B1247" s="42">
        <f>原始数据!G1247/(原始数据!G$2/100)</f>
        <v>400</v>
      </c>
      <c r="C1247" s="42">
        <f>原始数据!J1247/(原始数据!J$2/100)</f>
        <v>98.956153087494641</v>
      </c>
    </row>
    <row r="1248" spans="1:3" ht="18" customHeight="1" x14ac:dyDescent="0.3">
      <c r="A1248" s="41">
        <f>表1[[#This Row],[订单日期]]</f>
        <v>45921</v>
      </c>
      <c r="B1248" s="42">
        <f>原始数据!G1248/(原始数据!G$2/100)</f>
        <v>400</v>
      </c>
      <c r="C1248" s="42">
        <f>原始数据!J1248/(原始数据!J$2/100)</f>
        <v>39.893479381702555</v>
      </c>
    </row>
    <row r="1249" spans="1:3" ht="18" customHeight="1" x14ac:dyDescent="0.3">
      <c r="A1249" s="41">
        <f>表1[[#This Row],[订单日期]]</f>
        <v>45921</v>
      </c>
      <c r="B1249" s="42">
        <f>原始数据!G1249/(原始数据!G$2/100)</f>
        <v>400</v>
      </c>
      <c r="C1249" s="42">
        <f>原始数据!J1249/(原始数据!J$2/100)</f>
        <v>226.61131276680513</v>
      </c>
    </row>
    <row r="1250" spans="1:3" ht="18" customHeight="1" x14ac:dyDescent="0.3">
      <c r="A1250" s="41">
        <f>表1[[#This Row],[订单日期]]</f>
        <v>45921</v>
      </c>
      <c r="B1250" s="42">
        <f>原始数据!G1250/(原始数据!G$2/100)</f>
        <v>400</v>
      </c>
      <c r="C1250" s="42">
        <f>原始数据!J1250/(原始数据!J$2/100)</f>
        <v>251.65477291222541</v>
      </c>
    </row>
    <row r="1251" spans="1:3" ht="18" customHeight="1" x14ac:dyDescent="0.3">
      <c r="A1251" s="41">
        <f>表1[[#This Row],[订单日期]]</f>
        <v>45921</v>
      </c>
      <c r="B1251" s="42">
        <f>原始数据!G1251/(原始数据!G$2/100)</f>
        <v>400</v>
      </c>
      <c r="C1251" s="42">
        <f>原始数据!J1251/(原始数据!J$2/100)</f>
        <v>247.00067854891722</v>
      </c>
    </row>
    <row r="1252" spans="1:3" ht="18" customHeight="1" x14ac:dyDescent="0.3">
      <c r="A1252" s="41">
        <f>表1[[#This Row],[订单日期]]</f>
        <v>45921</v>
      </c>
      <c r="B1252" s="42">
        <f>原始数据!G1252/(原始数据!G$2/100)</f>
        <v>400</v>
      </c>
      <c r="C1252" s="42">
        <f>原始数据!J1252/(原始数据!J$2/100)</f>
        <v>313.37692911133649</v>
      </c>
    </row>
    <row r="1253" spans="1:3" ht="18" customHeight="1" x14ac:dyDescent="0.3">
      <c r="A1253" s="41">
        <f>表1[[#This Row],[订单日期]]</f>
        <v>45921</v>
      </c>
      <c r="B1253" s="42">
        <f>原始数据!G1253/(原始数据!G$2/100)</f>
        <v>400</v>
      </c>
      <c r="C1253" s="42">
        <f>原始数据!J1253/(原始数据!J$2/100)</f>
        <v>161.45399168049042</v>
      </c>
    </row>
    <row r="1254" spans="1:3" ht="18" customHeight="1" x14ac:dyDescent="0.3">
      <c r="A1254" s="41">
        <f>表1[[#This Row],[订单日期]]</f>
        <v>45921</v>
      </c>
      <c r="B1254" s="42">
        <f>原始数据!G1254/(原始数据!G$2/100)</f>
        <v>400</v>
      </c>
      <c r="C1254" s="42">
        <f>原始数据!J1254/(原始数据!J$2/100)</f>
        <v>294.76055165810368</v>
      </c>
    </row>
    <row r="1255" spans="1:3" ht="18" customHeight="1" x14ac:dyDescent="0.3">
      <c r="A1255" s="41">
        <f>表1[[#This Row],[订单日期]]</f>
        <v>45921</v>
      </c>
      <c r="B1255" s="42">
        <f>原始数据!G1255/(原始数据!G$2/100)</f>
        <v>400</v>
      </c>
      <c r="C1255" s="42">
        <f>原始数据!J1255/(原始数据!J$2/100)</f>
        <v>317.69858816297983</v>
      </c>
    </row>
    <row r="1256" spans="1:3" ht="18" customHeight="1" x14ac:dyDescent="0.3">
      <c r="A1256" s="41">
        <f>表1[[#This Row],[订单日期]]</f>
        <v>45921</v>
      </c>
      <c r="B1256" s="42">
        <f>原始数据!G1256/(原始数据!G$2/100)</f>
        <v>400</v>
      </c>
      <c r="C1256" s="42">
        <f>原始数据!J1256/(原始数据!J$2/100)</f>
        <v>379.53155613264585</v>
      </c>
    </row>
    <row r="1257" spans="1:3" ht="18" customHeight="1" x14ac:dyDescent="0.3">
      <c r="A1257" s="41">
        <f>表1[[#This Row],[订单日期]]</f>
        <v>45921</v>
      </c>
      <c r="B1257" s="42">
        <f>原始数据!G1257/(原始数据!G$2/100)</f>
        <v>400</v>
      </c>
      <c r="C1257" s="42">
        <f>原始数据!J1257/(原始数据!J$2/100)</f>
        <v>89.537152590323302</v>
      </c>
    </row>
    <row r="1258" spans="1:3" ht="18" customHeight="1" x14ac:dyDescent="0.3">
      <c r="A1258" s="41">
        <f>表1[[#This Row],[订单日期]]</f>
        <v>45921</v>
      </c>
      <c r="B1258" s="42">
        <f>原始数据!G1258/(原始数据!G$2/100)</f>
        <v>400</v>
      </c>
      <c r="C1258" s="42">
        <f>原始数据!J1258/(原始数据!J$2/100)</f>
        <v>110.81301253687505</v>
      </c>
    </row>
    <row r="1259" spans="1:3" ht="18" customHeight="1" x14ac:dyDescent="0.3">
      <c r="A1259" s="41">
        <f>表1[[#This Row],[订单日期]]</f>
        <v>45921</v>
      </c>
      <c r="B1259" s="42">
        <f>原始数据!G1259/(原始数据!G$2/100)</f>
        <v>400</v>
      </c>
      <c r="C1259" s="42">
        <f>原始数据!J1259/(原始数据!J$2/100)</f>
        <v>137.40783747006472</v>
      </c>
    </row>
    <row r="1260" spans="1:3" ht="18" customHeight="1" x14ac:dyDescent="0.3">
      <c r="A1260" s="41">
        <f>表1[[#This Row],[订单日期]]</f>
        <v>45921</v>
      </c>
      <c r="B1260" s="42">
        <f>原始数据!G1260/(原始数据!G$2/100)</f>
        <v>400</v>
      </c>
      <c r="C1260" s="42">
        <f>原始数据!J1260/(原始数据!J$2/100)</f>
        <v>173.64328644153568</v>
      </c>
    </row>
    <row r="1261" spans="1:3" ht="18" customHeight="1" x14ac:dyDescent="0.3">
      <c r="A1261" s="41">
        <f>表1[[#This Row],[订单日期]]</f>
        <v>45921</v>
      </c>
      <c r="B1261" s="42">
        <f>原始数据!G1261/(原始数据!G$2/100)</f>
        <v>400</v>
      </c>
      <c r="C1261" s="42">
        <f>原始数据!J1261/(原始数据!J$2/100)</f>
        <v>433.82932370457479</v>
      </c>
    </row>
    <row r="1262" spans="1:3" ht="18" customHeight="1" x14ac:dyDescent="0.3">
      <c r="A1262" s="41">
        <f>表1[[#This Row],[订单日期]]</f>
        <v>45921</v>
      </c>
      <c r="B1262" s="42">
        <f>原始数据!G1262/(原始数据!G$2/100)</f>
        <v>400</v>
      </c>
      <c r="C1262" s="42">
        <f>原始数据!J1262/(原始数据!J$2/100)</f>
        <v>468.18097257661151</v>
      </c>
    </row>
    <row r="1263" spans="1:3" ht="18" customHeight="1" x14ac:dyDescent="0.3">
      <c r="A1263" s="41">
        <f>表1[[#This Row],[订单日期]]</f>
        <v>45921</v>
      </c>
      <c r="B1263" s="42">
        <f>原始数据!G1263/(原始数据!G$2/100)</f>
        <v>400</v>
      </c>
      <c r="C1263" s="42">
        <f>原始数据!J1263/(原始数据!J$2/100)</f>
        <v>71.031586907645476</v>
      </c>
    </row>
    <row r="1264" spans="1:3" ht="18" customHeight="1" x14ac:dyDescent="0.3">
      <c r="A1264" s="41">
        <f>表1[[#This Row],[订单日期]]</f>
        <v>45921</v>
      </c>
      <c r="B1264" s="42">
        <f>原始数据!G1264/(原始数据!G$2/100)</f>
        <v>700</v>
      </c>
      <c r="C1264" s="42">
        <f>原始数据!J1264/(原始数据!J$2/100)</f>
        <v>25.441285910393539</v>
      </c>
    </row>
    <row r="1265" spans="1:3" ht="18" customHeight="1" x14ac:dyDescent="0.3">
      <c r="A1265" s="41">
        <f>表1[[#This Row],[订单日期]]</f>
        <v>45921</v>
      </c>
      <c r="B1265" s="42">
        <f>原始数据!G1265/(原始数据!G$2/100)</f>
        <v>700</v>
      </c>
      <c r="C1265" s="42">
        <f>原始数据!J1265/(原始数据!J$2/100)</f>
        <v>302.35990052723116</v>
      </c>
    </row>
    <row r="1266" spans="1:3" ht="18" customHeight="1" x14ac:dyDescent="0.3">
      <c r="A1266" s="41">
        <f>表1[[#This Row],[订单日期]]</f>
        <v>45921</v>
      </c>
      <c r="B1266" s="42">
        <f>原始数据!G1266/(原始数据!G$2/100)</f>
        <v>700</v>
      </c>
      <c r="C1266" s="42">
        <f>原始数据!J1266/(原始数据!J$2/100)</f>
        <v>438.88000185093819</v>
      </c>
    </row>
    <row r="1267" spans="1:3" ht="18" customHeight="1" x14ac:dyDescent="0.3">
      <c r="A1267" s="41">
        <f>表1[[#This Row],[订单日期]]</f>
        <v>45921</v>
      </c>
      <c r="B1267" s="42">
        <f>原始数据!G1267/(原始数据!G$2/100)</f>
        <v>700</v>
      </c>
      <c r="C1267" s="42">
        <f>原始数据!J1267/(原始数据!J$2/100)</f>
        <v>62.784852587414058</v>
      </c>
    </row>
    <row r="1268" spans="1:3" ht="18" customHeight="1" x14ac:dyDescent="0.3">
      <c r="A1268" s="41">
        <f>表1[[#This Row],[订单日期]]</f>
        <v>45921</v>
      </c>
      <c r="B1268" s="42">
        <f>原始数据!G1268/(原始数据!G$2/100)</f>
        <v>700</v>
      </c>
      <c r="C1268" s="42">
        <f>原始数据!J1268/(原始数据!J$2/100)</f>
        <v>236.75933235869658</v>
      </c>
    </row>
    <row r="1269" spans="1:3" ht="18" customHeight="1" x14ac:dyDescent="0.3">
      <c r="A1269" s="41">
        <f>表1[[#This Row],[订单日期]]</f>
        <v>45921</v>
      </c>
      <c r="B1269" s="42">
        <f>原始数据!G1269/(原始数据!G$2/100)</f>
        <v>700</v>
      </c>
      <c r="C1269" s="42">
        <f>原始数据!J1269/(原始数据!J$2/100)</f>
        <v>113.2042081899195</v>
      </c>
    </row>
    <row r="1270" spans="1:3" ht="18" customHeight="1" x14ac:dyDescent="0.3">
      <c r="A1270" s="41">
        <f>表1[[#This Row],[订单日期]]</f>
        <v>45921</v>
      </c>
      <c r="B1270" s="42">
        <f>原始数据!G1270/(原始数据!G$2/100)</f>
        <v>700</v>
      </c>
      <c r="C1270" s="42">
        <f>原始数据!J1270/(原始数据!J$2/100)</f>
        <v>266.78932217908994</v>
      </c>
    </row>
    <row r="1271" spans="1:3" ht="18" customHeight="1" x14ac:dyDescent="0.3">
      <c r="A1271" s="41">
        <f>表1[[#This Row],[订单日期]]</f>
        <v>45921</v>
      </c>
      <c r="B1271" s="42">
        <f>原始数据!G1271/(原始数据!G$2/100)</f>
        <v>700</v>
      </c>
      <c r="C1271" s="42">
        <f>原始数据!J1271/(原始数据!J$2/100)</f>
        <v>131.82058564315227</v>
      </c>
    </row>
    <row r="1272" spans="1:3" ht="18" customHeight="1" x14ac:dyDescent="0.3">
      <c r="A1272" s="41">
        <f>表1[[#This Row],[订单日期]]</f>
        <v>45921</v>
      </c>
      <c r="B1272" s="42">
        <f>原始数据!G1272/(原始数据!G$2/100)</f>
        <v>700</v>
      </c>
      <c r="C1272" s="42">
        <f>原始数据!J1272/(原始数据!J$2/100)</f>
        <v>345.02243219088956</v>
      </c>
    </row>
    <row r="1273" spans="1:3" ht="18" customHeight="1" x14ac:dyDescent="0.3">
      <c r="A1273" s="41">
        <f>表1[[#This Row],[订单日期]]</f>
        <v>45921</v>
      </c>
      <c r="B1273" s="42">
        <f>原始数据!G1273/(原始数据!G$2/100)</f>
        <v>750</v>
      </c>
      <c r="C1273" s="42">
        <f>原始数据!J1273/(原始数据!J$2/100)</f>
        <v>439.85963092192662</v>
      </c>
    </row>
    <row r="1274" spans="1:3" ht="18" customHeight="1" x14ac:dyDescent="0.3">
      <c r="A1274" s="41">
        <f>表1[[#This Row],[订单日期]]</f>
        <v>45921</v>
      </c>
      <c r="B1274" s="42">
        <f>原始数据!G1274/(原始数据!G$2/100)</f>
        <v>750</v>
      </c>
      <c r="C1274" s="42">
        <f>原始数据!J1274/(原始数据!J$2/100)</f>
        <v>86.740132581412411</v>
      </c>
    </row>
    <row r="1275" spans="1:3" ht="18" customHeight="1" x14ac:dyDescent="0.3">
      <c r="A1275" s="41">
        <f>表1[[#This Row],[订单日期]]</f>
        <v>45921</v>
      </c>
      <c r="B1275" s="42">
        <f>原始数据!G1275/(原始数据!G$2/100)</f>
        <v>750</v>
      </c>
      <c r="C1275" s="42">
        <f>原始数据!J1275/(原始数据!J$2/100)</f>
        <v>218.34690158256754</v>
      </c>
    </row>
    <row r="1276" spans="1:3" ht="18" customHeight="1" x14ac:dyDescent="0.3">
      <c r="A1276" s="41">
        <f>表1[[#This Row],[订单日期]]</f>
        <v>45921</v>
      </c>
      <c r="B1276" s="42">
        <f>原始数据!G1276/(原始数据!G$2/100)</f>
        <v>750</v>
      </c>
      <c r="C1276" s="42">
        <f>原始数据!J1276/(原始数据!J$2/100)</f>
        <v>386.81840724423603</v>
      </c>
    </row>
    <row r="1277" spans="1:3" ht="18" customHeight="1" x14ac:dyDescent="0.3">
      <c r="A1277" s="41">
        <f>表1[[#This Row],[订单日期]]</f>
        <v>45921</v>
      </c>
      <c r="B1277" s="42">
        <f>原始数据!G1277/(原始数据!G$2/100)</f>
        <v>750</v>
      </c>
      <c r="C1277" s="42">
        <f>原始数据!J1277/(原始数据!J$2/100)</f>
        <v>435.42716009972833</v>
      </c>
    </row>
    <row r="1278" spans="1:3" ht="18" customHeight="1" x14ac:dyDescent="0.3">
      <c r="A1278" s="41">
        <f>表1[[#This Row],[订单日期]]</f>
        <v>45921</v>
      </c>
      <c r="B1278" s="42">
        <f>原始数据!G1278/(原始数据!G$2/100)</f>
        <v>750</v>
      </c>
      <c r="C1278" s="42">
        <f>原始数据!J1278/(原始数据!J$2/100)</f>
        <v>352.02351128997952</v>
      </c>
    </row>
    <row r="1279" spans="1:3" ht="18" customHeight="1" x14ac:dyDescent="0.3">
      <c r="A1279" s="41">
        <f>表1[[#This Row],[订单日期]]</f>
        <v>45921</v>
      </c>
      <c r="B1279" s="42">
        <f>原始数据!G1279/(原始数据!G$2/100)</f>
        <v>750</v>
      </c>
      <c r="C1279" s="42">
        <f>原始数据!J1279/(原始数据!J$2/100)</f>
        <v>277.18795174724971</v>
      </c>
    </row>
    <row r="1280" spans="1:3" ht="18" customHeight="1" x14ac:dyDescent="0.3">
      <c r="A1280" s="41">
        <f>表1[[#This Row],[订单日期]]</f>
        <v>45921</v>
      </c>
      <c r="B1280" s="42">
        <f>原始数据!G1280/(原始数据!G$2/100)</f>
        <v>750</v>
      </c>
      <c r="C1280" s="42">
        <f>原始数据!J1280/(原始数据!J$2/100)</f>
        <v>378.83995976427912</v>
      </c>
    </row>
    <row r="1281" spans="1:3" ht="18" customHeight="1" x14ac:dyDescent="0.3">
      <c r="A1281" s="41">
        <f>表1[[#This Row],[订单日期]]</f>
        <v>45921</v>
      </c>
      <c r="B1281" s="42">
        <f>原始数据!G1281/(原始数据!G$2/100)</f>
        <v>750</v>
      </c>
      <c r="C1281" s="42">
        <f>原始数据!J1281/(原始数据!J$2/100)</f>
        <v>221.67125469921623</v>
      </c>
    </row>
    <row r="1282" spans="1:3" ht="18" customHeight="1" x14ac:dyDescent="0.3">
      <c r="A1282" s="41">
        <f>表1[[#This Row],[订单日期]]</f>
        <v>45921</v>
      </c>
      <c r="B1282" s="42">
        <f>原始数据!G1282/(原始数据!G$2/100)</f>
        <v>750</v>
      </c>
      <c r="C1282" s="42">
        <f>原始数据!J1282/(原始数据!J$2/100)</f>
        <v>402.88611397470481</v>
      </c>
    </row>
    <row r="1283" spans="1:3" ht="18" customHeight="1" x14ac:dyDescent="0.3">
      <c r="A1283" s="41">
        <f>表1[[#This Row],[订单日期]]</f>
        <v>45921</v>
      </c>
      <c r="B1283" s="42">
        <f>原始数据!G1283/(原始数据!G$2/100)</f>
        <v>750</v>
      </c>
      <c r="C1283" s="42">
        <f>原始数据!J1283/(原始数据!J$2/100)</f>
        <v>47.91839846904363</v>
      </c>
    </row>
    <row r="1284" spans="1:3" ht="18" customHeight="1" x14ac:dyDescent="0.3">
      <c r="A1284" s="41">
        <f>表1[[#This Row],[订单日期]]</f>
        <v>45921</v>
      </c>
      <c r="B1284" s="42">
        <f>原始数据!G1284/(原始数据!G$2/100)</f>
        <v>750</v>
      </c>
      <c r="C1284" s="42">
        <f>原始数据!J1284/(原始数据!J$2/100)</f>
        <v>427.70795057901518</v>
      </c>
    </row>
    <row r="1285" spans="1:3" ht="18" customHeight="1" x14ac:dyDescent="0.3">
      <c r="A1285" s="41">
        <f>表1[[#This Row],[订单日期]]</f>
        <v>45921</v>
      </c>
      <c r="B1285" s="42">
        <f>原始数据!G1285/(原始数据!G$2/100)</f>
        <v>750</v>
      </c>
      <c r="C1285" s="42">
        <f>原始数据!J1285/(原始数据!J$2/100)</f>
        <v>157.40042777734118</v>
      </c>
    </row>
    <row r="1286" spans="1:3" ht="18" customHeight="1" x14ac:dyDescent="0.3">
      <c r="A1286" s="41">
        <f>表1[[#This Row],[订单日期]]</f>
        <v>45921</v>
      </c>
      <c r="B1286" s="42">
        <f>原始数据!G1286/(原始数据!G$2/100)</f>
        <v>750</v>
      </c>
      <c r="C1286" s="42">
        <f>原始数据!J1286/(原始数据!J$2/100)</f>
        <v>84.302273629203356</v>
      </c>
    </row>
    <row r="1287" spans="1:3" ht="18" customHeight="1" x14ac:dyDescent="0.3">
      <c r="A1287" s="41">
        <f>表1[[#This Row],[订单日期]]</f>
        <v>45921</v>
      </c>
      <c r="B1287" s="42">
        <f>原始数据!G1287/(原始数据!G$2/100)</f>
        <v>750</v>
      </c>
      <c r="C1287" s="42">
        <f>原始数据!J1287/(原始数据!J$2/100)</f>
        <v>342.78851991578426</v>
      </c>
    </row>
    <row r="1288" spans="1:3" ht="18" customHeight="1" x14ac:dyDescent="0.3">
      <c r="A1288" s="41">
        <f>表1[[#This Row],[订单日期]]</f>
        <v>45921</v>
      </c>
      <c r="B1288" s="42">
        <f>原始数据!G1288/(原始数据!G$2/100)</f>
        <v>750</v>
      </c>
      <c r="C1288" s="42">
        <f>原始数据!J1288/(原始数据!J$2/100)</f>
        <v>437.12695107618651</v>
      </c>
    </row>
    <row r="1289" spans="1:3" ht="18" customHeight="1" x14ac:dyDescent="0.3">
      <c r="A1289" s="41">
        <f>表1[[#This Row],[订单日期]]</f>
        <v>45921</v>
      </c>
      <c r="B1289" s="42">
        <f>原始数据!G1289/(原始数据!G$2/100)</f>
        <v>750</v>
      </c>
      <c r="C1289" s="42">
        <f>原始数据!J1289/(原始数据!J$2/100)</f>
        <v>387.11322813776707</v>
      </c>
    </row>
    <row r="1290" spans="1:3" ht="18" customHeight="1" x14ac:dyDescent="0.3">
      <c r="A1290" s="41">
        <f>表1[[#This Row],[订单日期]]</f>
        <v>45921</v>
      </c>
      <c r="B1290" s="42">
        <f>原始数据!G1290/(原始数据!G$2/100)</f>
        <v>750</v>
      </c>
      <c r="C1290" s="42">
        <f>原始数据!J1290/(原始数据!J$2/100)</f>
        <v>178.2706550598069</v>
      </c>
    </row>
    <row r="1291" spans="1:3" ht="18" customHeight="1" x14ac:dyDescent="0.3">
      <c r="A1291" s="41">
        <f>表1[[#This Row],[订单日期]]</f>
        <v>45922</v>
      </c>
      <c r="B1291" s="42">
        <f>原始数据!G1291/(原始数据!G$2/100)</f>
        <v>300</v>
      </c>
      <c r="C1291" s="42">
        <f>原始数据!J1291/(原始数据!J$2/100)</f>
        <v>292.94337173123358</v>
      </c>
    </row>
    <row r="1292" spans="1:3" ht="18" customHeight="1" x14ac:dyDescent="0.3">
      <c r="A1292" s="41">
        <f>表1[[#This Row],[订单日期]]</f>
        <v>45922</v>
      </c>
      <c r="B1292" s="42">
        <f>原始数据!G1292/(原始数据!G$2/100)</f>
        <v>300</v>
      </c>
      <c r="C1292" s="42">
        <f>原始数据!J1292/(原始数据!J$2/100)</f>
        <v>156.20164686641664</v>
      </c>
    </row>
    <row r="1293" spans="1:3" ht="18" customHeight="1" x14ac:dyDescent="0.3">
      <c r="A1293" s="41">
        <f>表1[[#This Row],[订单日期]]</f>
        <v>45922</v>
      </c>
      <c r="B1293" s="42">
        <f>原始数据!G1293/(原始数据!G$2/100)</f>
        <v>300</v>
      </c>
      <c r="C1293" s="42">
        <f>原始数据!J1293/(原始数据!J$2/100)</f>
        <v>64.338689076357284</v>
      </c>
    </row>
    <row r="1294" spans="1:3" ht="18" customHeight="1" x14ac:dyDescent="0.3">
      <c r="A1294" s="41">
        <f>表1[[#This Row],[订单日期]]</f>
        <v>45922</v>
      </c>
      <c r="B1294" s="42">
        <f>原始数据!G1294/(原始数据!G$2/100)</f>
        <v>300</v>
      </c>
      <c r="C1294" s="42">
        <f>原始数据!J1294/(原始数据!J$2/100)</f>
        <v>495.06404122347521</v>
      </c>
    </row>
    <row r="1295" spans="1:3" ht="18" customHeight="1" x14ac:dyDescent="0.3">
      <c r="A1295" s="41">
        <f>表1[[#This Row],[订单日期]]</f>
        <v>45922</v>
      </c>
      <c r="B1295" s="42">
        <f>原始数据!G1295/(原始数据!G$2/100)</f>
        <v>300</v>
      </c>
      <c r="C1295" s="42">
        <f>原始数据!J1295/(原始数据!J$2/100)</f>
        <v>167.72607100413217</v>
      </c>
    </row>
    <row r="1296" spans="1:3" ht="18" customHeight="1" x14ac:dyDescent="0.3">
      <c r="A1296" s="41">
        <f>表1[[#This Row],[订单日期]]</f>
        <v>45922</v>
      </c>
      <c r="B1296" s="42">
        <f>原始数据!G1296/(原始数据!G$2/100)</f>
        <v>300</v>
      </c>
      <c r="C1296" s="42">
        <f>原始数据!J1296/(原始数据!J$2/100)</f>
        <v>267.3458527330385</v>
      </c>
    </row>
    <row r="1297" spans="1:3" ht="18" customHeight="1" x14ac:dyDescent="0.3">
      <c r="A1297" s="41">
        <f>表1[[#This Row],[订单日期]]</f>
        <v>45922</v>
      </c>
      <c r="B1297" s="42">
        <f>原始数据!G1297/(原始数据!G$2/100)</f>
        <v>300</v>
      </c>
      <c r="C1297" s="42">
        <f>原始数据!J1297/(原始数据!J$2/100)</f>
        <v>281.52975936407302</v>
      </c>
    </row>
    <row r="1298" spans="1:3" ht="18" customHeight="1" x14ac:dyDescent="0.3">
      <c r="A1298" s="41">
        <f>表1[[#This Row],[订单日期]]</f>
        <v>45922</v>
      </c>
      <c r="B1298" s="42">
        <f>原始数据!G1298/(原始数据!G$2/100)</f>
        <v>300</v>
      </c>
      <c r="C1298" s="42">
        <f>原始数据!J1298/(原始数据!J$2/100)</f>
        <v>464.14755723864221</v>
      </c>
    </row>
    <row r="1299" spans="1:3" ht="18" customHeight="1" x14ac:dyDescent="0.3">
      <c r="A1299" s="41">
        <f>表1[[#This Row],[订单日期]]</f>
        <v>45922</v>
      </c>
      <c r="B1299" s="42">
        <f>原始数据!G1299/(原始数据!G$2/100)</f>
        <v>300</v>
      </c>
      <c r="C1299" s="42">
        <f>原始数据!J1299/(原始数据!J$2/100)</f>
        <v>264.0214996163898</v>
      </c>
    </row>
    <row r="1300" spans="1:3" ht="18" customHeight="1" x14ac:dyDescent="0.3">
      <c r="A1300" s="41">
        <f>表1[[#This Row],[订单日期]]</f>
        <v>45922</v>
      </c>
      <c r="B1300" s="42">
        <f>原始数据!G1300/(原始数据!G$2/100)</f>
        <v>450</v>
      </c>
      <c r="C1300" s="42">
        <f>原始数据!J1300/(原始数据!J$2/100)</f>
        <v>245.15148450150528</v>
      </c>
    </row>
    <row r="1301" spans="1:3" ht="18" customHeight="1" x14ac:dyDescent="0.3">
      <c r="A1301" s="41">
        <f>表1[[#This Row],[订单日期]]</f>
        <v>45922</v>
      </c>
      <c r="B1301" s="42">
        <f>原始数据!G1301/(原始数据!G$2/100)</f>
        <v>450</v>
      </c>
      <c r="C1301" s="42">
        <f>原始数据!J1301/(原始数据!J$2/100)</f>
        <v>383.88782123631148</v>
      </c>
    </row>
    <row r="1302" spans="1:3" ht="18" customHeight="1" x14ac:dyDescent="0.3">
      <c r="A1302" s="41">
        <f>表1[[#This Row],[订单日期]]</f>
        <v>45922</v>
      </c>
      <c r="B1302" s="42">
        <f>原始数据!G1302/(原始数据!G$2/100)</f>
        <v>450</v>
      </c>
      <c r="C1302" s="42">
        <f>原始数据!J1302/(原始数据!J$2/100)</f>
        <v>184.53744600794377</v>
      </c>
    </row>
    <row r="1303" spans="1:3" ht="18" customHeight="1" x14ac:dyDescent="0.3">
      <c r="A1303" s="41">
        <f>表1[[#This Row],[订单日期]]</f>
        <v>45922</v>
      </c>
      <c r="B1303" s="42">
        <f>原始数据!G1303/(原始数据!G$2/100)</f>
        <v>450</v>
      </c>
      <c r="C1303" s="42">
        <f>原始数据!J1303/(原始数据!J$2/100)</f>
        <v>94.779911858428605</v>
      </c>
    </row>
    <row r="1304" spans="1:3" ht="18" customHeight="1" x14ac:dyDescent="0.3">
      <c r="A1304" s="41">
        <f>表1[[#This Row],[订单日期]]</f>
        <v>45922</v>
      </c>
      <c r="B1304" s="42">
        <f>原始数据!G1304/(原始数据!G$2/100)</f>
        <v>450</v>
      </c>
      <c r="C1304" s="42">
        <f>原始数据!J1304/(原始数据!J$2/100)</f>
        <v>87.35552323124648</v>
      </c>
    </row>
    <row r="1305" spans="1:3" ht="18" customHeight="1" x14ac:dyDescent="0.3">
      <c r="A1305" s="41">
        <f>表1[[#This Row],[订单日期]]</f>
        <v>45922</v>
      </c>
      <c r="B1305" s="42">
        <f>原始数据!G1305/(原始数据!G$2/100)</f>
        <v>450</v>
      </c>
      <c r="C1305" s="42">
        <f>原始数据!J1305/(原始数据!J$2/100)</f>
        <v>372.47420886915091</v>
      </c>
    </row>
    <row r="1306" spans="1:3" ht="18" customHeight="1" x14ac:dyDescent="0.3">
      <c r="A1306" s="41">
        <f>表1[[#This Row],[订单日期]]</f>
        <v>45922</v>
      </c>
      <c r="B1306" s="42">
        <f>原始数据!G1306/(原始数据!G$2/100)</f>
        <v>450</v>
      </c>
      <c r="C1306" s="42">
        <f>原始数据!J1306/(原始数据!J$2/100)</f>
        <v>149.96417359479719</v>
      </c>
    </row>
    <row r="1307" spans="1:3" ht="18" customHeight="1" x14ac:dyDescent="0.3">
      <c r="A1307" s="41">
        <f>表1[[#This Row],[订单日期]]</f>
        <v>45922</v>
      </c>
      <c r="B1307" s="42">
        <f>原始数据!G1307/(原始数据!G$2/100)</f>
        <v>450</v>
      </c>
      <c r="C1307" s="42">
        <f>原始数据!J1307/(原始数据!J$2/100)</f>
        <v>399.40146911400547</v>
      </c>
    </row>
    <row r="1308" spans="1:3" ht="18" customHeight="1" x14ac:dyDescent="0.3">
      <c r="A1308" s="41">
        <f>表1[[#This Row],[订单日期]]</f>
        <v>45922</v>
      </c>
      <c r="B1308" s="42">
        <f>原始数据!G1308/(原始数据!G$2/100)</f>
        <v>450</v>
      </c>
      <c r="C1308" s="42">
        <f>原始数据!J1308/(原始数据!J$2/100)</f>
        <v>354.07945495702802</v>
      </c>
    </row>
    <row r="1309" spans="1:3" ht="18" customHeight="1" x14ac:dyDescent="0.3">
      <c r="A1309" s="41">
        <f>表1[[#This Row],[订单日期]]</f>
        <v>45922</v>
      </c>
      <c r="B1309" s="42">
        <f>原始数据!G1309/(原始数据!G$2/100)</f>
        <v>500</v>
      </c>
      <c r="C1309" s="42">
        <f>原始数据!J1309/(原始数据!J$2/100)</f>
        <v>454.20306006018546</v>
      </c>
    </row>
    <row r="1310" spans="1:3" ht="18" customHeight="1" x14ac:dyDescent="0.3">
      <c r="A1310" s="41">
        <f>表1[[#This Row],[订单日期]]</f>
        <v>45922</v>
      </c>
      <c r="B1310" s="42">
        <f>原始数据!G1310/(原始数据!G$2/100)</f>
        <v>500</v>
      </c>
      <c r="C1310" s="42">
        <f>原始数据!J1310/(原始数据!J$2/100)</f>
        <v>447.33273028577815</v>
      </c>
    </row>
    <row r="1311" spans="1:3" ht="18" customHeight="1" x14ac:dyDescent="0.3">
      <c r="A1311" s="41">
        <f>表1[[#This Row],[订单日期]]</f>
        <v>45922</v>
      </c>
      <c r="B1311" s="42">
        <f>原始数据!G1311/(原始数据!G$2/100)</f>
        <v>500</v>
      </c>
      <c r="C1311" s="42">
        <f>原始数据!J1311/(原始数据!J$2/100)</f>
        <v>137.05977273189851</v>
      </c>
    </row>
    <row r="1312" spans="1:3" ht="18" customHeight="1" x14ac:dyDescent="0.3">
      <c r="A1312" s="41">
        <f>表1[[#This Row],[订单日期]]</f>
        <v>45922</v>
      </c>
      <c r="B1312" s="42">
        <f>原始数据!G1312/(原始数据!G$2/100)</f>
        <v>500</v>
      </c>
      <c r="C1312" s="42">
        <f>原始数据!J1312/(原始数据!J$2/100)</f>
        <v>546.06601785024486</v>
      </c>
    </row>
    <row r="1313" spans="1:3" ht="18" customHeight="1" x14ac:dyDescent="0.3">
      <c r="A1313" s="41">
        <f>表1[[#This Row],[订单日期]]</f>
        <v>45922</v>
      </c>
      <c r="B1313" s="42">
        <f>原始数据!G1313/(原始数据!G$2/100)</f>
        <v>500</v>
      </c>
      <c r="C1313" s="42">
        <f>原始数据!J1313/(原始数据!J$2/100)</f>
        <v>393.58902156662396</v>
      </c>
    </row>
    <row r="1314" spans="1:3" ht="18" customHeight="1" x14ac:dyDescent="0.3">
      <c r="A1314" s="41">
        <f>表1[[#This Row],[订单日期]]</f>
        <v>45922</v>
      </c>
      <c r="B1314" s="42">
        <f>原始数据!G1314/(原始数据!G$2/100)</f>
        <v>500</v>
      </c>
      <c r="C1314" s="42">
        <f>原始数据!J1314/(原始数据!J$2/100)</f>
        <v>107.36221822317002</v>
      </c>
    </row>
    <row r="1315" spans="1:3" ht="18" customHeight="1" x14ac:dyDescent="0.3">
      <c r="A1315" s="41">
        <f>表1[[#This Row],[订单日期]]</f>
        <v>45922</v>
      </c>
      <c r="B1315" s="42">
        <f>原始数据!G1315/(原始数据!G$2/100)</f>
        <v>500</v>
      </c>
      <c r="C1315" s="42">
        <f>原始数据!J1315/(原始数据!J$2/100)</f>
        <v>175.06821003224874</v>
      </c>
    </row>
    <row r="1316" spans="1:3" ht="18" customHeight="1" x14ac:dyDescent="0.3">
      <c r="A1316" s="41">
        <f>表1[[#This Row],[订单日期]]</f>
        <v>45922</v>
      </c>
      <c r="B1316" s="42">
        <f>原始数据!G1316/(原始数据!G$2/100)</f>
        <v>500</v>
      </c>
      <c r="C1316" s="42">
        <f>原始数据!J1316/(原始数据!J$2/100)</f>
        <v>478.91408489394087</v>
      </c>
    </row>
    <row r="1317" spans="1:3" ht="18" customHeight="1" x14ac:dyDescent="0.3">
      <c r="A1317" s="41">
        <f>表1[[#This Row],[订单日期]]</f>
        <v>45922</v>
      </c>
      <c r="B1317" s="42">
        <f>原始数据!G1317/(原始数据!G$2/100)</f>
        <v>500</v>
      </c>
      <c r="C1317" s="42">
        <f>原始数据!J1317/(原始数据!J$2/100)</f>
        <v>339.84531284746981</v>
      </c>
    </row>
    <row r="1318" spans="1:3" ht="18" customHeight="1" x14ac:dyDescent="0.3">
      <c r="A1318" s="41">
        <f>表1[[#This Row],[订单日期]]</f>
        <v>45922</v>
      </c>
      <c r="B1318" s="42">
        <f>原始数据!G1318/(原始数据!G$2/100)</f>
        <v>700</v>
      </c>
      <c r="C1318" s="42">
        <f>原始数据!J1318/(原始数据!J$2/100)</f>
        <v>132.37405835113282</v>
      </c>
    </row>
    <row r="1319" spans="1:3" ht="18" customHeight="1" x14ac:dyDescent="0.3">
      <c r="A1319" s="41">
        <f>表1[[#This Row],[订单日期]]</f>
        <v>45922</v>
      </c>
      <c r="B1319" s="42">
        <f>原始数据!G1319/(原始数据!G$2/100)</f>
        <v>700</v>
      </c>
      <c r="C1319" s="42">
        <f>原始数据!J1319/(原始数据!J$2/100)</f>
        <v>346.68402260441974</v>
      </c>
    </row>
    <row r="1320" spans="1:3" ht="18" customHeight="1" x14ac:dyDescent="0.3">
      <c r="A1320" s="41">
        <f>表1[[#This Row],[订单日期]]</f>
        <v>45922</v>
      </c>
      <c r="B1320" s="42">
        <f>原始数据!G1320/(原始数据!G$2/100)</f>
        <v>700</v>
      </c>
      <c r="C1320" s="42">
        <f>原始数据!J1320/(原始数据!J$2/100)</f>
        <v>184.23396697085269</v>
      </c>
    </row>
    <row r="1321" spans="1:3" ht="18" customHeight="1" x14ac:dyDescent="0.3">
      <c r="A1321" s="41">
        <f>表1[[#This Row],[订单日期]]</f>
        <v>45922</v>
      </c>
      <c r="B1321" s="42">
        <f>原始数据!G1321/(原始数据!G$2/100)</f>
        <v>700</v>
      </c>
      <c r="C1321" s="42">
        <f>原始数据!J1321/(原始数据!J$2/100)</f>
        <v>220.35860417176869</v>
      </c>
    </row>
    <row r="1322" spans="1:3" ht="18" customHeight="1" x14ac:dyDescent="0.3">
      <c r="A1322" s="41">
        <f>表1[[#This Row],[订单日期]]</f>
        <v>45922</v>
      </c>
      <c r="B1322" s="42">
        <f>原始数据!G1322/(原始数据!G$2/100)</f>
        <v>700</v>
      </c>
      <c r="C1322" s="42">
        <f>原始数据!J1322/(原始数据!J$2/100)</f>
        <v>303.24580854687656</v>
      </c>
    </row>
    <row r="1323" spans="1:3" ht="18" customHeight="1" x14ac:dyDescent="0.3">
      <c r="A1323" s="41">
        <f>表1[[#This Row],[订单日期]]</f>
        <v>45922</v>
      </c>
      <c r="B1323" s="42">
        <f>原始数据!G1323/(原始数据!G$2/100)</f>
        <v>700</v>
      </c>
      <c r="C1323" s="42">
        <f>原始数据!J1323/(原始数据!J$2/100)</f>
        <v>377.60050658925275</v>
      </c>
    </row>
    <row r="1324" spans="1:3" ht="18" customHeight="1" x14ac:dyDescent="0.3">
      <c r="A1324" s="41">
        <f>表1[[#This Row],[订单日期]]</f>
        <v>45922</v>
      </c>
      <c r="B1324" s="42">
        <f>原始数据!G1324/(原始数据!G$2/100)</f>
        <v>700</v>
      </c>
      <c r="C1324" s="42">
        <f>原始数据!J1324/(原始数据!J$2/100)</f>
        <v>215.92613334957042</v>
      </c>
    </row>
    <row r="1325" spans="1:3" ht="18" customHeight="1" x14ac:dyDescent="0.3">
      <c r="A1325" s="41">
        <f>表1[[#This Row],[订单日期]]</f>
        <v>45922</v>
      </c>
      <c r="B1325" s="42">
        <f>原始数据!G1325/(原始数据!G$2/100)</f>
        <v>700</v>
      </c>
      <c r="C1325" s="42">
        <f>原始数据!J1325/(原始数据!J$2/100)</f>
        <v>146.11471789994749</v>
      </c>
    </row>
    <row r="1326" spans="1:3" ht="18" customHeight="1" x14ac:dyDescent="0.3">
      <c r="A1326" s="41">
        <f>表1[[#This Row],[订单日期]]</f>
        <v>45922</v>
      </c>
      <c r="B1326" s="42">
        <f>原始数据!G1326/(原始数据!G$2/100)</f>
        <v>700</v>
      </c>
      <c r="C1326" s="42">
        <f>原始数据!J1326/(原始数据!J$2/100)</f>
        <v>368.18150609208141</v>
      </c>
    </row>
    <row r="1327" spans="1:3" ht="18" customHeight="1" x14ac:dyDescent="0.3">
      <c r="A1327" s="41">
        <f>表1[[#This Row],[订单日期]]</f>
        <v>45922</v>
      </c>
      <c r="B1327" s="42">
        <f>原始数据!G1327/(原始数据!G$2/100)</f>
        <v>950</v>
      </c>
      <c r="C1327" s="42">
        <f>原始数据!J1327/(原始数据!J$2/100)</f>
        <v>348.34708024342052</v>
      </c>
    </row>
    <row r="1328" spans="1:3" ht="18" customHeight="1" x14ac:dyDescent="0.3">
      <c r="A1328" s="41">
        <f>表1[[#This Row],[订单日期]]</f>
        <v>45922</v>
      </c>
      <c r="B1328" s="42">
        <f>原始数据!G1328/(原始数据!G$2/100)</f>
        <v>950</v>
      </c>
      <c r="C1328" s="42">
        <f>原始数据!J1328/(原始数据!J$2/100)</f>
        <v>22.449663041291945</v>
      </c>
    </row>
    <row r="1329" spans="1:3" ht="18" customHeight="1" x14ac:dyDescent="0.3">
      <c r="A1329" s="41">
        <f>表1[[#This Row],[订单日期]]</f>
        <v>45922</v>
      </c>
      <c r="B1329" s="42">
        <f>原始数据!G1329/(原始数据!G$2/100)</f>
        <v>950</v>
      </c>
      <c r="C1329" s="42">
        <f>原始数据!J1329/(原始数据!J$2/100)</f>
        <v>536.9487137279574</v>
      </c>
    </row>
    <row r="1330" spans="1:3" ht="18" customHeight="1" x14ac:dyDescent="0.3">
      <c r="A1330" s="41">
        <f>表1[[#This Row],[订单日期]]</f>
        <v>45922</v>
      </c>
      <c r="B1330" s="42">
        <f>原始数据!G1330/(原始数据!G$2/100)</f>
        <v>950</v>
      </c>
      <c r="C1330" s="42">
        <f>原始数据!J1330/(原始数据!J$2/100)</f>
        <v>387.13119993765548</v>
      </c>
    </row>
    <row r="1331" spans="1:3" ht="18" customHeight="1" x14ac:dyDescent="0.3">
      <c r="A1331" s="41">
        <f>表1[[#This Row],[订单日期]]</f>
        <v>45922</v>
      </c>
      <c r="B1331" s="42">
        <f>原始数据!G1331/(原始数据!G$2/100)</f>
        <v>950</v>
      </c>
      <c r="C1331" s="42">
        <f>原始数据!J1331/(原始数据!J$2/100)</f>
        <v>280.53027666378682</v>
      </c>
    </row>
    <row r="1332" spans="1:3" ht="18" customHeight="1" x14ac:dyDescent="0.3">
      <c r="A1332" s="41">
        <f>表1[[#This Row],[订单日期]]</f>
        <v>45922</v>
      </c>
      <c r="B1332" s="42">
        <f>原始数据!G1332/(原始数据!G$2/100)</f>
        <v>950</v>
      </c>
      <c r="C1332" s="42">
        <f>原始数据!J1332/(原始数据!J$2/100)</f>
        <v>354.22010408283325</v>
      </c>
    </row>
    <row r="1333" spans="1:3" ht="18" customHeight="1" x14ac:dyDescent="0.3">
      <c r="A1333" s="41">
        <f>表1[[#This Row],[订单日期]]</f>
        <v>45922</v>
      </c>
      <c r="B1333" s="42">
        <f>原始数据!G1333/(原始数据!G$2/100)</f>
        <v>950</v>
      </c>
      <c r="C1333" s="42">
        <f>原始数据!J1333/(原始数据!J$2/100)</f>
        <v>181.57536555821022</v>
      </c>
    </row>
    <row r="1334" spans="1:3" ht="18" customHeight="1" x14ac:dyDescent="0.3">
      <c r="A1334" s="41">
        <f>表1[[#This Row],[订单日期]]</f>
        <v>45922</v>
      </c>
      <c r="B1334" s="42">
        <f>原始数据!G1334/(原始数据!G$2/100)</f>
        <v>950</v>
      </c>
      <c r="C1334" s="42">
        <f>原始数据!J1334/(原始数据!J$2/100)</f>
        <v>283.18975915710581</v>
      </c>
    </row>
    <row r="1335" spans="1:3" ht="18" customHeight="1" x14ac:dyDescent="0.3">
      <c r="A1335" s="41">
        <f>表1[[#This Row],[订单日期]]</f>
        <v>45922</v>
      </c>
      <c r="B1335" s="42">
        <f>原始数据!G1335/(原始数据!G$2/100)</f>
        <v>950</v>
      </c>
      <c r="C1335" s="42">
        <f>原始数据!J1335/(原始数据!J$2/100)</f>
        <v>515.78366555196055</v>
      </c>
    </row>
    <row r="1336" spans="1:3" ht="18" customHeight="1" x14ac:dyDescent="0.3">
      <c r="A1336" s="41">
        <f>表1[[#This Row],[订单日期]]</f>
        <v>45922</v>
      </c>
      <c r="B1336" s="42">
        <f>原始数据!G1336/(原始数据!G$2/100)</f>
        <v>950</v>
      </c>
      <c r="C1336" s="42">
        <f>原始数据!J1336/(原始数据!J$2/100)</f>
        <v>390.34474128374922</v>
      </c>
    </row>
    <row r="1337" spans="1:3" ht="18" customHeight="1" x14ac:dyDescent="0.3">
      <c r="A1337" s="41">
        <f>表1[[#This Row],[订单日期]]</f>
        <v>45922</v>
      </c>
      <c r="B1337" s="42">
        <f>原始数据!G1337/(原始数据!G$2/100)</f>
        <v>950</v>
      </c>
      <c r="C1337" s="42">
        <f>原始数据!J1337/(原始数据!J$2/100)</f>
        <v>504.37005318479999</v>
      </c>
    </row>
    <row r="1338" spans="1:3" ht="18" customHeight="1" x14ac:dyDescent="0.3">
      <c r="A1338" s="41">
        <f>表1[[#This Row],[订单日期]]</f>
        <v>45922</v>
      </c>
      <c r="B1338" s="42">
        <f>原始数据!G1338/(原始数据!G$2/100)</f>
        <v>950</v>
      </c>
      <c r="C1338" s="42">
        <f>原始数据!J1338/(原始数据!J$2/100)</f>
        <v>497.61053518094764</v>
      </c>
    </row>
    <row r="1339" spans="1:3" ht="18" customHeight="1" x14ac:dyDescent="0.3">
      <c r="A1339" s="41">
        <f>表1[[#This Row],[订单日期]]</f>
        <v>45922</v>
      </c>
      <c r="B1339" s="42">
        <f>原始数据!G1339/(原始数据!G$2/100)</f>
        <v>950</v>
      </c>
      <c r="C1339" s="42">
        <f>原始数据!J1339/(原始数据!J$2/100)</f>
        <v>489.74289947154568</v>
      </c>
    </row>
    <row r="1340" spans="1:3" ht="18" customHeight="1" x14ac:dyDescent="0.3">
      <c r="A1340" s="41">
        <f>表1[[#This Row],[订单日期]]</f>
        <v>45922</v>
      </c>
      <c r="B1340" s="42">
        <f>原始数据!G1340/(原始数据!G$2/100)</f>
        <v>950</v>
      </c>
      <c r="C1340" s="42">
        <f>原始数据!J1340/(原始数据!J$2/100)</f>
        <v>464.6994393261254</v>
      </c>
    </row>
    <row r="1341" spans="1:3" ht="18" customHeight="1" x14ac:dyDescent="0.3">
      <c r="A1341" s="41">
        <f>表1[[#This Row],[订单日期]]</f>
        <v>45922</v>
      </c>
      <c r="B1341" s="42">
        <f>原始数据!G1341/(原始数据!G$2/100)</f>
        <v>950</v>
      </c>
      <c r="C1341" s="42">
        <f>原始数据!J1341/(原始数据!J$2/100)</f>
        <v>410.73410706586134</v>
      </c>
    </row>
    <row r="1342" spans="1:3" ht="18" customHeight="1" x14ac:dyDescent="0.3">
      <c r="A1342" s="41">
        <f>表1[[#This Row],[订单日期]]</f>
        <v>45922</v>
      </c>
      <c r="B1342" s="42">
        <f>原始数据!G1342/(原始数据!G$2/100)</f>
        <v>950</v>
      </c>
      <c r="C1342" s="42">
        <f>原始数据!J1342/(原始数据!J$2/100)</f>
        <v>360.31475146335589</v>
      </c>
    </row>
    <row r="1343" spans="1:3" ht="18" customHeight="1" x14ac:dyDescent="0.3">
      <c r="A1343" s="41">
        <f>表1[[#This Row],[订单日期]]</f>
        <v>45922</v>
      </c>
      <c r="B1343" s="42">
        <f>原始数据!G1343/(原始数据!G$2/100)</f>
        <v>950</v>
      </c>
      <c r="C1343" s="42">
        <f>原始数据!J1343/(原始数据!J$2/100)</f>
        <v>162.2941174816477</v>
      </c>
    </row>
    <row r="1344" spans="1:3" ht="18" customHeight="1" x14ac:dyDescent="0.3">
      <c r="A1344" s="41">
        <f>表1[[#This Row],[订单日期]]</f>
        <v>45922</v>
      </c>
      <c r="B1344" s="42">
        <f>原始数据!G1344/(原始数据!G$2/100)</f>
        <v>950</v>
      </c>
      <c r="C1344" s="42">
        <f>原始数据!J1344/(原始数据!J$2/100)</f>
        <v>130.49113933237504</v>
      </c>
    </row>
    <row r="1345" spans="1:3" ht="18" customHeight="1" x14ac:dyDescent="0.3">
      <c r="A1345" s="41">
        <f>表1[[#This Row],[订单日期]]</f>
        <v>45923</v>
      </c>
      <c r="B1345" s="42">
        <f>原始数据!G1345/(原始数据!G$2/100)</f>
        <v>200</v>
      </c>
      <c r="C1345" s="42">
        <f>原始数据!J1345/(原始数据!J$2/100)</f>
        <v>335.97514892067863</v>
      </c>
    </row>
    <row r="1346" spans="1:3" ht="18" customHeight="1" x14ac:dyDescent="0.3">
      <c r="A1346" s="41">
        <f>表1[[#This Row],[订单日期]]</f>
        <v>45923</v>
      </c>
      <c r="B1346" s="42">
        <f>原始数据!G1346/(原始数据!G$2/100)</f>
        <v>200</v>
      </c>
      <c r="C1346" s="42">
        <f>原始数据!J1346/(原始数据!J$2/100)</f>
        <v>58.945722533286087</v>
      </c>
    </row>
    <row r="1347" spans="1:3" ht="18" customHeight="1" x14ac:dyDescent="0.3">
      <c r="A1347" s="41">
        <f>表1[[#This Row],[订单日期]]</f>
        <v>45923</v>
      </c>
      <c r="B1347" s="42">
        <f>原始数据!G1347/(原始数据!G$2/100)</f>
        <v>200</v>
      </c>
      <c r="C1347" s="42">
        <f>原始数据!J1347/(原始数据!J$2/100)</f>
        <v>239.14230999099703</v>
      </c>
    </row>
    <row r="1348" spans="1:3" ht="18" customHeight="1" x14ac:dyDescent="0.3">
      <c r="A1348" s="41">
        <f>表1[[#This Row],[订单日期]]</f>
        <v>45923</v>
      </c>
      <c r="B1348" s="42">
        <f>原始数据!G1348/(原始数据!G$2/100)</f>
        <v>200</v>
      </c>
      <c r="C1348" s="42">
        <f>原始数据!J1348/(原始数据!J$2/100)</f>
        <v>423.84888297075958</v>
      </c>
    </row>
    <row r="1349" spans="1:3" ht="18" customHeight="1" x14ac:dyDescent="0.3">
      <c r="A1349" s="41">
        <f>表1[[#This Row],[订单日期]]</f>
        <v>45923</v>
      </c>
      <c r="B1349" s="42">
        <f>原始数据!G1349/(原始数据!G$2/100)</f>
        <v>200</v>
      </c>
      <c r="C1349" s="42">
        <f>原始数据!J1349/(原始数据!J$2/100)</f>
        <v>445.90042531119599</v>
      </c>
    </row>
    <row r="1350" spans="1:3" ht="18" customHeight="1" x14ac:dyDescent="0.3">
      <c r="A1350" s="41">
        <f>表1[[#This Row],[订单日期]]</f>
        <v>45923</v>
      </c>
      <c r="B1350" s="42">
        <f>原始数据!G1350/(原始数据!G$2/100)</f>
        <v>200</v>
      </c>
      <c r="C1350" s="42">
        <f>原始数据!J1350/(原始数据!J$2/100)</f>
        <v>522.15557198835722</v>
      </c>
    </row>
    <row r="1351" spans="1:3" ht="18" customHeight="1" x14ac:dyDescent="0.3">
      <c r="A1351" s="41">
        <f>表1[[#This Row],[订单日期]]</f>
        <v>45923</v>
      </c>
      <c r="B1351" s="42">
        <f>原始数据!G1351/(原始数据!G$2/100)</f>
        <v>200</v>
      </c>
      <c r="C1351" s="42">
        <f>原始数据!J1351/(原始数据!J$2/100)</f>
        <v>323.67504238907838</v>
      </c>
    </row>
    <row r="1352" spans="1:3" ht="18" customHeight="1" x14ac:dyDescent="0.3">
      <c r="A1352" s="41">
        <f>表1[[#This Row],[订单日期]]</f>
        <v>45923</v>
      </c>
      <c r="B1352" s="42">
        <f>原始数据!G1352/(原始数据!G$2/100)</f>
        <v>200</v>
      </c>
      <c r="C1352" s="42">
        <f>原始数据!J1352/(原始数据!J$2/100)</f>
        <v>455.31942580836733</v>
      </c>
    </row>
    <row r="1353" spans="1:3" ht="18" customHeight="1" x14ac:dyDescent="0.3">
      <c r="A1353" s="41">
        <f>表1[[#This Row],[订单日期]]</f>
        <v>45923</v>
      </c>
      <c r="B1353" s="42">
        <f>原始数据!G1353/(原始数据!G$2/100)</f>
        <v>200</v>
      </c>
      <c r="C1353" s="42">
        <f>原始数据!J1353/(原始数据!J$2/100)</f>
        <v>428.96287295163842</v>
      </c>
    </row>
    <row r="1354" spans="1:3" ht="18" customHeight="1" x14ac:dyDescent="0.3">
      <c r="A1354" s="41">
        <f>表1[[#This Row],[订单日期]]</f>
        <v>45923</v>
      </c>
      <c r="B1354" s="42">
        <f>原始数据!G1354/(原始数据!G$2/100)</f>
        <v>200</v>
      </c>
      <c r="C1354" s="42">
        <f>原始数据!J1354/(原始数据!J$2/100)</f>
        <v>155.68439822776358</v>
      </c>
    </row>
    <row r="1355" spans="1:3" ht="18" customHeight="1" x14ac:dyDescent="0.3">
      <c r="A1355" s="41">
        <f>表1[[#This Row],[订单日期]]</f>
        <v>45923</v>
      </c>
      <c r="B1355" s="42">
        <f>原始数据!G1355/(原始数据!G$2/100)</f>
        <v>200</v>
      </c>
      <c r="C1355" s="42">
        <f>原始数据!J1355/(原始数据!J$2/100)</f>
        <v>35.896874257855032</v>
      </c>
    </row>
    <row r="1356" spans="1:3" ht="18" customHeight="1" x14ac:dyDescent="0.3">
      <c r="A1356" s="41">
        <f>表1[[#This Row],[订单日期]]</f>
        <v>45923</v>
      </c>
      <c r="B1356" s="42">
        <f>原始数据!G1356/(原始数据!G$2/100)</f>
        <v>200</v>
      </c>
      <c r="C1356" s="42">
        <f>原始数据!J1356/(原始数据!J$2/100)</f>
        <v>258.8668051497794</v>
      </c>
    </row>
    <row r="1357" spans="1:3" ht="18" customHeight="1" x14ac:dyDescent="0.3">
      <c r="A1357" s="41">
        <f>表1[[#This Row],[订单日期]]</f>
        <v>45923</v>
      </c>
      <c r="B1357" s="42">
        <f>原始数据!G1357/(原始数据!G$2/100)</f>
        <v>200</v>
      </c>
      <c r="C1357" s="42">
        <f>原始数据!J1357/(原始数据!J$2/100)</f>
        <v>223.72282534850717</v>
      </c>
    </row>
    <row r="1358" spans="1:3" ht="18" customHeight="1" x14ac:dyDescent="0.3">
      <c r="A1358" s="41">
        <f>表1[[#This Row],[订单日期]]</f>
        <v>45923</v>
      </c>
      <c r="B1358" s="42">
        <f>原始数据!G1358/(原始数据!G$2/100)</f>
        <v>200</v>
      </c>
      <c r="C1358" s="42">
        <f>原始数据!J1358/(原始数据!J$2/100)</f>
        <v>74.570182181535031</v>
      </c>
    </row>
    <row r="1359" spans="1:3" ht="18" customHeight="1" x14ac:dyDescent="0.3">
      <c r="A1359" s="41">
        <f>表1[[#This Row],[订单日期]]</f>
        <v>45923</v>
      </c>
      <c r="B1359" s="42">
        <f>原始数据!G1359/(原始数据!G$2/100)</f>
        <v>200</v>
      </c>
      <c r="C1359" s="42">
        <f>原始数据!J1359/(原始数据!J$2/100)</f>
        <v>100.96003210896565</v>
      </c>
    </row>
    <row r="1360" spans="1:3" ht="18" customHeight="1" x14ac:dyDescent="0.3">
      <c r="A1360" s="41">
        <f>表1[[#This Row],[订单日期]]</f>
        <v>45923</v>
      </c>
      <c r="B1360" s="42">
        <f>原始数据!G1360/(原始数据!G$2/100)</f>
        <v>200</v>
      </c>
      <c r="C1360" s="42">
        <f>原始数据!J1360/(原始数据!J$2/100)</f>
        <v>486.9007804165301</v>
      </c>
    </row>
    <row r="1361" spans="1:3" ht="18" customHeight="1" x14ac:dyDescent="0.3">
      <c r="A1361" s="41">
        <f>表1[[#This Row],[订单日期]]</f>
        <v>45923</v>
      </c>
      <c r="B1361" s="42">
        <f>原始数据!G1361/(原始数据!G$2/100)</f>
        <v>200</v>
      </c>
      <c r="C1361" s="42">
        <f>原始数据!J1361/(原始数据!J$2/100)</f>
        <v>521.25242928856676</v>
      </c>
    </row>
    <row r="1362" spans="1:3" ht="18" customHeight="1" x14ac:dyDescent="0.3">
      <c r="A1362" s="41">
        <f>表1[[#This Row],[订单日期]]</f>
        <v>45923</v>
      </c>
      <c r="B1362" s="42">
        <f>原始数据!G1362/(原始数据!G$2/100)</f>
        <v>200</v>
      </c>
      <c r="C1362" s="42">
        <f>原始数据!J1362/(原始数据!J$2/100)</f>
        <v>438.2710616782548</v>
      </c>
    </row>
    <row r="1363" spans="1:3" ht="18" customHeight="1" x14ac:dyDescent="0.3">
      <c r="A1363" s="41">
        <f>表1[[#This Row],[订单日期]]</f>
        <v>45923</v>
      </c>
      <c r="B1363" s="42">
        <f>原始数据!G1363/(原始数据!G$2/100)</f>
        <v>200</v>
      </c>
      <c r="C1363" s="42">
        <f>原始数据!J1363/(原始数据!J$2/100)</f>
        <v>90.527077141448842</v>
      </c>
    </row>
    <row r="1364" spans="1:3" ht="18" customHeight="1" x14ac:dyDescent="0.3">
      <c r="A1364" s="41">
        <f>表1[[#This Row],[订单日期]]</f>
        <v>45923</v>
      </c>
      <c r="B1364" s="42">
        <f>原始数据!G1364/(原始数据!G$2/100)</f>
        <v>200</v>
      </c>
      <c r="C1364" s="42">
        <f>原始数据!J1364/(原始数据!J$2/100)</f>
        <v>302.73161775419152</v>
      </c>
    </row>
    <row r="1365" spans="1:3" ht="18" customHeight="1" x14ac:dyDescent="0.3">
      <c r="A1365" s="41">
        <f>表1[[#This Row],[订单日期]]</f>
        <v>45923</v>
      </c>
      <c r="B1365" s="42">
        <f>原始数据!G1365/(原始数据!G$2/100)</f>
        <v>200</v>
      </c>
      <c r="C1365" s="42">
        <f>原始数据!J1365/(原始数据!J$2/100)</f>
        <v>450.34954466874512</v>
      </c>
    </row>
    <row r="1366" spans="1:3" ht="18" customHeight="1" x14ac:dyDescent="0.3">
      <c r="A1366" s="41">
        <f>表1[[#This Row],[订单日期]]</f>
        <v>45923</v>
      </c>
      <c r="B1366" s="42">
        <f>原始数据!G1366/(原始数据!G$2/100)</f>
        <v>200</v>
      </c>
      <c r="C1366" s="42">
        <f>原始数据!J1366/(原始数据!J$2/100)</f>
        <v>323.89666593018831</v>
      </c>
    </row>
    <row r="1367" spans="1:3" ht="18" customHeight="1" x14ac:dyDescent="0.3">
      <c r="A1367" s="41">
        <f>表1[[#This Row],[订单日期]]</f>
        <v>45923</v>
      </c>
      <c r="B1367" s="42">
        <f>原始数据!G1367/(原始数据!G$2/100)</f>
        <v>200</v>
      </c>
      <c r="C1367" s="42">
        <f>原始数据!J1367/(原始数据!J$2/100)</f>
        <v>24.483261890694457</v>
      </c>
    </row>
    <row r="1368" spans="1:3" ht="18" customHeight="1" x14ac:dyDescent="0.3">
      <c r="A1368" s="41">
        <f>表1[[#This Row],[订单日期]]</f>
        <v>45923</v>
      </c>
      <c r="B1368" s="42">
        <f>原始数据!G1368/(原始数据!G$2/100)</f>
        <v>200</v>
      </c>
      <c r="C1368" s="42">
        <f>原始数据!J1368/(原始数据!J$2/100)</f>
        <v>534.67730206106739</v>
      </c>
    </row>
    <row r="1369" spans="1:3" ht="18" customHeight="1" x14ac:dyDescent="0.3">
      <c r="A1369" s="41">
        <f>表1[[#This Row],[订单日期]]</f>
        <v>45923</v>
      </c>
      <c r="B1369" s="42">
        <f>原始数据!G1369/(原始数据!G$2/100)</f>
        <v>200</v>
      </c>
      <c r="C1369" s="42">
        <f>原始数据!J1369/(原始数据!J$2/100)</f>
        <v>11.961531817984312</v>
      </c>
    </row>
    <row r="1370" spans="1:3" ht="18" customHeight="1" x14ac:dyDescent="0.3">
      <c r="A1370" s="41">
        <f>表1[[#This Row],[订单日期]]</f>
        <v>45923</v>
      </c>
      <c r="B1370" s="42">
        <f>原始数据!G1370/(原始数据!G$2/100)</f>
        <v>200</v>
      </c>
      <c r="C1370" s="42">
        <f>原始数据!J1370/(原始数据!J$2/100)</f>
        <v>159.56281019718708</v>
      </c>
    </row>
    <row r="1371" spans="1:3" ht="18" customHeight="1" x14ac:dyDescent="0.3">
      <c r="A1371" s="41">
        <f>表1[[#This Row],[订单日期]]</f>
        <v>45923</v>
      </c>
      <c r="B1371" s="42">
        <f>原始数据!G1371/(原始数据!G$2/100)</f>
        <v>400</v>
      </c>
      <c r="C1371" s="42">
        <f>原始数据!J1371/(原始数据!J$2/100)</f>
        <v>108.03750644890756</v>
      </c>
    </row>
    <row r="1372" spans="1:3" ht="18" customHeight="1" x14ac:dyDescent="0.3">
      <c r="A1372" s="41">
        <f>表1[[#This Row],[订单日期]]</f>
        <v>45923</v>
      </c>
      <c r="B1372" s="42">
        <f>原始数据!G1372/(原始数据!G$2/100)</f>
        <v>400</v>
      </c>
      <c r="C1372" s="42">
        <f>原始数据!J1372/(原始数据!J$2/100)</f>
        <v>273.59029165801337</v>
      </c>
    </row>
    <row r="1373" spans="1:3" ht="18" customHeight="1" x14ac:dyDescent="0.3">
      <c r="A1373" s="41">
        <f>表1[[#This Row],[订单日期]]</f>
        <v>45923</v>
      </c>
      <c r="B1373" s="42">
        <f>原始数据!G1373/(原始数据!G$2/100)</f>
        <v>400</v>
      </c>
      <c r="C1373" s="42">
        <f>原始数据!J1373/(原始数据!J$2/100)</f>
        <v>349.82878979982377</v>
      </c>
    </row>
    <row r="1374" spans="1:3" ht="18" customHeight="1" x14ac:dyDescent="0.3">
      <c r="A1374" s="41">
        <f>表1[[#This Row],[订单日期]]</f>
        <v>45923</v>
      </c>
      <c r="B1374" s="42">
        <f>原始数据!G1374/(原始数据!G$2/100)</f>
        <v>400</v>
      </c>
      <c r="C1374" s="42">
        <f>原始数据!J1374/(原始数据!J$2/100)</f>
        <v>217.51953575720509</v>
      </c>
    </row>
    <row r="1375" spans="1:3" ht="18" customHeight="1" x14ac:dyDescent="0.3">
      <c r="A1375" s="41">
        <f>表1[[#This Row],[订单日期]]</f>
        <v>45923</v>
      </c>
      <c r="B1375" s="42">
        <f>原始数据!G1375/(原始数据!G$2/100)</f>
        <v>400</v>
      </c>
      <c r="C1375" s="42">
        <f>原始数据!J1375/(原始数据!J$2/100)</f>
        <v>409.77795767005551</v>
      </c>
    </row>
    <row r="1376" spans="1:3" ht="18" customHeight="1" x14ac:dyDescent="0.3">
      <c r="A1376" s="41">
        <f>表1[[#This Row],[订单日期]]</f>
        <v>45923</v>
      </c>
      <c r="B1376" s="42">
        <f>原始数据!G1376/(原始数据!G$2/100)</f>
        <v>400</v>
      </c>
      <c r="C1376" s="42">
        <f>原始数据!J1376/(原始数据!J$2/100)</f>
        <v>188.26522833069643</v>
      </c>
    </row>
    <row r="1377" spans="1:3" ht="18" customHeight="1" x14ac:dyDescent="0.3">
      <c r="A1377" s="41">
        <f>表1[[#This Row],[订单日期]]</f>
        <v>45923</v>
      </c>
      <c r="B1377" s="42">
        <f>原始数据!G1377/(原始数据!G$2/100)</f>
        <v>400</v>
      </c>
      <c r="C1377" s="42">
        <f>原始数据!J1377/(原始数据!J$2/100)</f>
        <v>183.16788688516843</v>
      </c>
    </row>
    <row r="1378" spans="1:3" ht="18" customHeight="1" x14ac:dyDescent="0.3">
      <c r="A1378" s="41">
        <f>表1[[#This Row],[订单日期]]</f>
        <v>45923</v>
      </c>
      <c r="B1378" s="42">
        <f>原始数据!G1378/(原始数据!G$2/100)</f>
        <v>400</v>
      </c>
      <c r="C1378" s="42">
        <f>原始数据!J1378/(原始数据!J$2/100)</f>
        <v>144.05133187926859</v>
      </c>
    </row>
    <row r="1379" spans="1:3" ht="18" customHeight="1" x14ac:dyDescent="0.3">
      <c r="A1379" s="41">
        <f>表1[[#This Row],[订单日期]]</f>
        <v>45923</v>
      </c>
      <c r="B1379" s="42">
        <f>原始数据!G1379/(原始数据!G$2/100)</f>
        <v>400</v>
      </c>
      <c r="C1379" s="42">
        <f>原始数据!J1379/(原始数据!J$2/100)</f>
        <v>327.88805922994231</v>
      </c>
    </row>
    <row r="1380" spans="1:3" ht="18" customHeight="1" x14ac:dyDescent="0.3">
      <c r="A1380" s="41">
        <f>表1[[#This Row],[订单日期]]</f>
        <v>45923</v>
      </c>
      <c r="B1380" s="42">
        <f>原始数据!G1380/(原始数据!G$2/100)</f>
        <v>450</v>
      </c>
      <c r="C1380" s="42">
        <f>原始数据!J1380/(原始数据!J$2/100)</f>
        <v>143.26993570844343</v>
      </c>
    </row>
    <row r="1381" spans="1:3" ht="18" customHeight="1" x14ac:dyDescent="0.3">
      <c r="A1381" s="41">
        <f>表1[[#This Row],[订单日期]]</f>
        <v>45923</v>
      </c>
      <c r="B1381" s="42">
        <f>原始数据!G1381/(原始数据!G$2/100)</f>
        <v>450</v>
      </c>
      <c r="C1381" s="42">
        <f>原始数据!J1381/(原始数据!J$2/100)</f>
        <v>128.75359376574406</v>
      </c>
    </row>
    <row r="1382" spans="1:3" ht="18" customHeight="1" x14ac:dyDescent="0.3">
      <c r="A1382" s="41">
        <f>表1[[#This Row],[订单日期]]</f>
        <v>45923</v>
      </c>
      <c r="B1382" s="42">
        <f>原始数据!G1382/(原始数据!G$2/100)</f>
        <v>450</v>
      </c>
      <c r="C1382" s="42">
        <f>原始数据!J1382/(原始数据!J$2/100)</f>
        <v>265.05398503375591</v>
      </c>
    </row>
    <row r="1383" spans="1:3" ht="18" customHeight="1" x14ac:dyDescent="0.3">
      <c r="A1383" s="41">
        <f>表1[[#This Row],[订单日期]]</f>
        <v>45923</v>
      </c>
      <c r="B1383" s="42">
        <f>原始数据!G1383/(原始数据!G$2/100)</f>
        <v>450</v>
      </c>
      <c r="C1383" s="42">
        <f>原始数据!J1383/(原始数据!J$2/100)</f>
        <v>93.072203647047886</v>
      </c>
    </row>
    <row r="1384" spans="1:3" ht="18" customHeight="1" x14ac:dyDescent="0.3">
      <c r="A1384" s="41">
        <f>表1[[#This Row],[订单日期]]</f>
        <v>45923</v>
      </c>
      <c r="B1384" s="42">
        <f>原始数据!G1384/(原始数据!G$2/100)</f>
        <v>450</v>
      </c>
      <c r="C1384" s="42">
        <f>原始数据!J1384/(原始数据!J$2/100)</f>
        <v>93.183015417602846</v>
      </c>
    </row>
    <row r="1385" spans="1:3" ht="18" customHeight="1" x14ac:dyDescent="0.3">
      <c r="A1385" s="41">
        <f>表1[[#This Row],[订单日期]]</f>
        <v>45923</v>
      </c>
      <c r="B1385" s="42">
        <f>原始数据!G1385/(原始数据!G$2/100)</f>
        <v>450</v>
      </c>
      <c r="C1385" s="42">
        <f>原始数据!J1385/(原始数据!J$2/100)</f>
        <v>243.00244269331949</v>
      </c>
    </row>
    <row r="1386" spans="1:3" ht="18" customHeight="1" x14ac:dyDescent="0.3">
      <c r="A1386" s="41">
        <f>表1[[#This Row],[订单日期]]</f>
        <v>45923</v>
      </c>
      <c r="B1386" s="42">
        <f>原始数据!G1386/(原始数据!G$2/100)</f>
        <v>450</v>
      </c>
      <c r="C1386" s="42">
        <f>原始数据!J1386/(原始数据!J$2/100)</f>
        <v>397.91538444373464</v>
      </c>
    </row>
    <row r="1387" spans="1:3" ht="18" customHeight="1" x14ac:dyDescent="0.3">
      <c r="A1387" s="41">
        <f>表1[[#This Row],[订单日期]]</f>
        <v>45923</v>
      </c>
      <c r="B1387" s="42">
        <f>原始数据!G1387/(原始数据!G$2/100)</f>
        <v>450</v>
      </c>
      <c r="C1387" s="42">
        <f>原始数据!J1387/(原始数据!J$2/100)</f>
        <v>174.07560792272147</v>
      </c>
    </row>
    <row r="1388" spans="1:3" ht="18" customHeight="1" x14ac:dyDescent="0.3">
      <c r="A1388" s="41">
        <f>表1[[#This Row],[订单日期]]</f>
        <v>45923</v>
      </c>
      <c r="B1388" s="42">
        <f>原始数据!G1388/(原始数据!G$2/100)</f>
        <v>450</v>
      </c>
      <c r="C1388" s="42">
        <f>原始数据!J1388/(原始数据!J$2/100)</f>
        <v>500.63980923359458</v>
      </c>
    </row>
    <row r="1389" spans="1:3" ht="18" customHeight="1" x14ac:dyDescent="0.3">
      <c r="A1389" s="41">
        <f>表1[[#This Row],[订单日期]]</f>
        <v>45923</v>
      </c>
      <c r="B1389" s="42">
        <f>原始数据!G1389/(原始数据!G$2/100)</f>
        <v>450</v>
      </c>
      <c r="C1389" s="42">
        <f>原始数据!J1389/(原始数据!J$2/100)</f>
        <v>212.97053938751139</v>
      </c>
    </row>
    <row r="1390" spans="1:3" ht="18" customHeight="1" x14ac:dyDescent="0.3">
      <c r="A1390" s="41">
        <f>表1[[#This Row],[订单日期]]</f>
        <v>45923</v>
      </c>
      <c r="B1390" s="42">
        <f>原始数据!G1390/(原始数据!G$2/100)</f>
        <v>450</v>
      </c>
      <c r="C1390" s="42">
        <f>原始数据!J1390/(原始数据!J$2/100)</f>
        <v>56.393507593357114</v>
      </c>
    </row>
    <row r="1391" spans="1:3" ht="18" customHeight="1" x14ac:dyDescent="0.3">
      <c r="A1391" s="41">
        <f>表1[[#This Row],[订单日期]]</f>
        <v>45923</v>
      </c>
      <c r="B1391" s="42">
        <f>原始数据!G1391/(原始数据!G$2/100)</f>
        <v>450</v>
      </c>
      <c r="C1391" s="42">
        <f>原始数据!J1391/(原始数据!J$2/100)</f>
        <v>461.85568953935962</v>
      </c>
    </row>
    <row r="1392" spans="1:3" ht="18" customHeight="1" x14ac:dyDescent="0.3">
      <c r="A1392" s="41">
        <f>表1[[#This Row],[订单日期]]</f>
        <v>45923</v>
      </c>
      <c r="B1392" s="42">
        <f>原始数据!G1392/(原始数据!G$2/100)</f>
        <v>450</v>
      </c>
      <c r="C1392" s="42">
        <f>原始数据!J1392/(原始数据!J$2/100)</f>
        <v>374.75572439774862</v>
      </c>
    </row>
    <row r="1393" spans="1:3" ht="18" customHeight="1" x14ac:dyDescent="0.3">
      <c r="A1393" s="41">
        <f>表1[[#This Row],[订单日期]]</f>
        <v>45923</v>
      </c>
      <c r="B1393" s="42">
        <f>原始数据!G1393/(原始数据!G$2/100)</f>
        <v>450</v>
      </c>
      <c r="C1393" s="42">
        <f>原始数据!J1393/(原始数据!J$2/100)</f>
        <v>384.063913124365</v>
      </c>
    </row>
    <row r="1394" spans="1:3" ht="18" customHeight="1" x14ac:dyDescent="0.3">
      <c r="A1394" s="41">
        <f>表1[[#This Row],[订单日期]]</f>
        <v>45923</v>
      </c>
      <c r="B1394" s="42">
        <f>原始数据!G1394/(原始数据!G$2/100)</f>
        <v>450</v>
      </c>
      <c r="C1394" s="42">
        <f>原始数据!J1394/(原始数据!J$2/100)</f>
        <v>461.08000714547489</v>
      </c>
    </row>
    <row r="1395" spans="1:3" ht="18" customHeight="1" x14ac:dyDescent="0.3">
      <c r="A1395" s="41">
        <f>表1[[#This Row],[订单日期]]</f>
        <v>45923</v>
      </c>
      <c r="B1395" s="42">
        <f>原始数据!G1395/(原始数据!G$2/100)</f>
        <v>450</v>
      </c>
      <c r="C1395" s="42">
        <f>原始数据!J1395/(原始数据!J$2/100)</f>
        <v>278.1278604738261</v>
      </c>
    </row>
    <row r="1396" spans="1:3" ht="18" customHeight="1" x14ac:dyDescent="0.3">
      <c r="A1396" s="41">
        <f>表1[[#This Row],[订单日期]]</f>
        <v>45923</v>
      </c>
      <c r="B1396" s="42">
        <f>原始数据!G1396/(原始数据!G$2/100)</f>
        <v>450</v>
      </c>
      <c r="C1396" s="42">
        <f>原始数据!J1396/(原始数据!J$2/100)</f>
        <v>309.26596799976903</v>
      </c>
    </row>
    <row r="1397" spans="1:3" ht="18" customHeight="1" x14ac:dyDescent="0.3">
      <c r="A1397" s="41">
        <f>表1[[#This Row],[订单日期]]</f>
        <v>45923</v>
      </c>
      <c r="B1397" s="42">
        <f>原始数据!G1397/(原始数据!G$2/100)</f>
        <v>450</v>
      </c>
      <c r="C1397" s="42">
        <f>原始数据!J1397/(原始数据!J$2/100)</f>
        <v>81.660504765302065</v>
      </c>
    </row>
    <row r="1398" spans="1:3" ht="18" customHeight="1" x14ac:dyDescent="0.3">
      <c r="A1398" s="41">
        <f>表1[[#This Row],[订单日期]]</f>
        <v>45923</v>
      </c>
      <c r="B1398" s="42">
        <f>原始数据!G1398/(原始数据!G$2/100)</f>
        <v>450</v>
      </c>
      <c r="C1398" s="42">
        <f>原始数据!J1398/(原始数据!J$2/100)</f>
        <v>478.25391809607851</v>
      </c>
    </row>
    <row r="1399" spans="1:3" ht="18" customHeight="1" x14ac:dyDescent="0.3">
      <c r="A1399" s="41">
        <f>表1[[#This Row],[订单日期]]</f>
        <v>45923</v>
      </c>
      <c r="B1399" s="42">
        <f>原始数据!G1399/(原始数据!G$2/100)</f>
        <v>450</v>
      </c>
      <c r="C1399" s="42">
        <f>原始数据!J1399/(原始数据!J$2/100)</f>
        <v>120.22108743301236</v>
      </c>
    </row>
    <row r="1400" spans="1:3" ht="18" customHeight="1" x14ac:dyDescent="0.3">
      <c r="A1400" s="41">
        <f>表1[[#This Row],[订单日期]]</f>
        <v>45923</v>
      </c>
      <c r="B1400" s="42">
        <f>原始数据!G1400/(原始数据!G$2/100)</f>
        <v>450</v>
      </c>
      <c r="C1400" s="42">
        <f>原始数据!J1400/(原始数据!J$2/100)</f>
        <v>28.803290210587562</v>
      </c>
    </row>
    <row r="1401" spans="1:3" ht="18" customHeight="1" x14ac:dyDescent="0.3">
      <c r="A1401" s="41">
        <f>表1[[#This Row],[订单日期]]</f>
        <v>45923</v>
      </c>
      <c r="B1401" s="42">
        <f>原始数据!G1401/(原始数据!G$2/100)</f>
        <v>450</v>
      </c>
      <c r="C1401" s="42">
        <f>原始数据!J1401/(原始数据!J$2/100)</f>
        <v>460.41322303673041</v>
      </c>
    </row>
    <row r="1402" spans="1:3" ht="18" customHeight="1" x14ac:dyDescent="0.3">
      <c r="A1402" s="41">
        <f>表1[[#This Row],[订单日期]]</f>
        <v>45923</v>
      </c>
      <c r="B1402" s="42">
        <f>原始数据!G1402/(原始数据!G$2/100)</f>
        <v>450</v>
      </c>
      <c r="C1402" s="42">
        <f>原始数据!J1402/(原始数据!J$2/100)</f>
        <v>36.447388893464854</v>
      </c>
    </row>
    <row r="1403" spans="1:3" ht="18" customHeight="1" x14ac:dyDescent="0.3">
      <c r="A1403" s="41">
        <f>表1[[#This Row],[订单日期]]</f>
        <v>45923</v>
      </c>
      <c r="B1403" s="42">
        <f>原始数据!G1403/(原始数据!G$2/100)</f>
        <v>450</v>
      </c>
      <c r="C1403" s="42">
        <f>原始数据!J1403/(原始数据!J$2/100)</f>
        <v>517.48319835794803</v>
      </c>
    </row>
    <row r="1404" spans="1:3" ht="18" customHeight="1" x14ac:dyDescent="0.3">
      <c r="A1404" s="41">
        <f>表1[[#This Row],[订单日期]]</f>
        <v>45923</v>
      </c>
      <c r="B1404" s="42">
        <f>原始数据!G1404/(原始数据!G$2/100)</f>
        <v>450</v>
      </c>
      <c r="C1404" s="42">
        <f>原始数据!J1404/(原始数据!J$2/100)</f>
        <v>388.27476040545338</v>
      </c>
    </row>
    <row r="1405" spans="1:3" ht="18" customHeight="1" x14ac:dyDescent="0.3">
      <c r="A1405" s="41">
        <f>表1[[#This Row],[订单日期]]</f>
        <v>45923</v>
      </c>
      <c r="B1405" s="42">
        <f>原始数据!G1405/(原始数据!G$2/100)</f>
        <v>450</v>
      </c>
      <c r="C1405" s="42">
        <f>原始数据!J1405/(原始数据!J$2/100)</f>
        <v>217.40301020970966</v>
      </c>
    </row>
    <row r="1406" spans="1:3" ht="18" customHeight="1" x14ac:dyDescent="0.3">
      <c r="A1406" s="41">
        <f>表1[[#This Row],[订单日期]]</f>
        <v>45923</v>
      </c>
      <c r="B1406" s="42">
        <f>原始数据!G1406/(原始数据!G$2/100)</f>
        <v>550</v>
      </c>
      <c r="C1406" s="42">
        <f>原始数据!J1406/(原始数据!J$2/100)</f>
        <v>99.207415144104587</v>
      </c>
    </row>
    <row r="1407" spans="1:3" ht="18" customHeight="1" x14ac:dyDescent="0.3">
      <c r="A1407" s="41">
        <f>表1[[#This Row],[订单日期]]</f>
        <v>45923</v>
      </c>
      <c r="B1407" s="42">
        <f>原始数据!G1407/(原始数据!G$2/100)</f>
        <v>550</v>
      </c>
      <c r="C1407" s="42">
        <f>原始数据!J1407/(原始数据!J$2/100)</f>
        <v>256.00607047936876</v>
      </c>
    </row>
    <row r="1408" spans="1:3" ht="18" customHeight="1" x14ac:dyDescent="0.3">
      <c r="A1408" s="41">
        <f>表1[[#This Row],[订单日期]]</f>
        <v>45923</v>
      </c>
      <c r="B1408" s="42">
        <f>原始数据!G1408/(原始数据!G$2/100)</f>
        <v>550</v>
      </c>
      <c r="C1408" s="42">
        <f>原始数据!J1408/(原始数据!J$2/100)</f>
        <v>167.79990111762299</v>
      </c>
    </row>
    <row r="1409" spans="1:3" ht="18" customHeight="1" x14ac:dyDescent="0.3">
      <c r="A1409" s="41">
        <f>表1[[#This Row],[订单日期]]</f>
        <v>45923</v>
      </c>
      <c r="B1409" s="42">
        <f>原始数据!G1409/(原始数据!G$2/100)</f>
        <v>550</v>
      </c>
      <c r="C1409" s="42">
        <f>原始数据!J1409/(原始数据!J$2/100)</f>
        <v>388.53694806309738</v>
      </c>
    </row>
    <row r="1410" spans="1:3" ht="18" customHeight="1" x14ac:dyDescent="0.3">
      <c r="A1410" s="41">
        <f>表1[[#This Row],[订单日期]]</f>
        <v>45923</v>
      </c>
      <c r="B1410" s="42">
        <f>原始数据!G1410/(原始数据!G$2/100)</f>
        <v>550</v>
      </c>
      <c r="C1410" s="42">
        <f>原始数据!J1410/(原始数据!J$2/100)</f>
        <v>215.78139776791937</v>
      </c>
    </row>
    <row r="1411" spans="1:3" ht="18" customHeight="1" x14ac:dyDescent="0.3">
      <c r="A1411" s="41">
        <f>表1[[#This Row],[订单日期]]</f>
        <v>45923</v>
      </c>
      <c r="B1411" s="42">
        <f>原始数据!G1411/(原始数据!G$2/100)</f>
        <v>550</v>
      </c>
      <c r="C1411" s="42">
        <f>原始数据!J1411/(原始数据!J$2/100)</f>
        <v>296.34155496137311</v>
      </c>
    </row>
    <row r="1412" spans="1:3" ht="18" customHeight="1" x14ac:dyDescent="0.3">
      <c r="A1412" s="41">
        <f>表1[[#This Row],[订单日期]]</f>
        <v>45923</v>
      </c>
      <c r="B1412" s="42">
        <f>原始数据!G1412/(原始数据!G$2/100)</f>
        <v>550</v>
      </c>
      <c r="C1412" s="42">
        <f>原始数据!J1412/(原始数据!J$2/100)</f>
        <v>481.84045887037121</v>
      </c>
    </row>
    <row r="1413" spans="1:3" ht="18" customHeight="1" x14ac:dyDescent="0.3">
      <c r="A1413" s="41">
        <f>表1[[#This Row],[订单日期]]</f>
        <v>45923</v>
      </c>
      <c r="B1413" s="42">
        <f>原始数据!G1413/(原始数据!G$2/100)</f>
        <v>550</v>
      </c>
      <c r="C1413" s="42">
        <f>原始数据!J1413/(原始数据!J$2/100)</f>
        <v>531.48413207899193</v>
      </c>
    </row>
    <row r="1414" spans="1:3" ht="18" customHeight="1" x14ac:dyDescent="0.3">
      <c r="A1414" s="41">
        <f>表1[[#This Row],[订单日期]]</f>
        <v>45923</v>
      </c>
      <c r="B1414" s="42">
        <f>原始数据!G1414/(原始数据!G$2/100)</f>
        <v>550</v>
      </c>
      <c r="C1414" s="42">
        <f>原始数据!J1414/(原始数据!J$2/100)</f>
        <v>420.33992621237002</v>
      </c>
    </row>
    <row r="1415" spans="1:3" ht="18" customHeight="1" x14ac:dyDescent="0.3">
      <c r="A1415" s="41">
        <f>表1[[#This Row],[订单日期]]</f>
        <v>45923</v>
      </c>
      <c r="B1415" s="42">
        <f>原始数据!G1415/(原始数据!G$2/100)</f>
        <v>550</v>
      </c>
      <c r="C1415" s="42">
        <f>原始数据!J1415/(原始数据!J$2/100)</f>
        <v>30.836552711696108</v>
      </c>
    </row>
    <row r="1416" spans="1:3" ht="18" customHeight="1" x14ac:dyDescent="0.3">
      <c r="A1416" s="41">
        <f>表1[[#This Row],[订单日期]]</f>
        <v>45923</v>
      </c>
      <c r="B1416" s="42">
        <f>原始数据!G1416/(原始数据!G$2/100)</f>
        <v>550</v>
      </c>
      <c r="C1416" s="42">
        <f>原始数据!J1416/(原始数据!J$2/100)</f>
        <v>273.62514199760693</v>
      </c>
    </row>
    <row r="1417" spans="1:3" ht="18" customHeight="1" x14ac:dyDescent="0.3">
      <c r="A1417" s="41">
        <f>表1[[#This Row],[订单日期]]</f>
        <v>45923</v>
      </c>
      <c r="B1417" s="42">
        <f>原始数据!G1417/(原始数据!G$2/100)</f>
        <v>550</v>
      </c>
      <c r="C1417" s="42">
        <f>原始数据!J1417/(原始数据!J$2/100)</f>
        <v>95.550626715791012</v>
      </c>
    </row>
    <row r="1418" spans="1:3" ht="18" customHeight="1" x14ac:dyDescent="0.3">
      <c r="A1418" s="41">
        <f>表1[[#This Row],[订单日期]]</f>
        <v>45923</v>
      </c>
      <c r="B1418" s="42">
        <f>原始数据!G1418/(原始数据!G$2/100)</f>
        <v>550</v>
      </c>
      <c r="C1418" s="42">
        <f>原始数据!J1418/(原始数据!J$2/100)</f>
        <v>428.09675015121701</v>
      </c>
    </row>
    <row r="1419" spans="1:3" ht="18" customHeight="1" x14ac:dyDescent="0.3">
      <c r="A1419" s="41">
        <f>表1[[#This Row],[订单日期]]</f>
        <v>45923</v>
      </c>
      <c r="B1419" s="42">
        <f>原始数据!G1419/(原始数据!G$2/100)</f>
        <v>550</v>
      </c>
      <c r="C1419" s="42">
        <f>原始数据!J1419/(原始数据!J$2/100)</f>
        <v>230.96261033394848</v>
      </c>
    </row>
    <row r="1420" spans="1:3" ht="18" customHeight="1" x14ac:dyDescent="0.3">
      <c r="A1420" s="41">
        <f>表1[[#This Row],[订单日期]]</f>
        <v>45923</v>
      </c>
      <c r="B1420" s="42">
        <f>原始数据!G1420/(原始数据!G$2/100)</f>
        <v>550</v>
      </c>
      <c r="C1420" s="42">
        <f>原始数据!J1420/(原始数据!J$2/100)</f>
        <v>441.72659792947672</v>
      </c>
    </row>
    <row r="1421" spans="1:3" ht="18" customHeight="1" x14ac:dyDescent="0.3">
      <c r="A1421" s="41">
        <f>表1[[#This Row],[订单日期]]</f>
        <v>45923</v>
      </c>
      <c r="B1421" s="42">
        <f>原始数据!G1421/(原始数据!G$2/100)</f>
        <v>550</v>
      </c>
      <c r="C1421" s="42">
        <f>原始数据!J1421/(原始数据!J$2/100)</f>
        <v>544.0058621517021</v>
      </c>
    </row>
    <row r="1422" spans="1:3" ht="18" customHeight="1" x14ac:dyDescent="0.3">
      <c r="A1422" s="41">
        <f>表1[[#This Row],[订单日期]]</f>
        <v>45923</v>
      </c>
      <c r="B1422" s="42">
        <f>原始数据!G1422/(原始数据!G$2/100)</f>
        <v>550</v>
      </c>
      <c r="C1422" s="42">
        <f>原始数据!J1422/(原始数据!J$2/100)</f>
        <v>191.7352435574937</v>
      </c>
    </row>
    <row r="1423" spans="1:3" ht="18" customHeight="1" x14ac:dyDescent="0.3">
      <c r="A1423" s="41">
        <f>表1[[#This Row],[订单日期]]</f>
        <v>45923</v>
      </c>
      <c r="B1423" s="42">
        <f>原始数据!G1423/(原始数据!G$2/100)</f>
        <v>550</v>
      </c>
      <c r="C1423" s="42">
        <f>原始数据!J1423/(原始数据!J$2/100)</f>
        <v>359.39345240714368</v>
      </c>
    </row>
    <row r="1424" spans="1:3" ht="18" customHeight="1" x14ac:dyDescent="0.3">
      <c r="A1424" s="41">
        <f>表1[[#This Row],[订单日期]]</f>
        <v>45923</v>
      </c>
      <c r="B1424" s="42">
        <f>原始数据!G1424/(原始数据!G$2/100)</f>
        <v>650</v>
      </c>
      <c r="C1424" s="42">
        <f>原始数据!J1424/(原始数据!J$2/100)</f>
        <v>229.5039150388755</v>
      </c>
    </row>
    <row r="1425" spans="1:3" ht="18" customHeight="1" x14ac:dyDescent="0.3">
      <c r="A1425" s="41">
        <f>表1[[#This Row],[订单日期]]</f>
        <v>45923</v>
      </c>
      <c r="B1425" s="42">
        <f>原始数据!G1425/(原始数据!G$2/100)</f>
        <v>650</v>
      </c>
      <c r="C1425" s="42">
        <f>原始数据!J1425/(原始数据!J$2/100)</f>
        <v>313.16680180786807</v>
      </c>
    </row>
    <row r="1426" spans="1:3" ht="18" customHeight="1" x14ac:dyDescent="0.3">
      <c r="A1426" s="41">
        <f>表1[[#This Row],[订单日期]]</f>
        <v>45923</v>
      </c>
      <c r="B1426" s="42">
        <f>原始数据!G1426/(原始数据!G$2/100)</f>
        <v>650</v>
      </c>
      <c r="C1426" s="42">
        <f>原始数据!J1426/(原始数据!J$2/100)</f>
        <v>271.16914076753932</v>
      </c>
    </row>
    <row r="1427" spans="1:3" ht="18" customHeight="1" x14ac:dyDescent="0.3">
      <c r="A1427" s="41">
        <f>表1[[#This Row],[订单日期]]</f>
        <v>45923</v>
      </c>
      <c r="B1427" s="42">
        <f>原始数据!G1427/(原始数据!G$2/100)</f>
        <v>650</v>
      </c>
      <c r="C1427" s="42">
        <f>原始数据!J1427/(原始数据!J$2/100)</f>
        <v>102.29200244178485</v>
      </c>
    </row>
    <row r="1428" spans="1:3" ht="18" customHeight="1" x14ac:dyDescent="0.3">
      <c r="A1428" s="41">
        <f>表1[[#This Row],[订单日期]]</f>
        <v>45923</v>
      </c>
      <c r="B1428" s="42">
        <f>原始数据!G1428/(原始数据!G$2/100)</f>
        <v>650</v>
      </c>
      <c r="C1428" s="42">
        <f>原始数据!J1428/(原始数据!J$2/100)</f>
        <v>294.21798904297037</v>
      </c>
    </row>
    <row r="1429" spans="1:3" ht="18" customHeight="1" x14ac:dyDescent="0.3">
      <c r="A1429" s="41">
        <f>表1[[#This Row],[订单日期]]</f>
        <v>45923</v>
      </c>
      <c r="B1429" s="42">
        <f>原始数据!G1429/(原始数据!G$2/100)</f>
        <v>650</v>
      </c>
      <c r="C1429" s="42">
        <f>原始数据!J1429/(原始数据!J$2/100)</f>
        <v>42.564458112663004</v>
      </c>
    </row>
    <row r="1430" spans="1:3" ht="18" customHeight="1" x14ac:dyDescent="0.3">
      <c r="A1430" s="41">
        <f>表1[[#This Row],[订单日期]]</f>
        <v>45923</v>
      </c>
      <c r="B1430" s="42">
        <f>原始数据!G1430/(原始数据!G$2/100)</f>
        <v>650</v>
      </c>
      <c r="C1430" s="42">
        <f>原始数据!J1430/(原始数据!J$2/100)</f>
        <v>534.3470958355623</v>
      </c>
    </row>
    <row r="1431" spans="1:3" ht="18" customHeight="1" x14ac:dyDescent="0.3">
      <c r="A1431" s="41">
        <f>表1[[#This Row],[订单日期]]</f>
        <v>45923</v>
      </c>
      <c r="B1431" s="42">
        <f>原始数据!G1431/(原始数据!G$2/100)</f>
        <v>650</v>
      </c>
      <c r="C1431" s="42">
        <f>原始数据!J1431/(原始数据!J$2/100)</f>
        <v>30.26435158106278</v>
      </c>
    </row>
    <row r="1432" spans="1:3" ht="18" customHeight="1" x14ac:dyDescent="0.3">
      <c r="A1432" s="41">
        <f>表1[[#This Row],[订单日期]]</f>
        <v>45923</v>
      </c>
      <c r="B1432" s="42">
        <f>原始数据!G1432/(原始数据!G$2/100)</f>
        <v>650</v>
      </c>
      <c r="C1432" s="42">
        <f>原始数据!J1432/(原始数据!J$2/100)</f>
        <v>480.71419888696306</v>
      </c>
    </row>
    <row r="1433" spans="1:3" ht="18" customHeight="1" x14ac:dyDescent="0.3">
      <c r="A1433" s="41">
        <f>表1[[#This Row],[订单日期]]</f>
        <v>45924</v>
      </c>
      <c r="B1433" s="42">
        <f>原始数据!G1433/(原始数据!G$2/100)</f>
        <v>50</v>
      </c>
      <c r="C1433" s="42">
        <f>原始数据!J1433/(原始数据!J$2/100)</f>
        <v>186.16807253705588</v>
      </c>
    </row>
    <row r="1434" spans="1:3" ht="18" customHeight="1" x14ac:dyDescent="0.3">
      <c r="A1434" s="41">
        <f>表1[[#This Row],[订单日期]]</f>
        <v>45924</v>
      </c>
      <c r="B1434" s="42">
        <f>原始数据!G1434/(原始数据!G$2/100)</f>
        <v>50</v>
      </c>
      <c r="C1434" s="42">
        <f>原始数据!J1434/(原始数据!J$2/100)</f>
        <v>101.28625629195879</v>
      </c>
    </row>
    <row r="1435" spans="1:3" ht="18" customHeight="1" x14ac:dyDescent="0.3">
      <c r="A1435" s="41">
        <f>表1[[#This Row],[订单日期]]</f>
        <v>45924</v>
      </c>
      <c r="B1435" s="42">
        <f>原始数据!G1435/(原始数据!G$2/100)</f>
        <v>50</v>
      </c>
      <c r="C1435" s="42">
        <f>原始数据!J1435/(原始数据!J$2/100)</f>
        <v>253.20919372280488</v>
      </c>
    </row>
    <row r="1436" spans="1:3" ht="18" customHeight="1" x14ac:dyDescent="0.3">
      <c r="A1436" s="41">
        <f>表1[[#This Row],[订单日期]]</f>
        <v>45924</v>
      </c>
      <c r="B1436" s="42">
        <f>原始数据!G1436/(原始数据!G$2/100)</f>
        <v>50</v>
      </c>
      <c r="C1436" s="42">
        <f>原始数据!J1436/(原始数据!J$2/100)</f>
        <v>480.26251158991175</v>
      </c>
    </row>
    <row r="1437" spans="1:3" ht="18" customHeight="1" x14ac:dyDescent="0.3">
      <c r="A1437" s="41">
        <f>表1[[#This Row],[订单日期]]</f>
        <v>45924</v>
      </c>
      <c r="B1437" s="42">
        <f>原始数据!G1437/(原始数据!G$2/100)</f>
        <v>50</v>
      </c>
      <c r="C1437" s="42">
        <f>原始数据!J1437/(原始数据!J$2/100)</f>
        <v>124.002669255725</v>
      </c>
    </row>
    <row r="1438" spans="1:3" ht="18" customHeight="1" x14ac:dyDescent="0.3">
      <c r="A1438" s="41">
        <f>表1[[#This Row],[订单日期]]</f>
        <v>45924</v>
      </c>
      <c r="B1438" s="42">
        <f>原始数据!G1438/(原始数据!G$2/100)</f>
        <v>50</v>
      </c>
      <c r="C1438" s="42">
        <f>原始数据!J1438/(原始数据!J$2/100)</f>
        <v>296.53659600979307</v>
      </c>
    </row>
    <row r="1439" spans="1:3" ht="18" customHeight="1" x14ac:dyDescent="0.3">
      <c r="A1439" s="41">
        <f>表1[[#This Row],[订单日期]]</f>
        <v>45924</v>
      </c>
      <c r="B1439" s="42">
        <f>原始数据!G1439/(原始数据!G$2/100)</f>
        <v>50</v>
      </c>
      <c r="C1439" s="42">
        <f>原始数据!J1439/(原始数据!J$2/100)</f>
        <v>129.43244601291789</v>
      </c>
    </row>
    <row r="1440" spans="1:3" ht="18" customHeight="1" x14ac:dyDescent="0.3">
      <c r="A1440" s="41">
        <f>表1[[#This Row],[订单日期]]</f>
        <v>45924</v>
      </c>
      <c r="B1440" s="42">
        <f>原始数据!G1440/(原始数据!G$2/100)</f>
        <v>50</v>
      </c>
      <c r="C1440" s="42">
        <f>原始数据!J1440/(原始数据!J$2/100)</f>
        <v>388.73198911151729</v>
      </c>
    </row>
    <row r="1441" spans="1:3" ht="18" customHeight="1" x14ac:dyDescent="0.3">
      <c r="A1441" s="41">
        <f>表1[[#This Row],[订单日期]]</f>
        <v>45924</v>
      </c>
      <c r="B1441" s="42">
        <f>原始数据!G1441/(原始数据!G$2/100)</f>
        <v>100</v>
      </c>
      <c r="C1441" s="42">
        <f>原始数据!J1441/(原始数据!J$2/100)</f>
        <v>482.22257370447221</v>
      </c>
    </row>
    <row r="1442" spans="1:3" ht="18" customHeight="1" x14ac:dyDescent="0.3">
      <c r="A1442" s="41">
        <f>表1[[#This Row],[订单日期]]</f>
        <v>45924</v>
      </c>
      <c r="B1442" s="42">
        <f>原始数据!G1442/(原始数据!G$2/100)</f>
        <v>100</v>
      </c>
      <c r="C1442" s="42">
        <f>原始数据!J1442/(原始数据!J$2/100)</f>
        <v>469.59003186120708</v>
      </c>
    </row>
    <row r="1443" spans="1:3" ht="18" customHeight="1" x14ac:dyDescent="0.3">
      <c r="A1443" s="41">
        <f>表1[[#This Row],[订单日期]]</f>
        <v>45924</v>
      </c>
      <c r="B1443" s="42">
        <f>原始数据!G1443/(原始数据!G$2/100)</f>
        <v>100</v>
      </c>
      <c r="C1443" s="42">
        <f>原始数据!J1443/(原始数据!J$2/100)</f>
        <v>298.27503458324361</v>
      </c>
    </row>
    <row r="1444" spans="1:3" ht="18" customHeight="1" x14ac:dyDescent="0.3">
      <c r="A1444" s="41">
        <f>表1[[#This Row],[订单日期]]</f>
        <v>45924</v>
      </c>
      <c r="B1444" s="42">
        <f>原始数据!G1444/(原始数据!G$2/100)</f>
        <v>100</v>
      </c>
      <c r="C1444" s="42">
        <f>原始数据!J1444/(原始数据!J$2/100)</f>
        <v>485.99017390334075</v>
      </c>
    </row>
    <row r="1445" spans="1:3" ht="18" customHeight="1" x14ac:dyDescent="0.3">
      <c r="A1445" s="41">
        <f>表1[[#This Row],[订单日期]]</f>
        <v>45924</v>
      </c>
      <c r="B1445" s="42">
        <f>原始数据!G1445/(原始数据!G$2/100)</f>
        <v>100</v>
      </c>
      <c r="C1445" s="42">
        <f>原始数据!J1445/(原始数据!J$2/100)</f>
        <v>225.69332486974676</v>
      </c>
    </row>
    <row r="1446" spans="1:3" ht="18" customHeight="1" x14ac:dyDescent="0.3">
      <c r="A1446" s="41">
        <f>表1[[#This Row],[订单日期]]</f>
        <v>45924</v>
      </c>
      <c r="B1446" s="42">
        <f>原始数据!G1446/(原始数据!G$2/100)</f>
        <v>100</v>
      </c>
      <c r="C1446" s="42">
        <f>原始数据!J1446/(原始数据!J$2/100)</f>
        <v>251.6232791796067</v>
      </c>
    </row>
    <row r="1447" spans="1:3" ht="18" customHeight="1" x14ac:dyDescent="0.3">
      <c r="A1447" s="41">
        <f>表1[[#This Row],[订单日期]]</f>
        <v>45924</v>
      </c>
      <c r="B1447" s="42">
        <f>原始数据!G1447/(原始数据!G$2/100)</f>
        <v>100</v>
      </c>
      <c r="C1447" s="42">
        <f>原始数据!J1447/(原始数据!J$2/100)</f>
        <v>308.91296455651946</v>
      </c>
    </row>
    <row r="1448" spans="1:3" ht="18" customHeight="1" x14ac:dyDescent="0.3">
      <c r="A1448" s="41">
        <f>表1[[#This Row],[订单日期]]</f>
        <v>45924</v>
      </c>
      <c r="B1448" s="42">
        <f>原始数据!G1448/(原始数据!G$2/100)</f>
        <v>100</v>
      </c>
      <c r="C1448" s="42">
        <f>原始数据!J1448/(原始数据!J$2/100)</f>
        <v>58.256739561206693</v>
      </c>
    </row>
    <row r="1449" spans="1:3" ht="18" customHeight="1" x14ac:dyDescent="0.3">
      <c r="A1449" s="41">
        <f>表1[[#This Row],[订单日期]]</f>
        <v>45924</v>
      </c>
      <c r="B1449" s="42">
        <f>原始数据!G1449/(原始数据!G$2/100)</f>
        <v>100</v>
      </c>
      <c r="C1449" s="42">
        <f>原始数据!J1449/(原始数据!J$2/100)</f>
        <v>154.77379171457426</v>
      </c>
    </row>
    <row r="1450" spans="1:3" ht="18" customHeight="1" x14ac:dyDescent="0.3">
      <c r="A1450" s="41">
        <f>表1[[#This Row],[订单日期]]</f>
        <v>45924</v>
      </c>
      <c r="B1450" s="42">
        <f>原始数据!G1450/(原始数据!G$2/100)</f>
        <v>250</v>
      </c>
      <c r="C1450" s="42">
        <f>原始数据!J1450/(原始数据!J$2/100)</f>
        <v>82.979678861177121</v>
      </c>
    </row>
    <row r="1451" spans="1:3" ht="18" customHeight="1" x14ac:dyDescent="0.3">
      <c r="A1451" s="41">
        <f>表1[[#This Row],[订单日期]]</f>
        <v>45924</v>
      </c>
      <c r="B1451" s="42">
        <f>原始数据!G1451/(原始数据!G$2/100)</f>
        <v>250</v>
      </c>
      <c r="C1451" s="42">
        <f>原始数据!J1451/(原始数据!J$2/100)</f>
        <v>456.07700701228651</v>
      </c>
    </row>
    <row r="1452" spans="1:3" ht="18" customHeight="1" x14ac:dyDescent="0.3">
      <c r="A1452" s="41">
        <f>表1[[#This Row],[订单日期]]</f>
        <v>45924</v>
      </c>
      <c r="B1452" s="42">
        <f>原始数据!G1452/(原始数据!G$2/100)</f>
        <v>250</v>
      </c>
      <c r="C1452" s="42">
        <f>原始数据!J1452/(原始数据!J$2/100)</f>
        <v>218.28085070877964</v>
      </c>
    </row>
    <row r="1453" spans="1:3" ht="18" customHeight="1" x14ac:dyDescent="0.3">
      <c r="A1453" s="41">
        <f>表1[[#This Row],[订单日期]]</f>
        <v>45924</v>
      </c>
      <c r="B1453" s="42">
        <f>原始数据!G1453/(原始数据!G$2/100)</f>
        <v>250</v>
      </c>
      <c r="C1453" s="42">
        <f>原始数据!J1453/(原始数据!J$2/100)</f>
        <v>460.73110137559473</v>
      </c>
    </row>
    <row r="1454" spans="1:3" ht="18" customHeight="1" x14ac:dyDescent="0.3">
      <c r="A1454" s="41">
        <f>表1[[#This Row],[订单日期]]</f>
        <v>45924</v>
      </c>
      <c r="B1454" s="42">
        <f>原始数据!G1454/(原始数据!G$2/100)</f>
        <v>250</v>
      </c>
      <c r="C1454" s="42">
        <f>原始数据!J1454/(原始数据!J$2/100)</f>
        <v>339.61973946645759</v>
      </c>
    </row>
    <row r="1455" spans="1:3" ht="18" customHeight="1" x14ac:dyDescent="0.3">
      <c r="A1455" s="41">
        <f>表1[[#This Row],[订单日期]]</f>
        <v>45924</v>
      </c>
      <c r="B1455" s="42">
        <f>原始数据!G1455/(原始数据!G$2/100)</f>
        <v>250</v>
      </c>
      <c r="C1455" s="42">
        <f>原始数据!J1455/(原始数据!J$2/100)</f>
        <v>152.23113215059439</v>
      </c>
    </row>
    <row r="1456" spans="1:3" ht="18" customHeight="1" x14ac:dyDescent="0.3">
      <c r="A1456" s="41">
        <f>表1[[#This Row],[订单日期]]</f>
        <v>45924</v>
      </c>
      <c r="B1456" s="42">
        <f>原始数据!G1456/(原始数据!G$2/100)</f>
        <v>250</v>
      </c>
      <c r="C1456" s="42">
        <f>原始数据!J1456/(原始数据!J$2/100)</f>
        <v>124.53409281928602</v>
      </c>
    </row>
    <row r="1457" spans="1:3" ht="18" customHeight="1" x14ac:dyDescent="0.3">
      <c r="A1457" s="41">
        <f>表1[[#This Row],[订单日期]]</f>
        <v>45924</v>
      </c>
      <c r="B1457" s="42">
        <f>原始数据!G1457/(原始数据!G$2/100)</f>
        <v>250</v>
      </c>
      <c r="C1457" s="42">
        <f>原始数据!J1457/(原始数据!J$2/100)</f>
        <v>140.48508447176894</v>
      </c>
    </row>
    <row r="1458" spans="1:3" ht="18" customHeight="1" x14ac:dyDescent="0.3">
      <c r="A1458" s="41">
        <f>表1[[#This Row],[订单日期]]</f>
        <v>45924</v>
      </c>
      <c r="B1458" s="42">
        <f>原始数据!G1458/(原始数据!G$2/100)</f>
        <v>250</v>
      </c>
      <c r="C1458" s="42">
        <f>原始数据!J1458/(原始数据!J$2/100)</f>
        <v>383.27957706511063</v>
      </c>
    </row>
    <row r="1459" spans="1:3" ht="18" customHeight="1" x14ac:dyDescent="0.3">
      <c r="A1459" s="41">
        <f>表1[[#This Row],[订单日期]]</f>
        <v>45924</v>
      </c>
      <c r="B1459" s="42">
        <f>原始数据!G1459/(原始数据!G$2/100)</f>
        <v>250</v>
      </c>
      <c r="C1459" s="42">
        <f>原始数据!J1459/(原始数据!J$2/100)</f>
        <v>71.116916104365842</v>
      </c>
    </row>
    <row r="1460" spans="1:3" ht="18" customHeight="1" x14ac:dyDescent="0.3">
      <c r="A1460" s="41">
        <f>表1[[#This Row],[订单日期]]</f>
        <v>45924</v>
      </c>
      <c r="B1460" s="42">
        <f>原始数据!G1460/(原始数据!G$2/100)</f>
        <v>250</v>
      </c>
      <c r="C1460" s="42">
        <f>原始数据!J1460/(原始数据!J$2/100)</f>
        <v>381.39577696567636</v>
      </c>
    </row>
    <row r="1461" spans="1:3" ht="18" customHeight="1" x14ac:dyDescent="0.3">
      <c r="A1461" s="41">
        <f>表1[[#This Row],[订单日期]]</f>
        <v>45924</v>
      </c>
      <c r="B1461" s="42">
        <f>原始数据!G1461/(原始数据!G$2/100)</f>
        <v>250</v>
      </c>
      <c r="C1461" s="42">
        <f>原始数据!J1461/(原始数据!J$2/100)</f>
        <v>251.29685502672595</v>
      </c>
    </row>
    <row r="1462" spans="1:3" ht="18" customHeight="1" x14ac:dyDescent="0.3">
      <c r="A1462" s="41">
        <f>表1[[#This Row],[订单日期]]</f>
        <v>45924</v>
      </c>
      <c r="B1462" s="42">
        <f>原始数据!G1462/(原始数据!G$2/100)</f>
        <v>250</v>
      </c>
      <c r="C1462" s="42">
        <f>原始数据!J1462/(原始数据!J$2/100)</f>
        <v>512.59691330274552</v>
      </c>
    </row>
    <row r="1463" spans="1:3" ht="18" customHeight="1" x14ac:dyDescent="0.3">
      <c r="A1463" s="41">
        <f>表1[[#This Row],[订单日期]]</f>
        <v>45924</v>
      </c>
      <c r="B1463" s="42">
        <f>原始数据!G1463/(原始数据!G$2/100)</f>
        <v>250</v>
      </c>
      <c r="C1463" s="42">
        <f>原始数据!J1463/(原始数据!J$2/100)</f>
        <v>339.72464792958169</v>
      </c>
    </row>
    <row r="1464" spans="1:3" ht="18" customHeight="1" x14ac:dyDescent="0.3">
      <c r="A1464" s="41">
        <f>表1[[#This Row],[订单日期]]</f>
        <v>45924</v>
      </c>
      <c r="B1464" s="42">
        <f>原始数据!G1464/(原始数据!G$2/100)</f>
        <v>250</v>
      </c>
      <c r="C1464" s="42">
        <f>原始数据!J1464/(原始数据!J$2/100)</f>
        <v>243.54593439530984</v>
      </c>
    </row>
    <row r="1465" spans="1:3" ht="18" customHeight="1" x14ac:dyDescent="0.3">
      <c r="A1465" s="41">
        <f>表1[[#This Row],[订单日期]]</f>
        <v>45924</v>
      </c>
      <c r="B1465" s="42">
        <f>原始数据!G1465/(原始数据!G$2/100)</f>
        <v>250</v>
      </c>
      <c r="C1465" s="42">
        <f>原始数据!J1465/(原始数据!J$2/100)</f>
        <v>431.47679394908607</v>
      </c>
    </row>
    <row r="1466" spans="1:3" ht="18" customHeight="1" x14ac:dyDescent="0.3">
      <c r="A1466" s="41">
        <f>表1[[#This Row],[订单日期]]</f>
        <v>45924</v>
      </c>
      <c r="B1466" s="42">
        <f>原始数据!G1466/(原始数据!G$2/100)</f>
        <v>250</v>
      </c>
      <c r="C1466" s="42">
        <f>原始数据!J1466/(原始数据!J$2/100)</f>
        <v>406.77167242276153</v>
      </c>
    </row>
    <row r="1467" spans="1:3" ht="18" customHeight="1" x14ac:dyDescent="0.3">
      <c r="A1467" s="41">
        <f>表1[[#This Row],[订单日期]]</f>
        <v>45924</v>
      </c>
      <c r="B1467" s="42">
        <f>原始数据!G1467/(原始数据!G$2/100)</f>
        <v>300</v>
      </c>
      <c r="C1467" s="42">
        <f>原始数据!J1467/(原始数据!J$2/100)</f>
        <v>94.336042953713999</v>
      </c>
    </row>
    <row r="1468" spans="1:3" ht="18" customHeight="1" x14ac:dyDescent="0.3">
      <c r="A1468" s="41">
        <f>表1[[#This Row],[订单日期]]</f>
        <v>45924</v>
      </c>
      <c r="B1468" s="42">
        <f>原始数据!G1468/(原始数据!G$2/100)</f>
        <v>300</v>
      </c>
      <c r="C1468" s="42">
        <f>原始数据!J1468/(原始数据!J$2/100)</f>
        <v>400.65024031164148</v>
      </c>
    </row>
    <row r="1469" spans="1:3" ht="18" customHeight="1" x14ac:dyDescent="0.3">
      <c r="A1469" s="41">
        <f>表1[[#This Row],[订单日期]]</f>
        <v>45924</v>
      </c>
      <c r="B1469" s="42">
        <f>原始数据!G1469/(原始数据!G$2/100)</f>
        <v>300</v>
      </c>
      <c r="C1469" s="42">
        <f>原始数据!J1469/(原始数据!J$2/100)</f>
        <v>282.49442935603099</v>
      </c>
    </row>
    <row r="1470" spans="1:3" ht="18" customHeight="1" x14ac:dyDescent="0.3">
      <c r="A1470" s="41">
        <f>表1[[#This Row],[订单日期]]</f>
        <v>45924</v>
      </c>
      <c r="B1470" s="42">
        <f>原始数据!G1470/(原始数据!G$2/100)</f>
        <v>300</v>
      </c>
      <c r="C1470" s="42">
        <f>原始数据!J1470/(原始数据!J$2/100)</f>
        <v>474.56169127179783</v>
      </c>
    </row>
    <row r="1471" spans="1:3" ht="18" customHeight="1" x14ac:dyDescent="0.3">
      <c r="A1471" s="41">
        <f>表1[[#This Row],[订单日期]]</f>
        <v>45924</v>
      </c>
      <c r="B1471" s="42">
        <f>原始数据!G1471/(原始数据!G$2/100)</f>
        <v>300</v>
      </c>
      <c r="C1471" s="42">
        <f>原始数据!J1471/(原始数据!J$2/100)</f>
        <v>146.75001042620866</v>
      </c>
    </row>
    <row r="1472" spans="1:3" ht="18" customHeight="1" x14ac:dyDescent="0.3">
      <c r="A1472" s="41">
        <f>表1[[#This Row],[订单日期]]</f>
        <v>45924</v>
      </c>
      <c r="B1472" s="42">
        <f>原始数据!G1472/(原始数据!G$2/100)</f>
        <v>300</v>
      </c>
      <c r="C1472" s="42">
        <f>原始数据!J1472/(原始数据!J$2/100)</f>
        <v>430.90185367314473</v>
      </c>
    </row>
    <row r="1473" spans="1:3" ht="18" customHeight="1" x14ac:dyDescent="0.3">
      <c r="A1473" s="41">
        <f>表1[[#This Row],[订单日期]]</f>
        <v>45924</v>
      </c>
      <c r="B1473" s="42">
        <f>原始数据!G1473/(原始数据!G$2/100)</f>
        <v>300</v>
      </c>
      <c r="C1473" s="42">
        <f>原始数据!J1473/(原始数据!J$2/100)</f>
        <v>181.87734169213005</v>
      </c>
    </row>
    <row r="1474" spans="1:3" ht="18" customHeight="1" x14ac:dyDescent="0.3">
      <c r="A1474" s="41">
        <f>表1[[#This Row],[订单日期]]</f>
        <v>45924</v>
      </c>
      <c r="B1474" s="42">
        <f>原始数据!G1474/(原始数据!G$2/100)</f>
        <v>300</v>
      </c>
      <c r="C1474" s="42">
        <f>原始数据!J1474/(原始数据!J$2/100)</f>
        <v>183.0159229417059</v>
      </c>
    </row>
    <row r="1475" spans="1:3" ht="18" customHeight="1" x14ac:dyDescent="0.3">
      <c r="A1475" s="41">
        <f>表1[[#This Row],[订单日期]]</f>
        <v>45924</v>
      </c>
      <c r="B1475" s="42">
        <f>原始数据!G1475/(原始数据!G$2/100)</f>
        <v>300</v>
      </c>
      <c r="C1475" s="42">
        <f>原始数据!J1475/(原始数据!J$2/100)</f>
        <v>522.06947729584806</v>
      </c>
    </row>
    <row r="1476" spans="1:3" ht="18" customHeight="1" x14ac:dyDescent="0.3">
      <c r="A1476" s="41">
        <f>表1[[#This Row],[订单日期]]</f>
        <v>45924</v>
      </c>
      <c r="B1476" s="42">
        <f>原始数据!G1476/(原始数据!G$2/100)</f>
        <v>300</v>
      </c>
      <c r="C1476" s="42">
        <f>原始数据!J1476/(原始数据!J$2/100)</f>
        <v>290.61415215056917</v>
      </c>
    </row>
    <row r="1477" spans="1:3" ht="18" customHeight="1" x14ac:dyDescent="0.3">
      <c r="A1477" s="41">
        <f>表1[[#This Row],[订单日期]]</f>
        <v>45924</v>
      </c>
      <c r="B1477" s="42">
        <f>原始数据!G1477/(原始数据!G$2/100)</f>
        <v>300</v>
      </c>
      <c r="C1477" s="42">
        <f>原始数据!J1477/(原始数据!J$2/100)</f>
        <v>265.54022846112258</v>
      </c>
    </row>
    <row r="1478" spans="1:3" ht="18" customHeight="1" x14ac:dyDescent="0.3">
      <c r="A1478" s="41">
        <f>表1[[#This Row],[订单日期]]</f>
        <v>45924</v>
      </c>
      <c r="B1478" s="42">
        <f>原始数据!G1478/(原始数据!G$2/100)</f>
        <v>300</v>
      </c>
      <c r="C1478" s="42">
        <f>原始数据!J1478/(原始数据!J$2/100)</f>
        <v>383.58522764617811</v>
      </c>
    </row>
    <row r="1479" spans="1:3" ht="18" customHeight="1" x14ac:dyDescent="0.3">
      <c r="A1479" s="41">
        <f>表1[[#This Row],[订单日期]]</f>
        <v>45924</v>
      </c>
      <c r="B1479" s="42">
        <f>原始数据!G1479/(原始数据!G$2/100)</f>
        <v>300</v>
      </c>
      <c r="C1479" s="42">
        <f>原始数据!J1479/(原始数据!J$2/100)</f>
        <v>405.71711821314324</v>
      </c>
    </row>
    <row r="1480" spans="1:3" ht="18" customHeight="1" x14ac:dyDescent="0.3">
      <c r="A1480" s="41">
        <f>表1[[#This Row],[订单日期]]</f>
        <v>45924</v>
      </c>
      <c r="B1480" s="42">
        <f>原始数据!G1480/(原始数据!G$2/100)</f>
        <v>300</v>
      </c>
      <c r="C1480" s="42">
        <f>原始数据!J1480/(原始数据!J$2/100)</f>
        <v>404.7502758221749</v>
      </c>
    </row>
    <row r="1481" spans="1:3" ht="18" customHeight="1" x14ac:dyDescent="0.3">
      <c r="A1481" s="41">
        <f>表1[[#This Row],[订单日期]]</f>
        <v>45924</v>
      </c>
      <c r="B1481" s="42">
        <f>原始数据!G1481/(原始数据!G$2/100)</f>
        <v>300</v>
      </c>
      <c r="C1481" s="42">
        <f>原始数据!J1481/(原始数据!J$2/100)</f>
        <v>32.281451442938064</v>
      </c>
    </row>
    <row r="1482" spans="1:3" ht="18" customHeight="1" x14ac:dyDescent="0.3">
      <c r="A1482" s="41">
        <f>表1[[#This Row],[订单日期]]</f>
        <v>45924</v>
      </c>
      <c r="B1482" s="42">
        <f>原始数据!G1482/(原始数据!G$2/100)</f>
        <v>300</v>
      </c>
      <c r="C1482" s="42">
        <f>原始数据!J1482/(原始数据!J$2/100)</f>
        <v>10.260372646527903</v>
      </c>
    </row>
    <row r="1483" spans="1:3" ht="18" customHeight="1" x14ac:dyDescent="0.3">
      <c r="A1483" s="41">
        <f>表1[[#This Row],[订单日期]]</f>
        <v>45924</v>
      </c>
      <c r="B1483" s="42">
        <f>原始数据!G1483/(原始数据!G$2/100)</f>
        <v>300</v>
      </c>
      <c r="C1483" s="42">
        <f>原始数据!J1483/(原始数据!J$2/100)</f>
        <v>76.38453612381096</v>
      </c>
    </row>
    <row r="1484" spans="1:3" ht="18" customHeight="1" x14ac:dyDescent="0.3">
      <c r="A1484" s="41">
        <f>表1[[#This Row],[订单日期]]</f>
        <v>45924</v>
      </c>
      <c r="B1484" s="42">
        <f>原始数据!G1484/(原始数据!G$2/100)</f>
        <v>300</v>
      </c>
      <c r="C1484" s="42">
        <f>原始数据!J1484/(原始数据!J$2/100)</f>
        <v>430.23698304981502</v>
      </c>
    </row>
    <row r="1485" spans="1:3" ht="18" customHeight="1" x14ac:dyDescent="0.3">
      <c r="A1485" s="41">
        <f>表1[[#This Row],[订单日期]]</f>
        <v>45924</v>
      </c>
      <c r="B1485" s="42">
        <f>原始数据!G1485/(原始数据!G$2/100)</f>
        <v>300</v>
      </c>
      <c r="C1485" s="42">
        <f>原始数据!J1485/(原始数据!J$2/100)</f>
        <v>500.01793495541165</v>
      </c>
    </row>
    <row r="1486" spans="1:3" ht="18" customHeight="1" x14ac:dyDescent="0.3">
      <c r="A1486" s="41">
        <f>表1[[#This Row],[订单日期]]</f>
        <v>45924</v>
      </c>
      <c r="B1486" s="42">
        <f>原始数据!G1486/(原始数据!G$2/100)</f>
        <v>300</v>
      </c>
      <c r="C1486" s="42">
        <f>原始数据!J1486/(原始数据!J$2/100)</f>
        <v>225.12439575258958</v>
      </c>
    </row>
    <row r="1487" spans="1:3" ht="18" customHeight="1" x14ac:dyDescent="0.3">
      <c r="A1487" s="41">
        <f>表1[[#This Row],[订单日期]]</f>
        <v>45924</v>
      </c>
      <c r="B1487" s="42">
        <f>原始数据!G1487/(原始数据!G$2/100)</f>
        <v>300</v>
      </c>
      <c r="C1487" s="42">
        <f>原始数据!J1487/(原始数据!J$2/100)</f>
        <v>232.62913260630035</v>
      </c>
    </row>
    <row r="1488" spans="1:3" ht="18" customHeight="1" x14ac:dyDescent="0.3">
      <c r="A1488" s="41">
        <f>表1[[#This Row],[订单日期]]</f>
        <v>45924</v>
      </c>
      <c r="B1488" s="42">
        <f>原始数据!G1488/(原始数据!G$2/100)</f>
        <v>300</v>
      </c>
      <c r="C1488" s="42">
        <f>原始数据!J1488/(原始数据!J$2/100)</f>
        <v>358.09852041853799</v>
      </c>
    </row>
    <row r="1489" spans="1:3" ht="18" customHeight="1" x14ac:dyDescent="0.3">
      <c r="A1489" s="41">
        <f>表1[[#This Row],[订单日期]]</f>
        <v>45924</v>
      </c>
      <c r="B1489" s="42">
        <f>原始数据!G1489/(原始数据!G$2/100)</f>
        <v>300</v>
      </c>
      <c r="C1489" s="42">
        <f>原始数据!J1489/(原始数据!J$2/100)</f>
        <v>455.8040385039838</v>
      </c>
    </row>
    <row r="1490" spans="1:3" ht="18" customHeight="1" x14ac:dyDescent="0.3">
      <c r="A1490" s="41">
        <f>表1[[#This Row],[订单日期]]</f>
        <v>45924</v>
      </c>
      <c r="B1490" s="42">
        <f>原始数据!G1490/(原始数据!G$2/100)</f>
        <v>300</v>
      </c>
      <c r="C1490" s="42">
        <f>原始数据!J1490/(原始数据!J$2/100)</f>
        <v>67.106810941220857</v>
      </c>
    </row>
    <row r="1491" spans="1:3" ht="18" customHeight="1" x14ac:dyDescent="0.3">
      <c r="A1491" s="41">
        <f>表1[[#This Row],[订单日期]]</f>
        <v>45924</v>
      </c>
      <c r="B1491" s="42">
        <f>原始数据!G1491/(原始数据!G$2/100)</f>
        <v>300</v>
      </c>
      <c r="C1491" s="42">
        <f>原始数据!J1491/(原始数据!J$2/100)</f>
        <v>465.66628608337498</v>
      </c>
    </row>
    <row r="1492" spans="1:3" ht="18" customHeight="1" x14ac:dyDescent="0.3">
      <c r="A1492" s="41">
        <f>表1[[#This Row],[订单日期]]</f>
        <v>45924</v>
      </c>
      <c r="B1492" s="42">
        <f>原始数据!G1492/(原始数据!G$2/100)</f>
        <v>300</v>
      </c>
      <c r="C1492" s="42">
        <f>原始数据!J1492/(原始数据!J$2/100)</f>
        <v>18.128008355929854</v>
      </c>
    </row>
    <row r="1493" spans="1:3" ht="18" customHeight="1" x14ac:dyDescent="0.3">
      <c r="A1493" s="41">
        <f>表1[[#This Row],[订单日期]]</f>
        <v>45924</v>
      </c>
      <c r="B1493" s="42">
        <f>原始数据!G1493/(原始数据!G$2/100)</f>
        <v>300</v>
      </c>
      <c r="C1493" s="42">
        <f>原始数据!J1493/(原始数据!J$2/100)</f>
        <v>61.09251178722689</v>
      </c>
    </row>
    <row r="1494" spans="1:3" ht="18" customHeight="1" x14ac:dyDescent="0.3">
      <c r="A1494" s="41">
        <f>表1[[#This Row],[订单日期]]</f>
        <v>45924</v>
      </c>
      <c r="B1494" s="42">
        <f>原始数据!G1494/(原始数据!G$2/100)</f>
        <v>300</v>
      </c>
      <c r="C1494" s="42">
        <f>原始数据!J1494/(原始数据!J$2/100)</f>
        <v>399.0988755238721</v>
      </c>
    </row>
    <row r="1495" spans="1:3" ht="18" customHeight="1" x14ac:dyDescent="0.3">
      <c r="A1495" s="41">
        <f>表1[[#This Row],[订单日期]]</f>
        <v>45924</v>
      </c>
      <c r="B1495" s="42">
        <f>原始数据!G1495/(原始数据!G$2/100)</f>
        <v>300</v>
      </c>
      <c r="C1495" s="42">
        <f>原始数据!J1495/(原始数据!J$2/100)</f>
        <v>40.592334234559843</v>
      </c>
    </row>
    <row r="1496" spans="1:3" ht="18" customHeight="1" x14ac:dyDescent="0.3">
      <c r="A1496" s="41">
        <f>表1[[#This Row],[订单日期]]</f>
        <v>45924</v>
      </c>
      <c r="B1496" s="42">
        <f>原始数据!G1496/(原始数据!G$2/100)</f>
        <v>300</v>
      </c>
      <c r="C1496" s="42">
        <f>原始数据!J1496/(原始数据!J$2/100)</f>
        <v>51.593163063526873</v>
      </c>
    </row>
    <row r="1497" spans="1:3" ht="18" customHeight="1" x14ac:dyDescent="0.3">
      <c r="A1497" s="41">
        <f>表1[[#This Row],[订单日期]]</f>
        <v>45924</v>
      </c>
      <c r="B1497" s="42">
        <f>原始数据!G1497/(原始数据!G$2/100)</f>
        <v>300</v>
      </c>
      <c r="C1497" s="42">
        <f>原始数据!J1497/(原始数据!J$2/100)</f>
        <v>148.63381052564293</v>
      </c>
    </row>
    <row r="1498" spans="1:3" ht="18" customHeight="1" x14ac:dyDescent="0.3">
      <c r="A1498" s="41">
        <f>表1[[#This Row],[订单日期]]</f>
        <v>45924</v>
      </c>
      <c r="B1498" s="42">
        <f>原始数据!G1498/(原始数据!G$2/100)</f>
        <v>300</v>
      </c>
      <c r="C1498" s="42">
        <f>原始数据!J1498/(原始数据!J$2/100)</f>
        <v>54.474269097955755</v>
      </c>
    </row>
    <row r="1499" spans="1:3" ht="18" customHeight="1" x14ac:dyDescent="0.3">
      <c r="A1499" s="41">
        <f>表1[[#This Row],[订单日期]]</f>
        <v>45924</v>
      </c>
      <c r="B1499" s="42">
        <f>原始数据!G1499/(原始数据!G$2/100)</f>
        <v>300</v>
      </c>
      <c r="C1499" s="42">
        <f>原始数据!J1499/(原始数据!J$2/100)</f>
        <v>303.77028930258274</v>
      </c>
    </row>
    <row r="1500" spans="1:3" ht="18" customHeight="1" x14ac:dyDescent="0.3">
      <c r="A1500" s="41">
        <f>表1[[#This Row],[订单日期]]</f>
        <v>45924</v>
      </c>
      <c r="B1500" s="42">
        <f>原始数据!G1500/(原始数据!G$2/100)</f>
        <v>300</v>
      </c>
      <c r="C1500" s="42">
        <f>原始数据!J1500/(原始数据!J$2/100)</f>
        <v>483.64825645730429</v>
      </c>
    </row>
    <row r="1501" spans="1:3" ht="18" customHeight="1" x14ac:dyDescent="0.3">
      <c r="A1501" s="41">
        <f>表1[[#This Row],[订单日期]]</f>
        <v>45924</v>
      </c>
      <c r="B1501" s="42">
        <f>原始数据!G1501/(原始数据!G$2/100)</f>
        <v>300</v>
      </c>
      <c r="C1501" s="42">
        <f>原始数据!J1501/(原始数据!J$2/100)</f>
        <v>460.01488578507218</v>
      </c>
    </row>
    <row r="1502" spans="1:3" ht="18" customHeight="1" x14ac:dyDescent="0.3">
      <c r="A1502" s="41">
        <f>表1[[#This Row],[订单日期]]</f>
        <v>45924</v>
      </c>
      <c r="B1502" s="42">
        <f>原始数据!G1502/(原始数据!G$2/100)</f>
        <v>300</v>
      </c>
      <c r="C1502" s="42">
        <f>原始数据!J1502/(原始数据!J$2/100)</f>
        <v>150.32645062799358</v>
      </c>
    </row>
    <row r="1503" spans="1:3" ht="18" customHeight="1" x14ac:dyDescent="0.3">
      <c r="A1503" s="41">
        <f>表1[[#This Row],[订单日期]]</f>
        <v>45924</v>
      </c>
      <c r="B1503" s="42">
        <f>原始数据!G1503/(原始数据!G$2/100)</f>
        <v>550</v>
      </c>
      <c r="C1503" s="42">
        <f>原始数据!J1503/(原始数据!J$2/100)</f>
        <v>33.558978725973937</v>
      </c>
    </row>
    <row r="1504" spans="1:3" ht="18" customHeight="1" x14ac:dyDescent="0.3">
      <c r="A1504" s="41">
        <f>表1[[#This Row],[订单日期]]</f>
        <v>45924</v>
      </c>
      <c r="B1504" s="42">
        <f>原始数据!G1504/(原始数据!G$2/100)</f>
        <v>550</v>
      </c>
      <c r="C1504" s="42">
        <f>原始数据!J1504/(原始数据!J$2/100)</f>
        <v>65.583580416356511</v>
      </c>
    </row>
    <row r="1505" spans="1:3" ht="18" customHeight="1" x14ac:dyDescent="0.3">
      <c r="A1505" s="41">
        <f>表1[[#This Row],[订单日期]]</f>
        <v>45924</v>
      </c>
      <c r="B1505" s="42">
        <f>原始数据!G1505/(原始数据!G$2/100)</f>
        <v>550</v>
      </c>
      <c r="C1505" s="42">
        <f>原始数据!J1505/(原始数据!J$2/100)</f>
        <v>143.26263157538139</v>
      </c>
    </row>
    <row r="1506" spans="1:3" ht="18" customHeight="1" x14ac:dyDescent="0.3">
      <c r="A1506" s="41">
        <f>表1[[#This Row],[订单日期]]</f>
        <v>45924</v>
      </c>
      <c r="B1506" s="42">
        <f>原始数据!G1506/(原始数据!G$2/100)</f>
        <v>550</v>
      </c>
      <c r="C1506" s="42">
        <f>原始数据!J1506/(原始数据!J$2/100)</f>
        <v>95.835193777859786</v>
      </c>
    </row>
    <row r="1507" spans="1:3" ht="18" customHeight="1" x14ac:dyDescent="0.3">
      <c r="A1507" s="41">
        <f>表1[[#This Row],[订单日期]]</f>
        <v>45924</v>
      </c>
      <c r="B1507" s="42">
        <f>原始数据!G1507/(原始数据!G$2/100)</f>
        <v>550</v>
      </c>
      <c r="C1507" s="42">
        <f>原始数据!J1507/(原始数据!J$2/100)</f>
        <v>455.64101276980529</v>
      </c>
    </row>
    <row r="1508" spans="1:3" ht="18" customHeight="1" x14ac:dyDescent="0.3">
      <c r="A1508" s="41">
        <f>表1[[#This Row],[订单日期]]</f>
        <v>45924</v>
      </c>
      <c r="B1508" s="42">
        <f>原始数据!G1508/(原始数据!G$2/100)</f>
        <v>550</v>
      </c>
      <c r="C1508" s="42">
        <f>原始数据!J1508/(原始数据!J$2/100)</f>
        <v>141.9328903287219</v>
      </c>
    </row>
    <row r="1509" spans="1:3" ht="18" customHeight="1" x14ac:dyDescent="0.3">
      <c r="A1509" s="41">
        <f>表1[[#This Row],[订单日期]]</f>
        <v>45924</v>
      </c>
      <c r="B1509" s="42">
        <f>原始数据!G1509/(原始数据!G$2/100)</f>
        <v>550</v>
      </c>
      <c r="C1509" s="42">
        <f>原始数据!J1509/(原始数据!J$2/100)</f>
        <v>201.77124642839868</v>
      </c>
    </row>
    <row r="1510" spans="1:3" ht="18" customHeight="1" x14ac:dyDescent="0.3">
      <c r="A1510" s="41">
        <f>表1[[#This Row],[订单日期]]</f>
        <v>45924</v>
      </c>
      <c r="B1510" s="42">
        <f>原始数据!G1510/(原始数据!G$2/100)</f>
        <v>550</v>
      </c>
      <c r="C1510" s="42">
        <f>原始数据!J1510/(原始数据!J$2/100)</f>
        <v>23.585919376027803</v>
      </c>
    </row>
    <row r="1511" spans="1:3" ht="18" customHeight="1" x14ac:dyDescent="0.3">
      <c r="A1511" s="41">
        <f>表1[[#This Row],[订单日期]]</f>
        <v>45924</v>
      </c>
      <c r="B1511" s="42">
        <f>原始数据!G1511/(原始数据!G$2/100)</f>
        <v>550</v>
      </c>
      <c r="C1511" s="42">
        <f>原始数据!J1511/(原始数据!J$2/100)</f>
        <v>177.94671575908293</v>
      </c>
    </row>
    <row r="1512" spans="1:3" ht="18" customHeight="1" x14ac:dyDescent="0.3">
      <c r="A1512" s="41">
        <f>表1[[#This Row],[订单日期]]</f>
        <v>45924</v>
      </c>
      <c r="B1512" s="42">
        <f>原始数据!G1512/(原始数据!G$2/100)</f>
        <v>650</v>
      </c>
      <c r="C1512" s="42">
        <f>原始数据!J1512/(原始数据!J$2/100)</f>
        <v>339.31678158420971</v>
      </c>
    </row>
    <row r="1513" spans="1:3" ht="18" customHeight="1" x14ac:dyDescent="0.3">
      <c r="A1513" s="41">
        <f>表1[[#This Row],[订单日期]]</f>
        <v>45924</v>
      </c>
      <c r="B1513" s="42">
        <f>原始数据!G1513/(原始数据!G$2/100)</f>
        <v>650</v>
      </c>
      <c r="C1513" s="42">
        <f>原始数据!J1513/(原始数据!J$2/100)</f>
        <v>187.72627946502848</v>
      </c>
    </row>
    <row r="1514" spans="1:3" ht="18" customHeight="1" x14ac:dyDescent="0.3">
      <c r="A1514" s="41">
        <f>表1[[#This Row],[订单日期]]</f>
        <v>45924</v>
      </c>
      <c r="B1514" s="42">
        <f>原始数据!G1514/(原始数据!G$2/100)</f>
        <v>650</v>
      </c>
      <c r="C1514" s="42">
        <f>原始数据!J1514/(原始数据!J$2/100)</f>
        <v>203.01830380161255</v>
      </c>
    </row>
    <row r="1515" spans="1:3" ht="18" customHeight="1" x14ac:dyDescent="0.3">
      <c r="A1515" s="41">
        <f>表1[[#This Row],[订单日期]]</f>
        <v>45924</v>
      </c>
      <c r="B1515" s="42">
        <f>原始数据!G1515/(原始数据!G$2/100)</f>
        <v>650</v>
      </c>
      <c r="C1515" s="42">
        <f>原始数据!J1515/(原始数据!J$2/100)</f>
        <v>522.26701477044367</v>
      </c>
    </row>
    <row r="1516" spans="1:3" ht="18" customHeight="1" x14ac:dyDescent="0.3">
      <c r="A1516" s="41">
        <f>表1[[#This Row],[订单日期]]</f>
        <v>45924</v>
      </c>
      <c r="B1516" s="42">
        <f>原始数据!G1516/(原始数据!G$2/100)</f>
        <v>650</v>
      </c>
      <c r="C1516" s="42">
        <f>原始数据!J1516/(原始数据!J$2/100)</f>
        <v>89.103803671116736</v>
      </c>
    </row>
    <row r="1517" spans="1:3" ht="18" customHeight="1" x14ac:dyDescent="0.3">
      <c r="A1517" s="41">
        <f>表1[[#This Row],[订单日期]]</f>
        <v>45924</v>
      </c>
      <c r="B1517" s="42">
        <f>原始数据!G1517/(原始数据!G$2/100)</f>
        <v>650</v>
      </c>
      <c r="C1517" s="42">
        <f>原始数据!J1517/(原始数据!J$2/100)</f>
        <v>423.42291543542206</v>
      </c>
    </row>
    <row r="1518" spans="1:3" ht="18" customHeight="1" x14ac:dyDescent="0.3">
      <c r="A1518" s="41">
        <f>表1[[#This Row],[订单日期]]</f>
        <v>45924</v>
      </c>
      <c r="B1518" s="42">
        <f>原始数据!G1518/(原始数据!G$2/100)</f>
        <v>650</v>
      </c>
      <c r="C1518" s="42">
        <f>原始数据!J1518/(原始数据!J$2/100)</f>
        <v>379.31983075454917</v>
      </c>
    </row>
    <row r="1519" spans="1:3" ht="18" customHeight="1" x14ac:dyDescent="0.3">
      <c r="A1519" s="41">
        <f>表1[[#This Row],[订单日期]]</f>
        <v>45924</v>
      </c>
      <c r="B1519" s="42">
        <f>原始数据!G1519/(原始数据!G$2/100)</f>
        <v>650</v>
      </c>
      <c r="C1519" s="42">
        <f>原始数据!J1519/(原始数据!J$2/100)</f>
        <v>247.0105767119305</v>
      </c>
    </row>
    <row r="1520" spans="1:3" ht="18" customHeight="1" x14ac:dyDescent="0.3">
      <c r="A1520" s="41">
        <f>表1[[#This Row],[订单日期]]</f>
        <v>45924</v>
      </c>
      <c r="B1520" s="42">
        <f>原始数据!G1520/(原始数据!G$2/100)</f>
        <v>650</v>
      </c>
      <c r="C1520" s="42">
        <f>原始数据!J1520/(原始数据!J$2/100)</f>
        <v>21.065376550373127</v>
      </c>
    </row>
    <row r="1521" spans="1:3" ht="18" customHeight="1" x14ac:dyDescent="0.3">
      <c r="A1521" s="41">
        <f>表1[[#This Row],[订单日期]]</f>
        <v>45924</v>
      </c>
      <c r="B1521" s="42">
        <f>原始数据!G1521/(原始数据!G$2/100)</f>
        <v>650</v>
      </c>
      <c r="C1521" s="42">
        <f>原始数据!J1521/(原始数据!J$2/100)</f>
        <v>370.12245379848775</v>
      </c>
    </row>
    <row r="1522" spans="1:3" ht="18" customHeight="1" x14ac:dyDescent="0.3">
      <c r="A1522" s="41">
        <f>表1[[#This Row],[订单日期]]</f>
        <v>45924</v>
      </c>
      <c r="B1522" s="42">
        <f>原始数据!G1522/(原始数据!G$2/100)</f>
        <v>650</v>
      </c>
      <c r="C1522" s="42">
        <f>原始数据!J1522/(原始数据!J$2/100)</f>
        <v>459.54755263633803</v>
      </c>
    </row>
    <row r="1523" spans="1:3" ht="18" customHeight="1" x14ac:dyDescent="0.3">
      <c r="A1523" s="41">
        <f>表1[[#This Row],[订单日期]]</f>
        <v>45924</v>
      </c>
      <c r="B1523" s="42">
        <f>原始数据!G1523/(原始数据!G$2/100)</f>
        <v>650</v>
      </c>
      <c r="C1523" s="42">
        <f>原始数据!J1523/(原始数据!J$2/100)</f>
        <v>167.33691368291639</v>
      </c>
    </row>
    <row r="1524" spans="1:3" ht="18" customHeight="1" x14ac:dyDescent="0.3">
      <c r="A1524" s="41">
        <f>表1[[#This Row],[订单日期]]</f>
        <v>45924</v>
      </c>
      <c r="B1524" s="42">
        <f>原始数据!G1524/(原始数据!G$2/100)</f>
        <v>650</v>
      </c>
      <c r="C1524" s="42">
        <f>原始数据!J1524/(原始数据!J$2/100)</f>
        <v>73.257720481757886</v>
      </c>
    </row>
    <row r="1525" spans="1:3" ht="18" customHeight="1" x14ac:dyDescent="0.3">
      <c r="A1525" s="41">
        <f>表1[[#This Row],[订单日期]]</f>
        <v>45924</v>
      </c>
      <c r="B1525" s="42">
        <f>原始数据!G1525/(原始数据!G$2/100)</f>
        <v>650</v>
      </c>
      <c r="C1525" s="42">
        <f>原始数据!J1525/(原始数据!J$2/100)</f>
        <v>258.31337730853613</v>
      </c>
    </row>
    <row r="1526" spans="1:3" ht="18" customHeight="1" x14ac:dyDescent="0.3">
      <c r="A1526" s="41">
        <f>表1[[#This Row],[订单日期]]</f>
        <v>45924</v>
      </c>
      <c r="B1526" s="42">
        <f>原始数据!G1526/(原始数据!G$2/100)</f>
        <v>650</v>
      </c>
      <c r="C1526" s="42">
        <f>原始数据!J1526/(原始数据!J$2/100)</f>
        <v>550.52401626195774</v>
      </c>
    </row>
    <row r="1527" spans="1:3" ht="18" customHeight="1" x14ac:dyDescent="0.3">
      <c r="A1527" s="41">
        <f>表1[[#This Row],[订单日期]]</f>
        <v>45924</v>
      </c>
      <c r="B1527" s="42">
        <f>原始数据!G1527/(原始数据!G$2/100)</f>
        <v>650</v>
      </c>
      <c r="C1527" s="42">
        <f>原始数据!J1527/(原始数据!J$2/100)</f>
        <v>501.76683721777664</v>
      </c>
    </row>
    <row r="1528" spans="1:3" ht="18" customHeight="1" x14ac:dyDescent="0.3">
      <c r="A1528" s="41">
        <f>表1[[#This Row],[订单日期]]</f>
        <v>45924</v>
      </c>
      <c r="B1528" s="42">
        <f>原始数据!G1528/(原始数据!G$2/100)</f>
        <v>650</v>
      </c>
      <c r="C1528" s="42">
        <f>原始数据!J1528/(原始数据!J$2/100)</f>
        <v>84.338897537253587</v>
      </c>
    </row>
    <row r="1529" spans="1:3" ht="18" customHeight="1" x14ac:dyDescent="0.3">
      <c r="A1529" s="41">
        <f>表1[[#This Row],[订单日期]]</f>
        <v>45924</v>
      </c>
      <c r="B1529" s="42">
        <f>原始数据!G1529/(原始数据!G$2/100)</f>
        <v>650</v>
      </c>
      <c r="C1529" s="42">
        <f>原始数据!J1529/(原始数据!J$2/100)</f>
        <v>15.303164481515362</v>
      </c>
    </row>
    <row r="1530" spans="1:3" ht="18" customHeight="1" x14ac:dyDescent="0.3">
      <c r="A1530" s="41">
        <f>表1[[#This Row],[订单日期]]</f>
        <v>45924</v>
      </c>
      <c r="B1530" s="42">
        <f>原始数据!G1530/(原始数据!G$2/100)</f>
        <v>850</v>
      </c>
      <c r="C1530" s="42">
        <f>原始数据!J1530/(原始数据!J$2/100)</f>
        <v>150.6600720228501</v>
      </c>
    </row>
    <row r="1531" spans="1:3" ht="18" customHeight="1" x14ac:dyDescent="0.3">
      <c r="A1531" s="41">
        <f>表1[[#This Row],[订单日期]]</f>
        <v>45924</v>
      </c>
      <c r="B1531" s="42">
        <f>原始数据!G1531/(原始数据!G$2/100)</f>
        <v>850</v>
      </c>
      <c r="C1531" s="42">
        <f>原始数据!J1531/(原始数据!J$2/100)</f>
        <v>420.70835686528034</v>
      </c>
    </row>
    <row r="1532" spans="1:3" ht="18" customHeight="1" x14ac:dyDescent="0.3">
      <c r="A1532" s="41">
        <f>表1[[#This Row],[订单日期]]</f>
        <v>45924</v>
      </c>
      <c r="B1532" s="42">
        <f>原始数据!G1532/(原始数据!G$2/100)</f>
        <v>850</v>
      </c>
      <c r="C1532" s="42">
        <f>原始数据!J1532/(原始数据!J$2/100)</f>
        <v>307.34791558755933</v>
      </c>
    </row>
    <row r="1533" spans="1:3" ht="18" customHeight="1" x14ac:dyDescent="0.3">
      <c r="A1533" s="41">
        <f>表1[[#This Row],[订单日期]]</f>
        <v>45924</v>
      </c>
      <c r="B1533" s="42">
        <f>原始数据!G1533/(原始数据!G$2/100)</f>
        <v>850</v>
      </c>
      <c r="C1533" s="42">
        <f>原始数据!J1533/(原始数据!J$2/100)</f>
        <v>207.83894562920793</v>
      </c>
    </row>
    <row r="1534" spans="1:3" ht="18" customHeight="1" x14ac:dyDescent="0.3">
      <c r="A1534" s="41">
        <f>表1[[#This Row],[订单日期]]</f>
        <v>45924</v>
      </c>
      <c r="B1534" s="42">
        <f>原始数据!G1534/(原始数据!G$2/100)</f>
        <v>850</v>
      </c>
      <c r="C1534" s="42">
        <f>原始数据!J1534/(原始数据!J$2/100)</f>
        <v>144.23298933066258</v>
      </c>
    </row>
    <row r="1535" spans="1:3" ht="18" customHeight="1" x14ac:dyDescent="0.3">
      <c r="A1535" s="41">
        <f>表1[[#This Row],[订单日期]]</f>
        <v>45924</v>
      </c>
      <c r="B1535" s="42">
        <f>原始数据!G1535/(原始数据!G$2/100)</f>
        <v>850</v>
      </c>
      <c r="C1535" s="42">
        <f>原始数据!J1535/(原始数据!J$2/100)</f>
        <v>192.99016837484368</v>
      </c>
    </row>
    <row r="1536" spans="1:3" ht="18" customHeight="1" x14ac:dyDescent="0.3">
      <c r="A1536" s="41">
        <f>表1[[#This Row],[订单日期]]</f>
        <v>45924</v>
      </c>
      <c r="B1536" s="42">
        <f>原始数据!G1536/(原始数据!G$2/100)</f>
        <v>850</v>
      </c>
      <c r="C1536" s="42">
        <f>原始数据!J1536/(原始数据!J$2/100)</f>
        <v>239.86354731959048</v>
      </c>
    </row>
    <row r="1537" spans="1:3" ht="18" customHeight="1" x14ac:dyDescent="0.3">
      <c r="A1537" s="41">
        <f>表1[[#This Row],[订单日期]]</f>
        <v>45924</v>
      </c>
      <c r="B1537" s="42">
        <f>原始数据!G1537/(原始数据!G$2/100)</f>
        <v>850</v>
      </c>
      <c r="C1537" s="42">
        <f>原始数据!J1537/(原始数据!J$2/100)</f>
        <v>202.85241595423486</v>
      </c>
    </row>
    <row r="1538" spans="1:3" ht="18" customHeight="1" x14ac:dyDescent="0.3">
      <c r="A1538" s="41">
        <f>表1[[#This Row],[订单日期]]</f>
        <v>45924</v>
      </c>
      <c r="B1538" s="42">
        <f>原始数据!G1538/(原始数据!G$2/100)</f>
        <v>850</v>
      </c>
      <c r="C1538" s="42">
        <f>原始数据!J1538/(原始数据!J$2/100)</f>
        <v>192.87935660428872</v>
      </c>
    </row>
    <row r="1539" spans="1:3" ht="18" customHeight="1" x14ac:dyDescent="0.3">
      <c r="A1539" s="41">
        <f>表1[[#This Row],[订单日期]]</f>
        <v>45924</v>
      </c>
      <c r="B1539" s="42">
        <f>原始数据!G1539/(原始数据!G$2/100)</f>
        <v>850</v>
      </c>
      <c r="C1539" s="42">
        <f>原始数据!J1539/(原始数据!J$2/100)</f>
        <v>72.426962011050435</v>
      </c>
    </row>
    <row r="1540" spans="1:3" ht="18" customHeight="1" x14ac:dyDescent="0.3">
      <c r="A1540" s="41">
        <f>表1[[#This Row],[订单日期]]</f>
        <v>45924</v>
      </c>
      <c r="B1540" s="42">
        <f>原始数据!G1540/(原始数据!G$2/100)</f>
        <v>850</v>
      </c>
      <c r="C1540" s="42">
        <f>原始数据!J1540/(原始数据!J$2/100)</f>
        <v>348.23745892233848</v>
      </c>
    </row>
    <row r="1541" spans="1:3" ht="18" customHeight="1" x14ac:dyDescent="0.3">
      <c r="A1541" s="41">
        <f>表1[[#This Row],[订单日期]]</f>
        <v>45924</v>
      </c>
      <c r="B1541" s="42">
        <f>原始数据!G1541/(原始数据!G$2/100)</f>
        <v>850</v>
      </c>
      <c r="C1541" s="42">
        <f>原始数据!J1541/(原始数据!J$2/100)</f>
        <v>106.88942265364207</v>
      </c>
    </row>
    <row r="1542" spans="1:3" ht="18" customHeight="1" x14ac:dyDescent="0.3">
      <c r="A1542" s="41">
        <f>表1[[#This Row],[订单日期]]</f>
        <v>45924</v>
      </c>
      <c r="B1542" s="42">
        <f>原始数据!G1542/(原始数据!G$2/100)</f>
        <v>850</v>
      </c>
      <c r="C1542" s="42">
        <f>原始数据!J1542/(原始数据!J$2/100)</f>
        <v>277.09630222605603</v>
      </c>
    </row>
    <row r="1543" spans="1:3" ht="18" customHeight="1" x14ac:dyDescent="0.3">
      <c r="A1543" s="41">
        <f>表1[[#This Row],[订单日期]]</f>
        <v>45924</v>
      </c>
      <c r="B1543" s="42">
        <f>原始数据!G1543/(原始数据!G$2/100)</f>
        <v>850</v>
      </c>
      <c r="C1543" s="42">
        <f>原始数据!J1543/(原始数据!J$2/100)</f>
        <v>551.46624612012954</v>
      </c>
    </row>
    <row r="1544" spans="1:3" ht="18" customHeight="1" x14ac:dyDescent="0.3">
      <c r="A1544" s="41">
        <f>表1[[#This Row],[订单日期]]</f>
        <v>45924</v>
      </c>
      <c r="B1544" s="42">
        <f>原始数据!G1544/(原始数据!G$2/100)</f>
        <v>850</v>
      </c>
      <c r="C1544" s="42">
        <f>原始数据!J1544/(原始数据!J$2/100)</f>
        <v>227.67425255854522</v>
      </c>
    </row>
    <row r="1545" spans="1:3" ht="18" customHeight="1" x14ac:dyDescent="0.3">
      <c r="A1545" s="41">
        <f>表1[[#This Row],[订单日期]]</f>
        <v>45924</v>
      </c>
      <c r="B1545" s="42">
        <f>原始数据!G1545/(原始数据!G$2/100)</f>
        <v>850</v>
      </c>
      <c r="C1545" s="42">
        <f>原始数据!J1545/(原始数据!J$2/100)</f>
        <v>75.529691586589237</v>
      </c>
    </row>
    <row r="1546" spans="1:3" ht="18" customHeight="1" x14ac:dyDescent="0.3">
      <c r="A1546" s="41">
        <f>表1[[#This Row],[订单日期]]</f>
        <v>45924</v>
      </c>
      <c r="B1546" s="42">
        <f>原始数据!G1546/(原始数据!G$2/100)</f>
        <v>850</v>
      </c>
      <c r="C1546" s="42">
        <f>原始数据!J1546/(原始数据!J$2/100)</f>
        <v>294.93699728540412</v>
      </c>
    </row>
    <row r="1547" spans="1:3" ht="18" customHeight="1" x14ac:dyDescent="0.3">
      <c r="A1547" s="41">
        <f>表1[[#This Row],[订单日期]]</f>
        <v>45924</v>
      </c>
      <c r="B1547" s="42">
        <f>原始数据!G1547/(原始数据!G$2/100)</f>
        <v>850</v>
      </c>
      <c r="C1547" s="42">
        <f>原始数据!J1547/(原始数据!J$2/100)</f>
        <v>480.21427765329224</v>
      </c>
    </row>
    <row r="1548" spans="1:3" ht="18" customHeight="1" x14ac:dyDescent="0.3">
      <c r="A1548" s="41">
        <f>表1[[#This Row],[订单日期]]</f>
        <v>45924</v>
      </c>
      <c r="B1548" s="42">
        <f>原始数据!G1548/(原始数据!G$2/100)</f>
        <v>900</v>
      </c>
      <c r="C1548" s="42">
        <f>原始数据!J1548/(原始数据!J$2/100)</f>
        <v>192.05996280770484</v>
      </c>
    </row>
    <row r="1549" spans="1:3" ht="18" customHeight="1" x14ac:dyDescent="0.3">
      <c r="A1549" s="41">
        <f>表1[[#This Row],[订单日期]]</f>
        <v>45924</v>
      </c>
      <c r="B1549" s="42">
        <f>原始数据!G1549/(原始数据!G$2/100)</f>
        <v>900</v>
      </c>
      <c r="C1549" s="42">
        <f>原始数据!J1549/(原始数据!J$2/100)</f>
        <v>459.44876515681614</v>
      </c>
    </row>
    <row r="1550" spans="1:3" ht="18" customHeight="1" x14ac:dyDescent="0.3">
      <c r="A1550" s="41">
        <f>表1[[#This Row],[订单日期]]</f>
        <v>45924</v>
      </c>
      <c r="B1550" s="42">
        <f>原始数据!G1550/(原始数据!G$2/100)</f>
        <v>900</v>
      </c>
      <c r="C1550" s="42">
        <f>原始数据!J1550/(原始数据!J$2/100)</f>
        <v>377.7804902578128</v>
      </c>
    </row>
    <row r="1551" spans="1:3" ht="18" customHeight="1" x14ac:dyDescent="0.3">
      <c r="A1551" s="41">
        <f>表1[[#This Row],[订单日期]]</f>
        <v>45924</v>
      </c>
      <c r="B1551" s="42">
        <f>原始数据!G1551/(原始数据!G$2/100)</f>
        <v>900</v>
      </c>
      <c r="C1551" s="42">
        <f>原始数据!J1551/(原始数据!J$2/100)</f>
        <v>476.40296605172455</v>
      </c>
    </row>
    <row r="1552" spans="1:3" ht="18" customHeight="1" x14ac:dyDescent="0.3">
      <c r="A1552" s="41">
        <f>表1[[#This Row],[订单日期]]</f>
        <v>45924</v>
      </c>
      <c r="B1552" s="42">
        <f>原始数据!G1552/(原始数据!G$2/100)</f>
        <v>900</v>
      </c>
      <c r="C1552" s="42">
        <f>原始数据!J1552/(原始数据!J$2/100)</f>
        <v>113.16198217257545</v>
      </c>
    </row>
    <row r="1553" spans="1:3" ht="18" customHeight="1" x14ac:dyDescent="0.3">
      <c r="A1553" s="41">
        <f>表1[[#This Row],[订单日期]]</f>
        <v>45924</v>
      </c>
      <c r="B1553" s="42">
        <f>原始数据!G1553/(原始数据!G$2/100)</f>
        <v>900</v>
      </c>
      <c r="C1553" s="42">
        <f>原始数据!J1553/(原始数据!J$2/100)</f>
        <v>497.01395537494659</v>
      </c>
    </row>
    <row r="1554" spans="1:3" ht="18" customHeight="1" x14ac:dyDescent="0.3">
      <c r="A1554" s="41">
        <f>表1[[#This Row],[订单日期]]</f>
        <v>45924</v>
      </c>
      <c r="B1554" s="42">
        <f>原始数据!G1554/(原始数据!G$2/100)</f>
        <v>900</v>
      </c>
      <c r="C1554" s="42">
        <f>原始数据!J1554/(原始数据!J$2/100)</f>
        <v>362.37765415067378</v>
      </c>
    </row>
    <row r="1555" spans="1:3" ht="18" customHeight="1" x14ac:dyDescent="0.3">
      <c r="A1555" s="41">
        <f>表1[[#This Row],[订单日期]]</f>
        <v>45924</v>
      </c>
      <c r="B1555" s="42">
        <f>原始数据!G1555/(原始数据!G$2/100)</f>
        <v>900</v>
      </c>
      <c r="C1555" s="42">
        <f>原始数据!J1555/(原始数据!J$2/100)</f>
        <v>183.52745647497315</v>
      </c>
    </row>
    <row r="1556" spans="1:3" ht="18" customHeight="1" x14ac:dyDescent="0.3">
      <c r="A1556" s="41">
        <f>表1[[#This Row],[订单日期]]</f>
        <v>45924</v>
      </c>
      <c r="B1556" s="42">
        <f>原始数据!G1556/(原始数据!G$2/100)</f>
        <v>900</v>
      </c>
      <c r="C1556" s="42">
        <f>原始数据!J1556/(原始数据!J$2/100)</f>
        <v>442.71618780301765</v>
      </c>
    </row>
    <row r="1557" spans="1:3" ht="18" customHeight="1" x14ac:dyDescent="0.3">
      <c r="A1557" s="41">
        <f>表1[[#This Row],[订单日期]]</f>
        <v>45925</v>
      </c>
      <c r="B1557" s="42">
        <f>原始数据!G1557/(原始数据!G$2/100)</f>
        <v>50</v>
      </c>
      <c r="C1557" s="42">
        <f>原始数据!J1557/(原始数据!J$2/100)</f>
        <v>427.9967049875732</v>
      </c>
    </row>
    <row r="1558" spans="1:3" ht="18" customHeight="1" x14ac:dyDescent="0.3">
      <c r="A1558" s="41">
        <f>表1[[#This Row],[订单日期]]</f>
        <v>45925</v>
      </c>
      <c r="B1558" s="42">
        <f>原始数据!G1558/(原始数据!G$2/100)</f>
        <v>50</v>
      </c>
      <c r="C1558" s="42">
        <f>原始数据!J1558/(原始数据!J$2/100)</f>
        <v>7.9159245390145587</v>
      </c>
    </row>
    <row r="1559" spans="1:3" ht="18" customHeight="1" x14ac:dyDescent="0.3">
      <c r="A1559" s="41">
        <f>表1[[#This Row],[订单日期]]</f>
        <v>45925</v>
      </c>
      <c r="B1559" s="42">
        <f>原始数据!G1559/(原始数据!G$2/100)</f>
        <v>50</v>
      </c>
      <c r="C1559" s="42">
        <f>原始数据!J1559/(原始数据!J$2/100)</f>
        <v>189.28210121508496</v>
      </c>
    </row>
    <row r="1560" spans="1:3" ht="18" customHeight="1" x14ac:dyDescent="0.3">
      <c r="A1560" s="41">
        <f>表1[[#This Row],[订单日期]]</f>
        <v>45925</v>
      </c>
      <c r="B1560" s="42">
        <f>原始数据!G1560/(原始数据!G$2/100)</f>
        <v>50</v>
      </c>
      <c r="C1560" s="42">
        <f>原始数据!J1560/(原始数据!J$2/100)</f>
        <v>516.05409473920326</v>
      </c>
    </row>
    <row r="1561" spans="1:3" ht="18" customHeight="1" x14ac:dyDescent="0.3">
      <c r="A1561" s="41">
        <f>表1[[#This Row],[订单日期]]</f>
        <v>45925</v>
      </c>
      <c r="B1561" s="42">
        <f>原始数据!G1561/(原始数据!G$2/100)</f>
        <v>50</v>
      </c>
      <c r="C1561" s="42">
        <f>原始数据!J1561/(原始数据!J$2/100)</f>
        <v>166.14849116620971</v>
      </c>
    </row>
    <row r="1562" spans="1:3" ht="18" customHeight="1" x14ac:dyDescent="0.3">
      <c r="A1562" s="41">
        <f>表1[[#This Row],[订单日期]]</f>
        <v>45925</v>
      </c>
      <c r="B1562" s="42">
        <f>原始数据!G1562/(原始数据!G$2/100)</f>
        <v>50</v>
      </c>
      <c r="C1562" s="42">
        <f>原始数据!J1562/(原始数据!J$2/100)</f>
        <v>75.732728118648254</v>
      </c>
    </row>
    <row r="1563" spans="1:3" ht="18" customHeight="1" x14ac:dyDescent="0.3">
      <c r="A1563" s="41">
        <f>表1[[#This Row],[订单日期]]</f>
        <v>45925</v>
      </c>
      <c r="B1563" s="42">
        <f>原始数据!G1563/(原始数据!G$2/100)</f>
        <v>50</v>
      </c>
      <c r="C1563" s="42">
        <f>原始数据!J1563/(原始数据!J$2/100)</f>
        <v>26.832045581517981</v>
      </c>
    </row>
    <row r="1564" spans="1:3" ht="18" customHeight="1" x14ac:dyDescent="0.3">
      <c r="A1564" s="41">
        <f>表1[[#This Row],[订单日期]]</f>
        <v>45925</v>
      </c>
      <c r="B1564" s="42">
        <f>原始数据!G1564/(原始数据!G$2/100)</f>
        <v>50</v>
      </c>
      <c r="C1564" s="42">
        <f>原始数据!J1564/(原始数据!J$2/100)</f>
        <v>514.72435349254386</v>
      </c>
    </row>
    <row r="1565" spans="1:3" ht="18" customHeight="1" x14ac:dyDescent="0.3">
      <c r="A1565" s="41">
        <f>表1[[#This Row],[订单日期]]</f>
        <v>45925</v>
      </c>
      <c r="B1565" s="42">
        <f>原始数据!G1565/(原始数据!G$2/100)</f>
        <v>50</v>
      </c>
      <c r="C1565" s="42">
        <f>原始数据!J1565/(原始数据!J$2/100)</f>
        <v>109.52367641262668</v>
      </c>
    </row>
    <row r="1566" spans="1:3" ht="18" customHeight="1" x14ac:dyDescent="0.3">
      <c r="A1566" s="41">
        <f>表1[[#This Row],[订单日期]]</f>
        <v>45925</v>
      </c>
      <c r="B1566" s="42">
        <f>原始数据!G1566/(原始数据!G$2/100)</f>
        <v>50</v>
      </c>
      <c r="C1566" s="42">
        <f>原始数据!J1566/(原始数据!J$2/100)</f>
        <v>531.16910509952163</v>
      </c>
    </row>
    <row r="1567" spans="1:3" ht="18" customHeight="1" x14ac:dyDescent="0.3">
      <c r="A1567" s="41">
        <f>表1[[#This Row],[订单日期]]</f>
        <v>45925</v>
      </c>
      <c r="B1567" s="42">
        <f>原始数据!G1567/(原始数据!G$2/100)</f>
        <v>50</v>
      </c>
      <c r="C1567" s="42">
        <f>原始数据!J1567/(原始数据!J$2/100)</f>
        <v>547.75817896037097</v>
      </c>
    </row>
    <row r="1568" spans="1:3" ht="18" customHeight="1" x14ac:dyDescent="0.3">
      <c r="A1568" s="41">
        <f>表1[[#This Row],[订单日期]]</f>
        <v>45925</v>
      </c>
      <c r="B1568" s="42">
        <f>原始数据!G1568/(原始数据!G$2/100)</f>
        <v>50</v>
      </c>
      <c r="C1568" s="42">
        <f>原始数据!J1568/(原始数据!J$2/100)</f>
        <v>439.37234951517303</v>
      </c>
    </row>
    <row r="1569" spans="1:3" ht="18" customHeight="1" x14ac:dyDescent="0.3">
      <c r="A1569" s="41">
        <f>表1[[#This Row],[订单日期]]</f>
        <v>45925</v>
      </c>
      <c r="B1569" s="42">
        <f>原始数据!G1569/(原始数据!G$2/100)</f>
        <v>50</v>
      </c>
      <c r="C1569" s="42">
        <f>原始数据!J1569/(原始数据!J$2/100)</f>
        <v>113.06965307038531</v>
      </c>
    </row>
    <row r="1570" spans="1:3" ht="18" customHeight="1" x14ac:dyDescent="0.3">
      <c r="A1570" s="41">
        <f>表1[[#This Row],[订单日期]]</f>
        <v>45925</v>
      </c>
      <c r="B1570" s="42">
        <f>原始数据!G1570/(原始数据!G$2/100)</f>
        <v>50</v>
      </c>
      <c r="C1570" s="42">
        <f>原始数据!J1570/(原始数据!J$2/100)</f>
        <v>449.72245374162821</v>
      </c>
    </row>
    <row r="1571" spans="1:3" ht="18" customHeight="1" x14ac:dyDescent="0.3">
      <c r="A1571" s="41">
        <f>表1[[#This Row],[订单日期]]</f>
        <v>45925</v>
      </c>
      <c r="B1571" s="42">
        <f>原始数据!G1571/(原始数据!G$2/100)</f>
        <v>50</v>
      </c>
      <c r="C1571" s="42">
        <f>原始数据!J1571/(原始数据!J$2/100)</f>
        <v>343.64289759814011</v>
      </c>
    </row>
    <row r="1572" spans="1:3" ht="18" customHeight="1" x14ac:dyDescent="0.3">
      <c r="A1572" s="41">
        <f>表1[[#This Row],[订单日期]]</f>
        <v>45925</v>
      </c>
      <c r="B1572" s="42">
        <f>原始数据!G1572/(原始数据!G$2/100)</f>
        <v>50</v>
      </c>
      <c r="C1572" s="42">
        <f>原始数据!J1572/(原始数据!J$2/100)</f>
        <v>407.23693605423551</v>
      </c>
    </row>
    <row r="1573" spans="1:3" ht="18" customHeight="1" x14ac:dyDescent="0.3">
      <c r="A1573" s="41">
        <f>表1[[#This Row],[订单日期]]</f>
        <v>45925</v>
      </c>
      <c r="B1573" s="42">
        <f>原始数据!G1573/(原始数据!G$2/100)</f>
        <v>50</v>
      </c>
      <c r="C1573" s="42">
        <f>原始数据!J1573/(原始数据!J$2/100)</f>
        <v>330.03909981699115</v>
      </c>
    </row>
    <row r="1574" spans="1:3" ht="18" customHeight="1" x14ac:dyDescent="0.3">
      <c r="A1574" s="41">
        <f>表1[[#This Row],[订单日期]]</f>
        <v>45925</v>
      </c>
      <c r="B1574" s="42">
        <f>原始数据!G1574/(原始数据!G$2/100)</f>
        <v>50</v>
      </c>
      <c r="C1574" s="42">
        <f>原始数据!J1574/(原始数据!J$2/100)</f>
        <v>205.49331143850293</v>
      </c>
    </row>
    <row r="1575" spans="1:3" ht="18" customHeight="1" x14ac:dyDescent="0.3">
      <c r="A1575" s="41">
        <f>表1[[#This Row],[订单日期]]</f>
        <v>45925</v>
      </c>
      <c r="B1575" s="42">
        <f>原始数据!G1575/(原始数据!G$2/100)</f>
        <v>50</v>
      </c>
      <c r="C1575" s="42">
        <f>原始数据!J1575/(原始数据!J$2/100)</f>
        <v>289.34513002621117</v>
      </c>
    </row>
    <row r="1576" spans="1:3" ht="18" customHeight="1" x14ac:dyDescent="0.3">
      <c r="A1576" s="41">
        <f>表1[[#This Row],[订单日期]]</f>
        <v>45925</v>
      </c>
      <c r="B1576" s="42">
        <f>原始数据!G1576/(原始数据!G$2/100)</f>
        <v>50</v>
      </c>
      <c r="C1576" s="42">
        <f>原始数据!J1576/(原始数据!J$2/100)</f>
        <v>251.65721019507583</v>
      </c>
    </row>
    <row r="1577" spans="1:3" ht="18" customHeight="1" x14ac:dyDescent="0.3">
      <c r="A1577" s="41">
        <f>表1[[#This Row],[订单日期]]</f>
        <v>45925</v>
      </c>
      <c r="B1577" s="42">
        <f>原始数据!G1577/(原始数据!G$2/100)</f>
        <v>50</v>
      </c>
      <c r="C1577" s="42">
        <f>原始数据!J1577/(原始数据!J$2/100)</f>
        <v>85.809957513865882</v>
      </c>
    </row>
    <row r="1578" spans="1:3" ht="18" customHeight="1" x14ac:dyDescent="0.3">
      <c r="A1578" s="41">
        <f>表1[[#This Row],[订单日期]]</f>
        <v>45925</v>
      </c>
      <c r="B1578" s="42">
        <f>原始数据!G1578/(原始数据!G$2/100)</f>
        <v>50</v>
      </c>
      <c r="C1578" s="42">
        <f>原始数据!J1578/(原始数据!J$2/100)</f>
        <v>231.20164220725295</v>
      </c>
    </row>
    <row r="1579" spans="1:3" ht="18" customHeight="1" x14ac:dyDescent="0.3">
      <c r="A1579" s="41">
        <f>表1[[#This Row],[订单日期]]</f>
        <v>45925</v>
      </c>
      <c r="B1579" s="42">
        <f>原始数据!G1579/(原始数据!G$2/100)</f>
        <v>50</v>
      </c>
      <c r="C1579" s="42">
        <f>原始数据!J1579/(原始数据!J$2/100)</f>
        <v>45.115987723085887</v>
      </c>
    </row>
    <row r="1580" spans="1:3" ht="18" customHeight="1" x14ac:dyDescent="0.3">
      <c r="A1580" s="41">
        <f>表1[[#This Row],[订单日期]]</f>
        <v>45925</v>
      </c>
      <c r="B1580" s="42">
        <f>原始数据!G1580/(原始数据!G$2/100)</f>
        <v>50</v>
      </c>
      <c r="C1580" s="42">
        <f>原始数据!J1580/(原始数据!J$2/100)</f>
        <v>313.15774285307697</v>
      </c>
    </row>
    <row r="1581" spans="1:3" ht="18" customHeight="1" x14ac:dyDescent="0.3">
      <c r="A1581" s="41">
        <f>表1[[#This Row],[订单日期]]</f>
        <v>45925</v>
      </c>
      <c r="B1581" s="42">
        <f>原始数据!G1581/(原始数据!G$2/100)</f>
        <v>50</v>
      </c>
      <c r="C1581" s="42">
        <f>原始数据!J1581/(原始数据!J$2/100)</f>
        <v>363.17181921292331</v>
      </c>
    </row>
    <row r="1582" spans="1:3" ht="18" customHeight="1" x14ac:dyDescent="0.3">
      <c r="A1582" s="41">
        <f>表1[[#This Row],[订单日期]]</f>
        <v>45925</v>
      </c>
      <c r="B1582" s="42">
        <f>原始数据!G1582/(原始数据!G$2/100)</f>
        <v>50</v>
      </c>
      <c r="C1582" s="42">
        <f>原始数据!J1582/(原始数据!J$2/100)</f>
        <v>167.9281212203725</v>
      </c>
    </row>
    <row r="1583" spans="1:3" ht="18" customHeight="1" x14ac:dyDescent="0.3">
      <c r="A1583" s="41">
        <f>表1[[#This Row],[订单日期]]</f>
        <v>45925</v>
      </c>
      <c r="B1583" s="42">
        <f>原始数据!G1583/(原始数据!G$2/100)</f>
        <v>50</v>
      </c>
      <c r="C1583" s="42">
        <f>原始数据!J1583/(原始数据!J$2/100)</f>
        <v>403.92450078003674</v>
      </c>
    </row>
    <row r="1584" spans="1:3" ht="18" customHeight="1" x14ac:dyDescent="0.3">
      <c r="A1584" s="41">
        <f>表1[[#This Row],[订单日期]]</f>
        <v>45925</v>
      </c>
      <c r="B1584" s="42">
        <f>原始数据!G1584/(原始数据!G$2/100)</f>
        <v>50</v>
      </c>
      <c r="C1584" s="42">
        <f>原始数据!J1584/(原始数据!J$2/100)</f>
        <v>492.00794052877762</v>
      </c>
    </row>
    <row r="1585" spans="1:3" ht="18" customHeight="1" x14ac:dyDescent="0.3">
      <c r="A1585" s="41">
        <f>表1[[#This Row],[订单日期]]</f>
        <v>45925</v>
      </c>
      <c r="B1585" s="42">
        <f>原始数据!G1585/(原始数据!G$2/100)</f>
        <v>50</v>
      </c>
      <c r="C1585" s="42">
        <f>原始数据!J1585/(原始数据!J$2/100)</f>
        <v>430.43456393978227</v>
      </c>
    </row>
    <row r="1586" spans="1:3" ht="18" customHeight="1" x14ac:dyDescent="0.3">
      <c r="A1586" s="41">
        <f>表1[[#This Row],[订单日期]]</f>
        <v>45925</v>
      </c>
      <c r="B1586" s="42">
        <f>原始数据!G1586/(原始数据!G$2/100)</f>
        <v>50</v>
      </c>
      <c r="C1586" s="42">
        <f>原始数据!J1586/(原始数据!J$2/100)</f>
        <v>386.89217983696756</v>
      </c>
    </row>
    <row r="1587" spans="1:3" ht="18" customHeight="1" x14ac:dyDescent="0.3">
      <c r="A1587" s="41">
        <f>表1[[#This Row],[订单日期]]</f>
        <v>45925</v>
      </c>
      <c r="B1587" s="42">
        <f>原始数据!G1587/(原始数据!G$2/100)</f>
        <v>50</v>
      </c>
      <c r="C1587" s="42">
        <f>原始数据!J1587/(原始数据!J$2/100)</f>
        <v>198.81191348281126</v>
      </c>
    </row>
    <row r="1588" spans="1:3" ht="18" customHeight="1" x14ac:dyDescent="0.3">
      <c r="A1588" s="41">
        <f>表1[[#This Row],[订单日期]]</f>
        <v>45925</v>
      </c>
      <c r="B1588" s="42">
        <f>原始数据!G1588/(原始数据!G$2/100)</f>
        <v>50</v>
      </c>
      <c r="C1588" s="42">
        <f>原始数据!J1588/(原始数据!J$2/100)</f>
        <v>515.05678880420862</v>
      </c>
    </row>
    <row r="1589" spans="1:3" ht="18" customHeight="1" x14ac:dyDescent="0.3">
      <c r="A1589" s="41">
        <f>表1[[#This Row],[订单日期]]</f>
        <v>45925</v>
      </c>
      <c r="B1589" s="42">
        <f>原始数据!G1589/(原始数据!G$2/100)</f>
        <v>50</v>
      </c>
      <c r="C1589" s="42">
        <f>原始数据!J1589/(原始数据!J$2/100)</f>
        <v>167.03498533064939</v>
      </c>
    </row>
    <row r="1590" spans="1:3" ht="18" customHeight="1" x14ac:dyDescent="0.3">
      <c r="A1590" s="41">
        <f>表1[[#This Row],[订单日期]]</f>
        <v>45925</v>
      </c>
      <c r="B1590" s="42">
        <f>原始数据!G1590/(原始数据!G$2/100)</f>
        <v>50</v>
      </c>
      <c r="C1590" s="42">
        <f>原始数据!J1590/(原始数据!J$2/100)</f>
        <v>6.8078068334649879</v>
      </c>
    </row>
    <row r="1591" spans="1:3" ht="18" customHeight="1" x14ac:dyDescent="0.3">
      <c r="A1591" s="41">
        <f>表1[[#This Row],[订单日期]]</f>
        <v>45925</v>
      </c>
      <c r="B1591" s="42">
        <f>原始数据!G1591/(原始数据!G$2/100)</f>
        <v>50</v>
      </c>
      <c r="C1591" s="42">
        <f>原始数据!J1591/(原始数据!J$2/100)</f>
        <v>332.89415585430925</v>
      </c>
    </row>
    <row r="1592" spans="1:3" ht="18" customHeight="1" x14ac:dyDescent="0.3">
      <c r="A1592" s="41">
        <f>表1[[#This Row],[订单日期]]</f>
        <v>45925</v>
      </c>
      <c r="B1592" s="42">
        <f>原始数据!G1592/(原始数据!G$2/100)</f>
        <v>250</v>
      </c>
      <c r="C1592" s="42">
        <f>原始数据!J1592/(原始数据!J$2/100)</f>
        <v>26.050720559308935</v>
      </c>
    </row>
    <row r="1593" spans="1:3" ht="18" customHeight="1" x14ac:dyDescent="0.3">
      <c r="A1593" s="41">
        <f>表1[[#This Row],[订单日期]]</f>
        <v>45925</v>
      </c>
      <c r="B1593" s="42">
        <f>原始数据!G1593/(原始数据!G$2/100)</f>
        <v>250</v>
      </c>
      <c r="C1593" s="42">
        <f>原始数据!J1593/(原始数据!J$2/100)</f>
        <v>73.145723045165667</v>
      </c>
    </row>
    <row r="1594" spans="1:3" ht="18" customHeight="1" x14ac:dyDescent="0.3">
      <c r="A1594" s="41">
        <f>表1[[#This Row],[订单日期]]</f>
        <v>45925</v>
      </c>
      <c r="B1594" s="42">
        <f>原始数据!G1594/(原始数据!G$2/100)</f>
        <v>250</v>
      </c>
      <c r="C1594" s="42">
        <f>原始数据!J1594/(原始数据!J$2/100)</f>
        <v>351.83732599088256</v>
      </c>
    </row>
    <row r="1595" spans="1:3" ht="18" customHeight="1" x14ac:dyDescent="0.3">
      <c r="A1595" s="41">
        <f>表1[[#This Row],[订单日期]]</f>
        <v>45925</v>
      </c>
      <c r="B1595" s="42">
        <f>原始数据!G1595/(原始数据!G$2/100)</f>
        <v>250</v>
      </c>
      <c r="C1595" s="42">
        <f>原始数据!J1595/(原始数据!J$2/100)</f>
        <v>130.65703196318836</v>
      </c>
    </row>
    <row r="1596" spans="1:3" ht="18" customHeight="1" x14ac:dyDescent="0.3">
      <c r="A1596" s="41">
        <f>表1[[#This Row],[订单日期]]</f>
        <v>45925</v>
      </c>
      <c r="B1596" s="42">
        <f>原始数据!G1596/(原始数据!G$2/100)</f>
        <v>250</v>
      </c>
      <c r="C1596" s="42">
        <f>原始数据!J1596/(原始数据!J$2/100)</f>
        <v>33.585920957046014</v>
      </c>
    </row>
    <row r="1597" spans="1:3" ht="18" customHeight="1" x14ac:dyDescent="0.3">
      <c r="A1597" s="41">
        <f>表1[[#This Row],[订单日期]]</f>
        <v>45925</v>
      </c>
      <c r="B1597" s="42">
        <f>原始数据!G1597/(原始数据!G$2/100)</f>
        <v>250</v>
      </c>
      <c r="C1597" s="42">
        <f>原始数据!J1597/(原始数据!J$2/100)</f>
        <v>271.72041587964867</v>
      </c>
    </row>
    <row r="1598" spans="1:3" ht="18" customHeight="1" x14ac:dyDescent="0.3">
      <c r="A1598" s="41">
        <f>表1[[#This Row],[订单日期]]</f>
        <v>45925</v>
      </c>
      <c r="B1598" s="42">
        <f>原始数据!G1598/(原始数据!G$2/100)</f>
        <v>250</v>
      </c>
      <c r="C1598" s="42">
        <f>原始数据!J1598/(原始数据!J$2/100)</f>
        <v>516.61442880610366</v>
      </c>
    </row>
    <row r="1599" spans="1:3" ht="18" customHeight="1" x14ac:dyDescent="0.3">
      <c r="A1599" s="41">
        <f>表1[[#This Row],[订单日期]]</f>
        <v>45925</v>
      </c>
      <c r="B1599" s="42">
        <f>原始数据!G1599/(原始数据!G$2/100)</f>
        <v>250</v>
      </c>
      <c r="C1599" s="42">
        <f>原始数据!J1599/(原始数据!J$2/100)</f>
        <v>535.11999448878146</v>
      </c>
    </row>
    <row r="1600" spans="1:3" ht="18" customHeight="1" x14ac:dyDescent="0.3">
      <c r="A1600" s="41">
        <f>表1[[#This Row],[订单日期]]</f>
        <v>45925</v>
      </c>
      <c r="B1600" s="42">
        <f>原始数据!G1600/(原始数据!G$2/100)</f>
        <v>250</v>
      </c>
      <c r="C1600" s="42">
        <f>原始数据!J1600/(原始数据!J$2/100)</f>
        <v>282.24753408236955</v>
      </c>
    </row>
    <row r="1601" spans="1:3" ht="18" customHeight="1" x14ac:dyDescent="0.3">
      <c r="A1601" s="41">
        <f>表1[[#This Row],[订单日期]]</f>
        <v>45925</v>
      </c>
      <c r="B1601" s="42">
        <f>原始数据!G1601/(原始数据!G$2/100)</f>
        <v>450</v>
      </c>
      <c r="C1601" s="42">
        <f>原始数据!J1601/(原始数据!J$2/100)</f>
        <v>205.75130656380742</v>
      </c>
    </row>
    <row r="1602" spans="1:3" ht="18" customHeight="1" x14ac:dyDescent="0.3">
      <c r="A1602" s="41">
        <f>表1[[#This Row],[订单日期]]</f>
        <v>45925</v>
      </c>
      <c r="B1602" s="42">
        <f>原始数据!G1602/(原始数据!G$2/100)</f>
        <v>450</v>
      </c>
      <c r="C1602" s="42">
        <f>原始数据!J1602/(原始数据!J$2/100)</f>
        <v>364.79895738470151</v>
      </c>
    </row>
    <row r="1603" spans="1:3" ht="18" customHeight="1" x14ac:dyDescent="0.3">
      <c r="A1603" s="41">
        <f>表1[[#This Row],[订单日期]]</f>
        <v>45925</v>
      </c>
      <c r="B1603" s="42">
        <f>原始数据!G1603/(原始数据!G$2/100)</f>
        <v>450</v>
      </c>
      <c r="C1603" s="42">
        <f>原始数据!J1603/(原始数据!J$2/100)</f>
        <v>152.34003315631813</v>
      </c>
    </row>
    <row r="1604" spans="1:3" ht="18" customHeight="1" x14ac:dyDescent="0.3">
      <c r="A1604" s="41">
        <f>表1[[#This Row],[订单日期]]</f>
        <v>45925</v>
      </c>
      <c r="B1604" s="42">
        <f>原始数据!G1604/(原始数据!G$2/100)</f>
        <v>450</v>
      </c>
      <c r="C1604" s="42">
        <f>原始数据!J1604/(原始数据!J$2/100)</f>
        <v>141.40242794590816</v>
      </c>
    </row>
    <row r="1605" spans="1:3" ht="18" customHeight="1" x14ac:dyDescent="0.3">
      <c r="A1605" s="41">
        <f>表1[[#This Row],[订单日期]]</f>
        <v>45925</v>
      </c>
      <c r="B1605" s="42">
        <f>原始数据!G1605/(原始数据!G$2/100)</f>
        <v>450</v>
      </c>
      <c r="C1605" s="42">
        <f>原始数据!J1605/(原始数据!J$2/100)</f>
        <v>29.006532528650958</v>
      </c>
    </row>
    <row r="1606" spans="1:3" ht="18" customHeight="1" x14ac:dyDescent="0.3">
      <c r="A1606" s="41">
        <f>表1[[#This Row],[订单日期]]</f>
        <v>45925</v>
      </c>
      <c r="B1606" s="42">
        <f>原始数据!G1606/(原始数据!G$2/100)</f>
        <v>450</v>
      </c>
      <c r="C1606" s="42">
        <f>原始数据!J1606/(原始数据!J$2/100)</f>
        <v>160.01880539914094</v>
      </c>
    </row>
    <row r="1607" spans="1:3" ht="18" customHeight="1" x14ac:dyDescent="0.3">
      <c r="A1607" s="41">
        <f>表1[[#This Row],[订单日期]]</f>
        <v>45925</v>
      </c>
      <c r="B1607" s="42">
        <f>原始数据!G1607/(原始数据!G$2/100)</f>
        <v>450</v>
      </c>
      <c r="C1607" s="42">
        <f>原始数据!J1607/(原始数据!J$2/100)</f>
        <v>234.1191198258764</v>
      </c>
    </row>
    <row r="1608" spans="1:3" ht="18" customHeight="1" x14ac:dyDescent="0.3">
      <c r="A1608" s="41">
        <f>表1[[#This Row],[订单日期]]</f>
        <v>45925</v>
      </c>
      <c r="B1608" s="42">
        <f>原始数据!G1608/(原始数据!G$2/100)</f>
        <v>450</v>
      </c>
      <c r="C1608" s="42">
        <f>原始数据!J1608/(原始数据!J$2/100)</f>
        <v>308.94982502500318</v>
      </c>
    </row>
    <row r="1609" spans="1:3" ht="18" customHeight="1" x14ac:dyDescent="0.3">
      <c r="A1609" s="41">
        <f>表1[[#This Row],[订单日期]]</f>
        <v>45925</v>
      </c>
      <c r="B1609" s="42">
        <f>原始数据!G1609/(原始数据!G$2/100)</f>
        <v>450</v>
      </c>
      <c r="C1609" s="42">
        <f>原始数据!J1609/(原始数据!J$2/100)</f>
        <v>11.055025698747921</v>
      </c>
    </row>
    <row r="1610" spans="1:3" ht="18" customHeight="1" x14ac:dyDescent="0.3">
      <c r="A1610" s="41">
        <f>表1[[#This Row],[订单日期]]</f>
        <v>45925</v>
      </c>
      <c r="B1610" s="42">
        <f>原始数据!G1610/(原始数据!G$2/100)</f>
        <v>450</v>
      </c>
      <c r="C1610" s="42">
        <f>原始数据!J1610/(原始数据!J$2/100)</f>
        <v>371.66928715910888</v>
      </c>
    </row>
    <row r="1611" spans="1:3" ht="18" customHeight="1" x14ac:dyDescent="0.3">
      <c r="A1611" s="41">
        <f>表1[[#This Row],[订单日期]]</f>
        <v>45925</v>
      </c>
      <c r="B1611" s="42">
        <f>原始数据!G1611/(原始数据!G$2/100)</f>
        <v>450</v>
      </c>
      <c r="C1611" s="42">
        <f>原始数据!J1611/(原始数据!J$2/100)</f>
        <v>296.94939373053705</v>
      </c>
    </row>
    <row r="1612" spans="1:3" ht="18" customHeight="1" x14ac:dyDescent="0.3">
      <c r="A1612" s="41">
        <f>表1[[#This Row],[订单日期]]</f>
        <v>45925</v>
      </c>
      <c r="B1612" s="42">
        <f>原始数据!G1612/(原始数据!G$2/100)</f>
        <v>450</v>
      </c>
      <c r="C1612" s="42">
        <f>原始数据!J1612/(原始数据!J$2/100)</f>
        <v>248.11416299033178</v>
      </c>
    </row>
    <row r="1613" spans="1:3" ht="18" customHeight="1" x14ac:dyDescent="0.3">
      <c r="A1613" s="41">
        <f>表1[[#This Row],[订单日期]]</f>
        <v>45925</v>
      </c>
      <c r="B1613" s="42">
        <f>原始数据!G1613/(原始数据!G$2/100)</f>
        <v>450</v>
      </c>
      <c r="C1613" s="42">
        <f>原始数据!J1613/(原始数据!J$2/100)</f>
        <v>421.28020029319879</v>
      </c>
    </row>
    <row r="1614" spans="1:3" ht="18" customHeight="1" x14ac:dyDescent="0.3">
      <c r="A1614" s="41">
        <f>表1[[#This Row],[订单日期]]</f>
        <v>45925</v>
      </c>
      <c r="B1614" s="42">
        <f>原始数据!G1614/(原始数据!G$2/100)</f>
        <v>450</v>
      </c>
      <c r="C1614" s="42">
        <f>原始数据!J1614/(原始数据!J$2/100)</f>
        <v>171.21079422519162</v>
      </c>
    </row>
    <row r="1615" spans="1:3" ht="18" customHeight="1" x14ac:dyDescent="0.3">
      <c r="A1615" s="41">
        <f>表1[[#This Row],[订单日期]]</f>
        <v>45925</v>
      </c>
      <c r="B1615" s="42">
        <f>原始数据!G1615/(原始数据!G$2/100)</f>
        <v>450</v>
      </c>
      <c r="C1615" s="42">
        <f>原始数据!J1615/(原始数据!J$2/100)</f>
        <v>148.57243295744959</v>
      </c>
    </row>
    <row r="1616" spans="1:3" ht="18" customHeight="1" x14ac:dyDescent="0.3">
      <c r="A1616" s="41">
        <f>表1[[#This Row],[订单日期]]</f>
        <v>45925</v>
      </c>
      <c r="B1616" s="42">
        <f>原始数据!G1616/(原始数据!G$2/100)</f>
        <v>450</v>
      </c>
      <c r="C1616" s="42">
        <f>原始数据!J1616/(原始数据!J$2/100)</f>
        <v>192.70827771285326</v>
      </c>
    </row>
    <row r="1617" spans="1:3" ht="18" customHeight="1" x14ac:dyDescent="0.3">
      <c r="A1617" s="41">
        <f>表1[[#This Row],[订单日期]]</f>
        <v>45925</v>
      </c>
      <c r="B1617" s="42">
        <f>原始数据!G1617/(原始数据!G$2/100)</f>
        <v>450</v>
      </c>
      <c r="C1617" s="42">
        <f>原始数据!J1617/(原始数据!J$2/100)</f>
        <v>253.06793259077406</v>
      </c>
    </row>
    <row r="1618" spans="1:3" ht="18" customHeight="1" x14ac:dyDescent="0.3">
      <c r="A1618" s="41">
        <f>表1[[#This Row],[订单日期]]</f>
        <v>45925</v>
      </c>
      <c r="B1618" s="42">
        <f>原始数据!G1618/(原始数据!G$2/100)</f>
        <v>500</v>
      </c>
      <c r="C1618" s="42">
        <f>原始数据!J1618/(原始数据!J$2/100)</f>
        <v>220.42993071719727</v>
      </c>
    </row>
    <row r="1619" spans="1:3" ht="18" customHeight="1" x14ac:dyDescent="0.3">
      <c r="A1619" s="41">
        <f>表1[[#This Row],[订单日期]]</f>
        <v>45925</v>
      </c>
      <c r="B1619" s="42">
        <f>原始数据!G1619/(原始数据!G$2/100)</f>
        <v>500</v>
      </c>
      <c r="C1619" s="42">
        <f>原始数据!J1619/(原始数据!J$2/100)</f>
        <v>372.34936012486287</v>
      </c>
    </row>
    <row r="1620" spans="1:3" ht="18" customHeight="1" x14ac:dyDescent="0.3">
      <c r="A1620" s="41">
        <f>表1[[#This Row],[订单日期]]</f>
        <v>45925</v>
      </c>
      <c r="B1620" s="42">
        <f>原始数据!G1620/(原始数据!G$2/100)</f>
        <v>500</v>
      </c>
      <c r="C1620" s="42">
        <f>原始数据!J1620/(原始数据!J$2/100)</f>
        <v>466.76449666086671</v>
      </c>
    </row>
    <row r="1621" spans="1:3" ht="18" customHeight="1" x14ac:dyDescent="0.3">
      <c r="A1621" s="41">
        <f>表1[[#This Row],[订单日期]]</f>
        <v>45925</v>
      </c>
      <c r="B1621" s="42">
        <f>原始数据!G1621/(原始数据!G$2/100)</f>
        <v>500</v>
      </c>
      <c r="C1621" s="42">
        <f>原始数据!J1621/(原始数据!J$2/100)</f>
        <v>446.70405816723905</v>
      </c>
    </row>
    <row r="1622" spans="1:3" ht="18" customHeight="1" x14ac:dyDescent="0.3">
      <c r="A1622" s="41">
        <f>表1[[#This Row],[订单日期]]</f>
        <v>45925</v>
      </c>
      <c r="B1622" s="42">
        <f>原始数据!G1622/(原始数据!G$2/100)</f>
        <v>500</v>
      </c>
      <c r="C1622" s="42">
        <f>原始数据!J1622/(原始数据!J$2/100)</f>
        <v>87.899053133468669</v>
      </c>
    </row>
    <row r="1623" spans="1:3" ht="18" customHeight="1" x14ac:dyDescent="0.3">
      <c r="A1623" s="41">
        <f>表1[[#This Row],[订单日期]]</f>
        <v>45925</v>
      </c>
      <c r="B1623" s="42">
        <f>原始数据!G1623/(原始数据!G$2/100)</f>
        <v>500</v>
      </c>
      <c r="C1623" s="42">
        <f>原始数据!J1623/(原始数据!J$2/100)</f>
        <v>395.50902017084888</v>
      </c>
    </row>
    <row r="1624" spans="1:3" ht="18" customHeight="1" x14ac:dyDescent="0.3">
      <c r="A1624" s="41">
        <f>表1[[#This Row],[订单日期]]</f>
        <v>45925</v>
      </c>
      <c r="B1624" s="42">
        <f>原始数据!G1624/(原始数据!G$2/100)</f>
        <v>500</v>
      </c>
      <c r="C1624" s="42">
        <f>原始数据!J1624/(原始数据!J$2/100)</f>
        <v>85.128758869594733</v>
      </c>
    </row>
    <row r="1625" spans="1:3" ht="18" customHeight="1" x14ac:dyDescent="0.3">
      <c r="A1625" s="41">
        <f>表1[[#This Row],[订单日期]]</f>
        <v>45925</v>
      </c>
      <c r="B1625" s="42">
        <f>原始数据!G1625/(原始数据!G$2/100)</f>
        <v>500</v>
      </c>
      <c r="C1625" s="42">
        <f>原始数据!J1625/(原始数据!J$2/100)</f>
        <v>101.19295757688306</v>
      </c>
    </row>
    <row r="1626" spans="1:3" ht="18" customHeight="1" x14ac:dyDescent="0.3">
      <c r="A1626" s="41">
        <f>表1[[#This Row],[订单日期]]</f>
        <v>45925</v>
      </c>
      <c r="B1626" s="42">
        <f>原始数据!G1626/(原始数据!G$2/100)</f>
        <v>500</v>
      </c>
      <c r="C1626" s="42">
        <f>原始数据!J1626/(原始数据!J$2/100)</f>
        <v>28.836379427676572</v>
      </c>
    </row>
    <row r="1627" spans="1:3" ht="18" customHeight="1" x14ac:dyDescent="0.3">
      <c r="A1627" s="41">
        <f>表1[[#This Row],[订单日期]]</f>
        <v>45925</v>
      </c>
      <c r="B1627" s="42">
        <f>原始数据!G1627/(原始数据!G$2/100)</f>
        <v>500</v>
      </c>
      <c r="C1627" s="42">
        <f>原始数据!J1627/(原始数据!J$2/100)</f>
        <v>549.869816553904</v>
      </c>
    </row>
    <row r="1628" spans="1:3" ht="18" customHeight="1" x14ac:dyDescent="0.3">
      <c r="A1628" s="41">
        <f>表1[[#This Row],[订单日期]]</f>
        <v>45925</v>
      </c>
      <c r="B1628" s="42">
        <f>原始数据!G1628/(原始数据!G$2/100)</f>
        <v>500</v>
      </c>
      <c r="C1628" s="42">
        <f>原始数据!J1628/(原始数据!J$2/100)</f>
        <v>541.56244178546274</v>
      </c>
    </row>
    <row r="1629" spans="1:3" ht="18" customHeight="1" x14ac:dyDescent="0.3">
      <c r="A1629" s="41">
        <f>表1[[#This Row],[订单日期]]</f>
        <v>45925</v>
      </c>
      <c r="B1629" s="42">
        <f>原始数据!G1629/(原始数据!G$2/100)</f>
        <v>500</v>
      </c>
      <c r="C1629" s="42">
        <f>原始数据!J1629/(原始数据!J$2/100)</f>
        <v>356.72490047661393</v>
      </c>
    </row>
    <row r="1630" spans="1:3" ht="18" customHeight="1" x14ac:dyDescent="0.3">
      <c r="A1630" s="41">
        <f>表1[[#This Row],[订单日期]]</f>
        <v>45925</v>
      </c>
      <c r="B1630" s="42">
        <f>原始数据!G1630/(原始数据!G$2/100)</f>
        <v>500</v>
      </c>
      <c r="C1630" s="42">
        <f>原始数据!J1630/(原始数据!J$2/100)</f>
        <v>395.84496350569424</v>
      </c>
    </row>
    <row r="1631" spans="1:3" ht="18" customHeight="1" x14ac:dyDescent="0.3">
      <c r="A1631" s="41">
        <f>表1[[#This Row],[订单日期]]</f>
        <v>45925</v>
      </c>
      <c r="B1631" s="42">
        <f>原始数据!G1631/(原始数据!G$2/100)</f>
        <v>500</v>
      </c>
      <c r="C1631" s="42">
        <f>原始数据!J1631/(原始数据!J$2/100)</f>
        <v>406.36857368523471</v>
      </c>
    </row>
    <row r="1632" spans="1:3" ht="18" customHeight="1" x14ac:dyDescent="0.3">
      <c r="A1632" s="41">
        <f>表1[[#This Row],[订单日期]]</f>
        <v>45925</v>
      </c>
      <c r="B1632" s="42">
        <f>原始数据!G1632/(原始数据!G$2/100)</f>
        <v>500</v>
      </c>
      <c r="C1632" s="42">
        <f>原始数据!J1632/(原始数据!J$2/100)</f>
        <v>182.64311695795692</v>
      </c>
    </row>
    <row r="1633" spans="1:3" ht="18" customHeight="1" x14ac:dyDescent="0.3">
      <c r="A1633" s="41">
        <f>表1[[#This Row],[订单日期]]</f>
        <v>45925</v>
      </c>
      <c r="B1633" s="42">
        <f>原始数据!G1633/(原始数据!G$2/100)</f>
        <v>500</v>
      </c>
      <c r="C1633" s="42">
        <f>原始数据!J1633/(原始数据!J$2/100)</f>
        <v>347.97077060277235</v>
      </c>
    </row>
    <row r="1634" spans="1:3" ht="18" customHeight="1" x14ac:dyDescent="0.3">
      <c r="A1634" s="41">
        <f>表1[[#This Row],[订单日期]]</f>
        <v>45925</v>
      </c>
      <c r="B1634" s="42">
        <f>原始数据!G1634/(原始数据!G$2/100)</f>
        <v>500</v>
      </c>
      <c r="C1634" s="42">
        <f>原始数据!J1634/(原始数据!J$2/100)</f>
        <v>547.32465385432045</v>
      </c>
    </row>
    <row r="1635" spans="1:3" ht="18" customHeight="1" x14ac:dyDescent="0.3">
      <c r="A1635" s="41">
        <f>表1[[#This Row],[订单日期]]</f>
        <v>45925</v>
      </c>
      <c r="B1635" s="42">
        <f>原始数据!G1635/(原始数据!G$2/100)</f>
        <v>500</v>
      </c>
      <c r="C1635" s="42">
        <f>原始数据!J1635/(原始数据!J$2/100)</f>
        <v>415.56595064129613</v>
      </c>
    </row>
    <row r="1636" spans="1:3" ht="18" customHeight="1" x14ac:dyDescent="0.3">
      <c r="A1636" s="41">
        <f>表1[[#This Row],[订单日期]]</f>
        <v>45925</v>
      </c>
      <c r="B1636" s="42">
        <f>原始数据!G1636/(原始数据!G$2/100)</f>
        <v>550</v>
      </c>
      <c r="C1636" s="42">
        <f>原始数据!J1636/(原始数据!J$2/100)</f>
        <v>75.731670167325305</v>
      </c>
    </row>
    <row r="1637" spans="1:3" ht="18" customHeight="1" x14ac:dyDescent="0.3">
      <c r="A1637" s="41">
        <f>表1[[#This Row],[订单日期]]</f>
        <v>45925</v>
      </c>
      <c r="B1637" s="42">
        <f>原始数据!G1637/(原始数据!G$2/100)</f>
        <v>550</v>
      </c>
      <c r="C1637" s="42">
        <f>原始数据!J1637/(原始数据!J$2/100)</f>
        <v>531.38967068930856</v>
      </c>
    </row>
    <row r="1638" spans="1:3" ht="18" customHeight="1" x14ac:dyDescent="0.3">
      <c r="A1638" s="41">
        <f>表1[[#This Row],[订单日期]]</f>
        <v>45925</v>
      </c>
      <c r="B1638" s="42">
        <f>原始数据!G1638/(原始数据!G$2/100)</f>
        <v>550</v>
      </c>
      <c r="C1638" s="42">
        <f>原始数据!J1638/(原始数据!J$2/100)</f>
        <v>319.62837715878572</v>
      </c>
    </row>
    <row r="1639" spans="1:3" ht="18" customHeight="1" x14ac:dyDescent="0.3">
      <c r="A1639" s="41">
        <f>表1[[#This Row],[订单日期]]</f>
        <v>45925</v>
      </c>
      <c r="B1639" s="42">
        <f>原始数据!G1639/(原始数据!G$2/100)</f>
        <v>550</v>
      </c>
      <c r="C1639" s="42">
        <f>原始数据!J1639/(原始数据!J$2/100)</f>
        <v>372.37477994294528</v>
      </c>
    </row>
    <row r="1640" spans="1:3" ht="18" customHeight="1" x14ac:dyDescent="0.3">
      <c r="A1640" s="41">
        <f>表1[[#This Row],[订单日期]]</f>
        <v>45925</v>
      </c>
      <c r="B1640" s="42">
        <f>原始数据!G1640/(原始数据!G$2/100)</f>
        <v>550</v>
      </c>
      <c r="C1640" s="42">
        <f>原始数据!J1640/(原始数据!J$2/100)</f>
        <v>541.69516535091964</v>
      </c>
    </row>
    <row r="1641" spans="1:3" ht="18" customHeight="1" x14ac:dyDescent="0.3">
      <c r="A1641" s="41">
        <f>表1[[#This Row],[订单日期]]</f>
        <v>45925</v>
      </c>
      <c r="B1641" s="42">
        <f>原始数据!G1641/(原始数据!G$2/100)</f>
        <v>550</v>
      </c>
      <c r="C1641" s="42">
        <f>原始数据!J1641/(原始数据!J$2/100)</f>
        <v>495.37584525894755</v>
      </c>
    </row>
    <row r="1642" spans="1:3" ht="18" customHeight="1" x14ac:dyDescent="0.3">
      <c r="A1642" s="41">
        <f>表1[[#This Row],[订单日期]]</f>
        <v>45925</v>
      </c>
      <c r="B1642" s="42">
        <f>原始数据!G1642/(原始数据!G$2/100)</f>
        <v>550</v>
      </c>
      <c r="C1642" s="42">
        <f>原始数据!J1642/(原始数据!J$2/100)</f>
        <v>375.36669774792909</v>
      </c>
    </row>
    <row r="1643" spans="1:3" ht="18" customHeight="1" x14ac:dyDescent="0.3">
      <c r="A1643" s="41">
        <f>表1[[#This Row],[订单日期]]</f>
        <v>45925</v>
      </c>
      <c r="B1643" s="42">
        <f>原始数据!G1643/(原始数据!G$2/100)</f>
        <v>550</v>
      </c>
      <c r="C1643" s="42">
        <f>原始数据!J1643/(原始数据!J$2/100)</f>
        <v>546.2384479436729</v>
      </c>
    </row>
    <row r="1644" spans="1:3" ht="18" customHeight="1" x14ac:dyDescent="0.3">
      <c r="A1644" s="41">
        <f>表1[[#This Row],[订单日期]]</f>
        <v>45925</v>
      </c>
      <c r="B1644" s="42">
        <f>原始数据!G1644/(原始数据!G$2/100)</f>
        <v>850</v>
      </c>
      <c r="C1644" s="42">
        <f>原始数据!J1644/(原始数据!J$2/100)</f>
        <v>252.44332765340764</v>
      </c>
    </row>
    <row r="1645" spans="1:3" ht="18" customHeight="1" x14ac:dyDescent="0.3">
      <c r="A1645" s="41">
        <f>表1[[#This Row],[订单日期]]</f>
        <v>45925</v>
      </c>
      <c r="B1645" s="42">
        <f>原始数据!G1645/(原始数据!G$2/100)</f>
        <v>850</v>
      </c>
      <c r="C1645" s="42">
        <f>原始数据!J1645/(原始数据!J$2/100)</f>
        <v>59.852470428892332</v>
      </c>
    </row>
    <row r="1646" spans="1:3" ht="18" customHeight="1" x14ac:dyDescent="0.3">
      <c r="A1646" s="41">
        <f>表1[[#This Row],[订单日期]]</f>
        <v>45925</v>
      </c>
      <c r="B1646" s="42">
        <f>原始数据!G1646/(原始数据!G$2/100)</f>
        <v>850</v>
      </c>
      <c r="C1646" s="42">
        <f>原始数据!J1646/(原始数据!J$2/100)</f>
        <v>549.97293159346725</v>
      </c>
    </row>
    <row r="1647" spans="1:3" ht="18" customHeight="1" x14ac:dyDescent="0.3">
      <c r="A1647" s="41">
        <f>表1[[#This Row],[订单日期]]</f>
        <v>45925</v>
      </c>
      <c r="B1647" s="42">
        <f>原始数据!G1647/(原始数据!G$2/100)</f>
        <v>850</v>
      </c>
      <c r="C1647" s="42">
        <f>原始数据!J1647/(原始数据!J$2/100)</f>
        <v>306.96271876644647</v>
      </c>
    </row>
    <row r="1648" spans="1:3" ht="18" customHeight="1" x14ac:dyDescent="0.3">
      <c r="A1648" s="41">
        <f>表1[[#This Row],[订单日期]]</f>
        <v>45925</v>
      </c>
      <c r="B1648" s="42">
        <f>原始数据!G1648/(原始数据!G$2/100)</f>
        <v>850</v>
      </c>
      <c r="C1648" s="42">
        <f>原始数据!J1648/(原始数据!J$2/100)</f>
        <v>290.56257672431286</v>
      </c>
    </row>
    <row r="1649" spans="1:3" ht="18" customHeight="1" x14ac:dyDescent="0.3">
      <c r="A1649" s="41">
        <f>表1[[#This Row],[订单日期]]</f>
        <v>45925</v>
      </c>
      <c r="B1649" s="42">
        <f>原始数据!G1649/(原始数据!G$2/100)</f>
        <v>850</v>
      </c>
      <c r="C1649" s="42">
        <f>原始数据!J1649/(原始数据!J$2/100)</f>
        <v>74.036377059926821</v>
      </c>
    </row>
    <row r="1650" spans="1:3" ht="18" customHeight="1" x14ac:dyDescent="0.3">
      <c r="A1650" s="41">
        <f>表1[[#This Row],[订单日期]]</f>
        <v>45925</v>
      </c>
      <c r="B1650" s="42">
        <f>原始数据!G1650/(原始数据!G$2/100)</f>
        <v>850</v>
      </c>
      <c r="C1650" s="42">
        <f>原始数据!J1650/(原始数据!J$2/100)</f>
        <v>393.83914688153277</v>
      </c>
    </row>
    <row r="1651" spans="1:3" ht="18" customHeight="1" x14ac:dyDescent="0.3">
      <c r="A1651" s="41">
        <f>表1[[#This Row],[订单日期]]</f>
        <v>45925</v>
      </c>
      <c r="B1651" s="42">
        <f>原始数据!G1651/(原始数据!G$2/100)</f>
        <v>850</v>
      </c>
      <c r="C1651" s="42">
        <f>原始数据!J1651/(原始数据!J$2/100)</f>
        <v>172.21560577161875</v>
      </c>
    </row>
    <row r="1652" spans="1:3" ht="18" customHeight="1" x14ac:dyDescent="0.3">
      <c r="A1652" s="41">
        <f>表1[[#This Row],[订单日期]]</f>
        <v>45925</v>
      </c>
      <c r="B1652" s="42">
        <f>原始数据!G1652/(原始数据!G$2/100)</f>
        <v>850</v>
      </c>
      <c r="C1652" s="42">
        <f>原始数据!J1652/(原始数据!J$2/100)</f>
        <v>21.511597816877199</v>
      </c>
    </row>
    <row r="1653" spans="1:3" ht="18" customHeight="1" x14ac:dyDescent="0.3">
      <c r="A1653" s="41">
        <f>表1[[#This Row],[订单日期]]</f>
        <v>45925</v>
      </c>
      <c r="B1653" s="42">
        <f>原始数据!G1653/(原始数据!G$2/100)</f>
        <v>1000</v>
      </c>
      <c r="C1653" s="42">
        <f>原始数据!J1653/(原始数据!J$2/100)</f>
        <v>121.03687443543764</v>
      </c>
    </row>
    <row r="1654" spans="1:3" ht="18" customHeight="1" x14ac:dyDescent="0.3">
      <c r="A1654" s="41">
        <f>表1[[#This Row],[订单日期]]</f>
        <v>45925</v>
      </c>
      <c r="B1654" s="42">
        <f>原始数据!G1654/(原始数据!G$2/100)</f>
        <v>1000</v>
      </c>
      <c r="C1654" s="42">
        <f>原始数据!J1654/(原始数据!J$2/100)</f>
        <v>544.55946149648332</v>
      </c>
    </row>
    <row r="1655" spans="1:3" ht="18" customHeight="1" x14ac:dyDescent="0.3">
      <c r="A1655" s="41">
        <f>表1[[#This Row],[订单日期]]</f>
        <v>45925</v>
      </c>
      <c r="B1655" s="42">
        <f>原始数据!G1655/(原始数据!G$2/100)</f>
        <v>1000</v>
      </c>
      <c r="C1655" s="42">
        <f>原始数据!J1655/(原始数据!J$2/100)</f>
        <v>510.20781262444666</v>
      </c>
    </row>
    <row r="1656" spans="1:3" ht="18" customHeight="1" x14ac:dyDescent="0.3">
      <c r="A1656" s="41">
        <f>表1[[#This Row],[订单日期]]</f>
        <v>45925</v>
      </c>
      <c r="B1656" s="42">
        <f>原始数据!G1656/(原始数据!G$2/100)</f>
        <v>1000</v>
      </c>
      <c r="C1656" s="42">
        <f>原始数据!J1656/(原始数据!J$2/100)</f>
        <v>537.46750818096609</v>
      </c>
    </row>
    <row r="1657" spans="1:3" ht="18" customHeight="1" x14ac:dyDescent="0.3">
      <c r="A1657" s="41">
        <f>表1[[#This Row],[订单日期]]</f>
        <v>45925</v>
      </c>
      <c r="B1657" s="42">
        <f>原始数据!G1657/(原始数据!G$2/100)</f>
        <v>1000</v>
      </c>
      <c r="C1657" s="42">
        <f>原始数据!J1657/(原始数据!J$2/100)</f>
        <v>186.19419552175236</v>
      </c>
    </row>
    <row r="1658" spans="1:3" ht="18" customHeight="1" x14ac:dyDescent="0.3">
      <c r="A1658" s="41">
        <f>表1[[#This Row],[订单日期]]</f>
        <v>45925</v>
      </c>
      <c r="B1658" s="42">
        <f>原始数据!G1658/(原始数据!G$2/100)</f>
        <v>1000</v>
      </c>
      <c r="C1658" s="42">
        <f>原始数据!J1658/(原始数据!J$2/100)</f>
        <v>41.030776094758664</v>
      </c>
    </row>
    <row r="1659" spans="1:3" ht="18" customHeight="1" x14ac:dyDescent="0.3">
      <c r="A1659" s="41">
        <f>表1[[#This Row],[订单日期]]</f>
        <v>45925</v>
      </c>
      <c r="B1659" s="42">
        <f>原始数据!G1659/(原始数据!G$2/100)</f>
        <v>1000</v>
      </c>
      <c r="C1659" s="42">
        <f>原始数据!J1659/(原始数据!J$2/100)</f>
        <v>340.33336836369756</v>
      </c>
    </row>
    <row r="1660" spans="1:3" ht="18" customHeight="1" x14ac:dyDescent="0.3">
      <c r="A1660" s="41">
        <f>表1[[#This Row],[订单日期]]</f>
        <v>45925</v>
      </c>
      <c r="B1660" s="42">
        <f>原始数据!G1660/(原始数据!G$2/100)</f>
        <v>1000</v>
      </c>
      <c r="C1660" s="42">
        <f>原始数据!J1660/(原始数据!J$2/100)</f>
        <v>418.78810191660716</v>
      </c>
    </row>
    <row r="1661" spans="1:3" ht="18" customHeight="1" x14ac:dyDescent="0.3">
      <c r="A1661" s="41">
        <f>表1[[#This Row],[订单日期]]</f>
        <v>45925</v>
      </c>
      <c r="B1661" s="42">
        <f>原始数据!G1661/(原始数据!G$2/100)</f>
        <v>1000</v>
      </c>
      <c r="C1661" s="42">
        <f>原始数据!J1661/(原始数据!J$2/100)</f>
        <v>149.73712300917151</v>
      </c>
    </row>
    <row r="1662" spans="1:3" ht="18" customHeight="1" x14ac:dyDescent="0.3">
      <c r="A1662" s="41">
        <f>表1[[#This Row],[订单日期]]</f>
        <v>45926</v>
      </c>
      <c r="B1662" s="42">
        <f>原始数据!G1662/(原始数据!G$2/100)</f>
        <v>50</v>
      </c>
      <c r="C1662" s="42">
        <f>原始数据!J1662/(原始数据!J$2/100)</f>
        <v>99.970428722760602</v>
      </c>
    </row>
    <row r="1663" spans="1:3" ht="18" customHeight="1" x14ac:dyDescent="0.3">
      <c r="A1663" s="41">
        <f>表1[[#This Row],[订单日期]]</f>
        <v>45926</v>
      </c>
      <c r="B1663" s="42">
        <f>原始数据!G1663/(原始数据!G$2/100)</f>
        <v>50</v>
      </c>
      <c r="C1663" s="42">
        <f>原始数据!J1663/(原始数据!J$2/100)</f>
        <v>387.41616154231912</v>
      </c>
    </row>
    <row r="1664" spans="1:3" ht="18" customHeight="1" x14ac:dyDescent="0.3">
      <c r="A1664" s="41">
        <f>表1[[#This Row],[订单日期]]</f>
        <v>45926</v>
      </c>
      <c r="B1664" s="42">
        <f>原始数据!G1664/(原始数据!G$2/100)</f>
        <v>50</v>
      </c>
      <c r="C1664" s="42">
        <f>原始数据!J1664/(原始数据!J$2/100)</f>
        <v>21.848130481515899</v>
      </c>
    </row>
    <row r="1665" spans="1:3" ht="18" customHeight="1" x14ac:dyDescent="0.3">
      <c r="A1665" s="41">
        <f>表1[[#This Row],[订单日期]]</f>
        <v>45926</v>
      </c>
      <c r="B1665" s="42">
        <f>原始数据!G1665/(原始数据!G$2/100)</f>
        <v>50</v>
      </c>
      <c r="C1665" s="42">
        <f>原始数据!J1665/(原始数据!J$2/100)</f>
        <v>286.46663856675326</v>
      </c>
    </row>
    <row r="1666" spans="1:3" ht="18" customHeight="1" x14ac:dyDescent="0.3">
      <c r="A1666" s="41">
        <f>表1[[#This Row],[订单日期]]</f>
        <v>45926</v>
      </c>
      <c r="B1666" s="42">
        <f>原始数据!G1666/(原始数据!G$2/100)</f>
        <v>50</v>
      </c>
      <c r="C1666" s="42">
        <f>原始数据!J1666/(原始数据!J$2/100)</f>
        <v>289.45855637173707</v>
      </c>
    </row>
    <row r="1667" spans="1:3" ht="18" customHeight="1" x14ac:dyDescent="0.3">
      <c r="A1667" s="41">
        <f>表1[[#This Row],[订单日期]]</f>
        <v>45926</v>
      </c>
      <c r="B1667" s="42">
        <f>原始数据!G1667/(原始数据!G$2/100)</f>
        <v>50</v>
      </c>
      <c r="C1667" s="42">
        <f>原始数据!J1667/(原始数据!J$2/100)</f>
        <v>441.0490584909183</v>
      </c>
    </row>
    <row r="1668" spans="1:3" ht="18" customHeight="1" x14ac:dyDescent="0.3">
      <c r="A1668" s="41">
        <f>表1[[#This Row],[订单日期]]</f>
        <v>45926</v>
      </c>
      <c r="B1668" s="42">
        <f>原始数据!G1668/(原始数据!G$2/100)</f>
        <v>50</v>
      </c>
      <c r="C1668" s="42">
        <f>原始数据!J1668/(原始数据!J$2/100)</f>
        <v>225.29854122041698</v>
      </c>
    </row>
    <row r="1669" spans="1:3" ht="18" customHeight="1" x14ac:dyDescent="0.3">
      <c r="A1669" s="41">
        <f>表1[[#This Row],[订单日期]]</f>
        <v>45926</v>
      </c>
      <c r="B1669" s="42">
        <f>原始数据!G1669/(原始数据!G$2/100)</f>
        <v>50</v>
      </c>
      <c r="C1669" s="42">
        <f>原始数据!J1669/(原始数据!J$2/100)</f>
        <v>173.66025614180703</v>
      </c>
    </row>
    <row r="1670" spans="1:3" ht="18" customHeight="1" x14ac:dyDescent="0.3">
      <c r="A1670" s="41">
        <f>表1[[#This Row],[订单日期]]</f>
        <v>45926</v>
      </c>
      <c r="B1670" s="42">
        <f>原始数据!G1670/(原始数据!G$2/100)</f>
        <v>50</v>
      </c>
      <c r="C1670" s="42">
        <f>原始数据!J1670/(原始数据!J$2/100)</f>
        <v>58.748450076316587</v>
      </c>
    </row>
    <row r="1671" spans="1:3" ht="18" customHeight="1" x14ac:dyDescent="0.3">
      <c r="A1671" s="41">
        <f>表1[[#This Row],[订单日期]]</f>
        <v>45926</v>
      </c>
      <c r="B1671" s="42">
        <f>原始数据!G1671/(原始数据!G$2/100)</f>
        <v>100</v>
      </c>
      <c r="C1671" s="42">
        <f>原始数据!J1671/(原始数据!J$2/100)</f>
        <v>243.87170208793248</v>
      </c>
    </row>
    <row r="1672" spans="1:3" ht="18" customHeight="1" x14ac:dyDescent="0.3">
      <c r="A1672" s="41">
        <f>表1[[#This Row],[订单日期]]</f>
        <v>45926</v>
      </c>
      <c r="B1672" s="42">
        <f>原始数据!G1672/(原始数据!G$2/100)</f>
        <v>100</v>
      </c>
      <c r="C1672" s="42">
        <f>原始数据!J1672/(原始数据!J$2/100)</f>
        <v>403.3298399165156</v>
      </c>
    </row>
    <row r="1673" spans="1:3" ht="18" customHeight="1" x14ac:dyDescent="0.3">
      <c r="A1673" s="41">
        <f>表1[[#This Row],[订单日期]]</f>
        <v>45926</v>
      </c>
      <c r="B1673" s="42">
        <f>原始数据!G1673/(原始数据!G$2/100)</f>
        <v>100</v>
      </c>
      <c r="C1673" s="42">
        <f>原始数据!J1673/(原始数据!J$2/100)</f>
        <v>552.15004777182287</v>
      </c>
    </row>
    <row r="1674" spans="1:3" ht="18" customHeight="1" x14ac:dyDescent="0.3">
      <c r="A1674" s="41">
        <f>表1[[#This Row],[订单日期]]</f>
        <v>45926</v>
      </c>
      <c r="B1674" s="42">
        <f>原始数据!G1674/(原始数据!G$2/100)</f>
        <v>100</v>
      </c>
      <c r="C1674" s="42">
        <f>原始数据!J1674/(原始数据!J$2/100)</f>
        <v>447.43292459738853</v>
      </c>
    </row>
    <row r="1675" spans="1:3" ht="18" customHeight="1" x14ac:dyDescent="0.3">
      <c r="A1675" s="41">
        <f>表1[[#This Row],[订单日期]]</f>
        <v>45926</v>
      </c>
      <c r="B1675" s="42">
        <f>原始数据!G1675/(原始数据!G$2/100)</f>
        <v>100</v>
      </c>
      <c r="C1675" s="42">
        <f>原始数据!J1675/(原始数据!J$2/100)</f>
        <v>185.69552254658004</v>
      </c>
    </row>
    <row r="1676" spans="1:3" ht="18" customHeight="1" x14ac:dyDescent="0.3">
      <c r="A1676" s="41">
        <f>表1[[#This Row],[订单日期]]</f>
        <v>45926</v>
      </c>
      <c r="B1676" s="42">
        <f>原始数据!G1676/(原始数据!G$2/100)</f>
        <v>100</v>
      </c>
      <c r="C1676" s="42">
        <f>原始数据!J1676/(原始数据!J$2/100)</f>
        <v>125.41391936468341</v>
      </c>
    </row>
    <row r="1677" spans="1:3" ht="18" customHeight="1" x14ac:dyDescent="0.3">
      <c r="A1677" s="41">
        <f>表1[[#This Row],[订单日期]]</f>
        <v>45926</v>
      </c>
      <c r="B1677" s="42">
        <f>原始数据!G1677/(原始数据!G$2/100)</f>
        <v>100</v>
      </c>
      <c r="C1677" s="42">
        <f>原始数据!J1677/(原始数据!J$2/100)</f>
        <v>265.70162088725903</v>
      </c>
    </row>
    <row r="1678" spans="1:3" ht="18" customHeight="1" x14ac:dyDescent="0.3">
      <c r="A1678" s="41">
        <f>表1[[#This Row],[订单日期]]</f>
        <v>45926</v>
      </c>
      <c r="B1678" s="42">
        <f>原始数据!G1678/(原始数据!G$2/100)</f>
        <v>100</v>
      </c>
      <c r="C1678" s="42">
        <f>原始数据!J1678/(原始数据!J$2/100)</f>
        <v>132.72749622131059</v>
      </c>
    </row>
    <row r="1679" spans="1:3" ht="18" customHeight="1" x14ac:dyDescent="0.3">
      <c r="A1679" s="41">
        <f>表1[[#This Row],[订单日期]]</f>
        <v>45926</v>
      </c>
      <c r="B1679" s="42">
        <f>原始数据!G1679/(原始数据!G$2/100)</f>
        <v>150</v>
      </c>
      <c r="C1679" s="42">
        <f>原始数据!J1679/(原始数据!J$2/100)</f>
        <v>423.06993821659302</v>
      </c>
    </row>
    <row r="1680" spans="1:3" ht="18" customHeight="1" x14ac:dyDescent="0.3">
      <c r="A1680" s="41">
        <f>表1[[#This Row],[订单日期]]</f>
        <v>45926</v>
      </c>
      <c r="B1680" s="42">
        <f>原始数据!G1680/(原始数据!G$2/100)</f>
        <v>150</v>
      </c>
      <c r="C1680" s="42">
        <f>原始数据!J1680/(原始数据!J$2/100)</f>
        <v>373.75870031963711</v>
      </c>
    </row>
    <row r="1681" spans="1:3" ht="18" customHeight="1" x14ac:dyDescent="0.3">
      <c r="A1681" s="41">
        <f>表1[[#This Row],[订单日期]]</f>
        <v>45926</v>
      </c>
      <c r="B1681" s="42">
        <f>原始数据!G1681/(原始数据!G$2/100)</f>
        <v>150</v>
      </c>
      <c r="C1681" s="42">
        <f>原始数据!J1681/(原始数据!J$2/100)</f>
        <v>81.215626054550611</v>
      </c>
    </row>
    <row r="1682" spans="1:3" ht="18" customHeight="1" x14ac:dyDescent="0.3">
      <c r="A1682" s="41">
        <f>表1[[#This Row],[订单日期]]</f>
        <v>45926</v>
      </c>
      <c r="B1682" s="42">
        <f>原始数据!G1682/(原始数据!G$2/100)</f>
        <v>150</v>
      </c>
      <c r="C1682" s="42">
        <f>原始数据!J1682/(原始数据!J$2/100)</f>
        <v>512.05178997222345</v>
      </c>
    </row>
    <row r="1683" spans="1:3" ht="18" customHeight="1" x14ac:dyDescent="0.3">
      <c r="A1683" s="41">
        <f>表1[[#This Row],[订单日期]]</f>
        <v>45926</v>
      </c>
      <c r="B1683" s="42">
        <f>原始数据!G1683/(原始数据!G$2/100)</f>
        <v>150</v>
      </c>
      <c r="C1683" s="42">
        <f>原始数据!J1683/(原始数据!J$2/100)</f>
        <v>284.33360148178684</v>
      </c>
    </row>
    <row r="1684" spans="1:3" ht="18" customHeight="1" x14ac:dyDescent="0.3">
      <c r="A1684" s="41">
        <f>表1[[#This Row],[订单日期]]</f>
        <v>45926</v>
      </c>
      <c r="B1684" s="42">
        <f>原始数据!G1684/(原始数据!G$2/100)</f>
        <v>150</v>
      </c>
      <c r="C1684" s="42">
        <f>原始数据!J1684/(原始数据!J$2/100)</f>
        <v>535.6546971004293</v>
      </c>
    </row>
    <row r="1685" spans="1:3" ht="18" customHeight="1" x14ac:dyDescent="0.3">
      <c r="A1685" s="41">
        <f>表1[[#This Row],[订单日期]]</f>
        <v>45926</v>
      </c>
      <c r="B1685" s="42">
        <f>原始数据!G1685/(原始数据!G$2/100)</f>
        <v>150</v>
      </c>
      <c r="C1685" s="42">
        <f>原始数据!J1685/(原始数据!J$2/100)</f>
        <v>298.07426103060152</v>
      </c>
    </row>
    <row r="1686" spans="1:3" ht="18" customHeight="1" x14ac:dyDescent="0.3">
      <c r="A1686" s="41">
        <f>表1[[#This Row],[订单日期]]</f>
        <v>45926</v>
      </c>
      <c r="B1686" s="42">
        <f>原始数据!G1686/(原始数据!G$2/100)</f>
        <v>150</v>
      </c>
      <c r="C1686" s="42">
        <f>原始数据!J1686/(原始数据!J$2/100)</f>
        <v>50.299142069717597</v>
      </c>
    </row>
    <row r="1687" spans="1:3" ht="18" customHeight="1" x14ac:dyDescent="0.3">
      <c r="A1687" s="41">
        <f>表1[[#This Row],[订单日期]]</f>
        <v>45926</v>
      </c>
      <c r="B1687" s="42">
        <f>原始数据!G1687/(原始数据!G$2/100)</f>
        <v>150</v>
      </c>
      <c r="C1687" s="42">
        <f>原始数据!J1687/(原始数据!J$2/100)</f>
        <v>486.3434592034734</v>
      </c>
    </row>
    <row r="1688" spans="1:3" ht="18" customHeight="1" x14ac:dyDescent="0.3">
      <c r="A1688" s="41">
        <f>表1[[#This Row],[订单日期]]</f>
        <v>45926</v>
      </c>
      <c r="B1688" s="42">
        <f>原始数据!G1688/(原始数据!G$2/100)</f>
        <v>250</v>
      </c>
      <c r="C1688" s="42">
        <f>原始数据!J1688/(原始数据!J$2/100)</f>
        <v>164.43702911958098</v>
      </c>
    </row>
    <row r="1689" spans="1:3" ht="18" customHeight="1" x14ac:dyDescent="0.3">
      <c r="A1689" s="41">
        <f>表1[[#This Row],[订单日期]]</f>
        <v>45926</v>
      </c>
      <c r="B1689" s="42">
        <f>原始数据!G1689/(原始数据!G$2/100)</f>
        <v>250</v>
      </c>
      <c r="C1689" s="42">
        <f>原始数据!J1689/(原始数据!J$2/100)</f>
        <v>470.72076293348215</v>
      </c>
    </row>
    <row r="1690" spans="1:3" ht="18" customHeight="1" x14ac:dyDescent="0.3">
      <c r="A1690" s="41">
        <f>表1[[#This Row],[订单日期]]</f>
        <v>45926</v>
      </c>
      <c r="B1690" s="42">
        <f>原始数据!G1690/(原始数据!G$2/100)</f>
        <v>250</v>
      </c>
      <c r="C1690" s="42">
        <f>原始数据!J1690/(原始数据!J$2/100)</f>
        <v>184.05071250780836</v>
      </c>
    </row>
    <row r="1691" spans="1:3" ht="18" customHeight="1" x14ac:dyDescent="0.3">
      <c r="A1691" s="41">
        <f>表1[[#This Row],[订单日期]]</f>
        <v>45926</v>
      </c>
      <c r="B1691" s="42">
        <f>原始数据!G1691/(原始数据!G$2/100)</f>
        <v>250</v>
      </c>
      <c r="C1691" s="42">
        <f>原始数据!J1691/(原始数据!J$2/100)</f>
        <v>277.13259977397229</v>
      </c>
    </row>
    <row r="1692" spans="1:3" ht="18" customHeight="1" x14ac:dyDescent="0.3">
      <c r="A1692" s="41">
        <f>表1[[#This Row],[订单日期]]</f>
        <v>45926</v>
      </c>
      <c r="B1692" s="42">
        <f>原始数据!G1692/(原始数据!G$2/100)</f>
        <v>250</v>
      </c>
      <c r="C1692" s="42">
        <f>原始数据!J1692/(原始数据!J$2/100)</f>
        <v>124.43397994924149</v>
      </c>
    </row>
    <row r="1693" spans="1:3" ht="18" customHeight="1" x14ac:dyDescent="0.3">
      <c r="A1693" s="41">
        <f>表1[[#This Row],[订单日期]]</f>
        <v>45926</v>
      </c>
      <c r="B1693" s="42">
        <f>原始数据!G1693/(原始数据!G$2/100)</f>
        <v>250</v>
      </c>
      <c r="C1693" s="42">
        <f>原始数据!J1693/(原始数据!J$2/100)</f>
        <v>252.53238671077182</v>
      </c>
    </row>
    <row r="1694" spans="1:3" ht="18" customHeight="1" x14ac:dyDescent="0.3">
      <c r="A1694" s="41">
        <f>表1[[#This Row],[订单日期]]</f>
        <v>45926</v>
      </c>
      <c r="B1694" s="42">
        <f>原始数据!G1694/(原始数据!G$2/100)</f>
        <v>250</v>
      </c>
      <c r="C1694" s="42">
        <f>原始数据!J1694/(原始数据!J$2/100)</f>
        <v>523.24554217653179</v>
      </c>
    </row>
    <row r="1695" spans="1:3" ht="18" customHeight="1" x14ac:dyDescent="0.3">
      <c r="A1695" s="41">
        <f>表1[[#This Row],[订单日期]]</f>
        <v>45926</v>
      </c>
      <c r="B1695" s="42">
        <f>原始数据!G1695/(原始数据!G$2/100)</f>
        <v>250</v>
      </c>
      <c r="C1695" s="42">
        <f>原始数据!J1695/(原始数据!J$2/100)</f>
        <v>252.08913962855198</v>
      </c>
    </row>
    <row r="1696" spans="1:3" ht="18" customHeight="1" x14ac:dyDescent="0.3">
      <c r="A1696" s="41">
        <f>表1[[#This Row],[订单日期]]</f>
        <v>45926</v>
      </c>
      <c r="B1696" s="42">
        <f>原始数据!G1696/(原始数据!G$2/100)</f>
        <v>250</v>
      </c>
      <c r="C1696" s="42">
        <f>原始数据!J1696/(原始数据!J$2/100)</f>
        <v>449.77733829859528</v>
      </c>
    </row>
    <row r="1697" spans="1:3" ht="18" customHeight="1" x14ac:dyDescent="0.3">
      <c r="A1697" s="41">
        <f>表1[[#This Row],[订单日期]]</f>
        <v>45926</v>
      </c>
      <c r="B1697" s="42">
        <f>原始数据!G1697/(原始数据!G$2/100)</f>
        <v>450</v>
      </c>
      <c r="C1697" s="42">
        <f>原始数据!J1697/(原始数据!J$2/100)</f>
        <v>336.31997550725964</v>
      </c>
    </row>
    <row r="1698" spans="1:3" ht="18" customHeight="1" x14ac:dyDescent="0.3">
      <c r="A1698" s="41">
        <f>表1[[#This Row],[订单日期]]</f>
        <v>45926</v>
      </c>
      <c r="B1698" s="42">
        <f>原始数据!G1698/(原始数据!G$2/100)</f>
        <v>450</v>
      </c>
      <c r="C1698" s="42">
        <f>原始数据!J1698/(原始数据!J$2/100)</f>
        <v>53.971584133229129</v>
      </c>
    </row>
    <row r="1699" spans="1:3" ht="18" customHeight="1" x14ac:dyDescent="0.3">
      <c r="A1699" s="41">
        <f>表1[[#This Row],[订单日期]]</f>
        <v>45926</v>
      </c>
      <c r="B1699" s="42">
        <f>原始数据!G1699/(原始数据!G$2/100)</f>
        <v>450</v>
      </c>
      <c r="C1699" s="42">
        <f>原始数据!J1699/(原始数据!J$2/100)</f>
        <v>64.277078794840136</v>
      </c>
    </row>
    <row r="1700" spans="1:3" ht="18" customHeight="1" x14ac:dyDescent="0.3">
      <c r="A1700" s="41">
        <f>表1[[#This Row],[订单日期]]</f>
        <v>45926</v>
      </c>
      <c r="B1700" s="42">
        <f>原始数据!G1700/(原始数据!G$2/100)</f>
        <v>450</v>
      </c>
      <c r="C1700" s="42">
        <f>原始数据!J1700/(原始数据!J$2/100)</f>
        <v>55.744572462108444</v>
      </c>
    </row>
    <row r="1701" spans="1:3" ht="18" customHeight="1" x14ac:dyDescent="0.3">
      <c r="A1701" s="41">
        <f>表1[[#This Row],[订单日期]]</f>
        <v>45926</v>
      </c>
      <c r="B1701" s="42">
        <f>原始数据!G1701/(原始数据!G$2/100)</f>
        <v>450</v>
      </c>
      <c r="C1701" s="42">
        <f>原始数据!J1701/(原始数据!J$2/100)</f>
        <v>127.66141155227555</v>
      </c>
    </row>
    <row r="1702" spans="1:3" ht="18" customHeight="1" x14ac:dyDescent="0.3">
      <c r="A1702" s="41">
        <f>表1[[#This Row],[订单日期]]</f>
        <v>45926</v>
      </c>
      <c r="B1702" s="42">
        <f>原始数据!G1702/(原始数据!G$2/100)</f>
        <v>450</v>
      </c>
      <c r="C1702" s="42">
        <f>原始数据!J1702/(原始数据!J$2/100)</f>
        <v>8.6495699762517066</v>
      </c>
    </row>
    <row r="1703" spans="1:3" ht="18" customHeight="1" x14ac:dyDescent="0.3">
      <c r="A1703" s="41">
        <f>表1[[#This Row],[订单日期]]</f>
        <v>45926</v>
      </c>
      <c r="B1703" s="42">
        <f>原始数据!G1703/(原始数据!G$2/100)</f>
        <v>450</v>
      </c>
      <c r="C1703" s="42">
        <f>原始数据!J1703/(原始数据!J$2/100)</f>
        <v>262.29771277654834</v>
      </c>
    </row>
    <row r="1704" spans="1:3" ht="18" customHeight="1" x14ac:dyDescent="0.3">
      <c r="A1704" s="41">
        <f>表1[[#This Row],[订单日期]]</f>
        <v>45926</v>
      </c>
      <c r="B1704" s="42">
        <f>原始数据!G1704/(原始数据!G$2/100)</f>
        <v>450</v>
      </c>
      <c r="C1704" s="42">
        <f>原始数据!J1704/(原始数据!J$2/100)</f>
        <v>190.38087368638122</v>
      </c>
    </row>
    <row r="1705" spans="1:3" ht="18" customHeight="1" x14ac:dyDescent="0.3">
      <c r="A1705" s="41">
        <f>表1[[#This Row],[订单日期]]</f>
        <v>45926</v>
      </c>
      <c r="B1705" s="42">
        <f>原始数据!G1705/(原始数据!G$2/100)</f>
        <v>500</v>
      </c>
      <c r="C1705" s="42">
        <f>原始数据!J1705/(原始数据!J$2/100)</f>
        <v>239.97746046625602</v>
      </c>
    </row>
    <row r="1706" spans="1:3" ht="18" customHeight="1" x14ac:dyDescent="0.3">
      <c r="A1706" s="41">
        <f>表1[[#This Row],[订单日期]]</f>
        <v>45926</v>
      </c>
      <c r="B1706" s="42">
        <f>原始数据!G1706/(原始数据!G$2/100)</f>
        <v>500</v>
      </c>
      <c r="C1706" s="42">
        <f>原始数据!J1706/(原始数据!J$2/100)</f>
        <v>165.95519773554474</v>
      </c>
    </row>
    <row r="1707" spans="1:3" ht="18" customHeight="1" x14ac:dyDescent="0.3">
      <c r="A1707" s="41">
        <f>表1[[#This Row],[订单日期]]</f>
        <v>45926</v>
      </c>
      <c r="B1707" s="42">
        <f>原始数据!G1707/(原始数据!G$2/100)</f>
        <v>500</v>
      </c>
      <c r="C1707" s="42">
        <f>原始数据!J1707/(原始数据!J$2/100)</f>
        <v>207.62042346420859</v>
      </c>
    </row>
    <row r="1708" spans="1:3" ht="18" customHeight="1" x14ac:dyDescent="0.3">
      <c r="A1708" s="41">
        <f>表1[[#This Row],[订单日期]]</f>
        <v>45926</v>
      </c>
      <c r="B1708" s="42">
        <f>原始数据!G1708/(原始数据!G$2/100)</f>
        <v>500</v>
      </c>
      <c r="C1708" s="42">
        <f>原始数据!J1708/(原始数据!J$2/100)</f>
        <v>187.45268122320638</v>
      </c>
    </row>
    <row r="1709" spans="1:3" ht="18" customHeight="1" x14ac:dyDescent="0.3">
      <c r="A1709" s="41">
        <f>表1[[#This Row],[订单日期]]</f>
        <v>45926</v>
      </c>
      <c r="B1709" s="42">
        <f>原始数据!G1709/(原始数据!G$2/100)</f>
        <v>500</v>
      </c>
      <c r="C1709" s="42">
        <f>原始数据!J1709/(原始数据!J$2/100)</f>
        <v>274.88316819106751</v>
      </c>
    </row>
    <row r="1710" spans="1:3" ht="18" customHeight="1" x14ac:dyDescent="0.3">
      <c r="A1710" s="41">
        <f>表1[[#This Row],[订单日期]]</f>
        <v>45926</v>
      </c>
      <c r="B1710" s="42">
        <f>原始数据!G1710/(原始数据!G$2/100)</f>
        <v>500</v>
      </c>
      <c r="C1710" s="42">
        <f>原始数据!J1710/(原始数据!J$2/100)</f>
        <v>37.191920350684676</v>
      </c>
    </row>
    <row r="1711" spans="1:3" ht="18" customHeight="1" x14ac:dyDescent="0.3">
      <c r="A1711" s="41">
        <f>表1[[#This Row],[订单日期]]</f>
        <v>45926</v>
      </c>
      <c r="B1711" s="42">
        <f>原始数据!G1711/(原始数据!G$2/100)</f>
        <v>500</v>
      </c>
      <c r="C1711" s="42">
        <f>原始数据!J1711/(原始数据!J$2/100)</f>
        <v>84.619358148206288</v>
      </c>
    </row>
    <row r="1712" spans="1:3" ht="18" customHeight="1" x14ac:dyDescent="0.3">
      <c r="A1712" s="41">
        <f>表1[[#This Row],[订单日期]]</f>
        <v>45926</v>
      </c>
      <c r="B1712" s="42">
        <f>原始数据!G1712/(原始数据!G$2/100)</f>
        <v>500</v>
      </c>
      <c r="C1712" s="42">
        <f>原始数据!J1712/(原始数据!J$2/100)</f>
        <v>353.7811488261969</v>
      </c>
    </row>
    <row r="1713" spans="1:3" ht="18" customHeight="1" x14ac:dyDescent="0.3">
      <c r="A1713" s="41">
        <f>表1[[#This Row],[订单日期]]</f>
        <v>45926</v>
      </c>
      <c r="B1713" s="42">
        <f>原始数据!G1713/(原始数据!G$2/100)</f>
        <v>500</v>
      </c>
      <c r="C1713" s="42">
        <f>原始数据!J1713/(原始数据!J$2/100)</f>
        <v>395.00312747264087</v>
      </c>
    </row>
    <row r="1714" spans="1:3" ht="18" customHeight="1" x14ac:dyDescent="0.3">
      <c r="A1714" s="41">
        <f>表1[[#This Row],[订单日期]]</f>
        <v>45926</v>
      </c>
      <c r="B1714" s="42">
        <f>原始数据!G1714/(原始数据!G$2/100)</f>
        <v>750</v>
      </c>
      <c r="C1714" s="42">
        <f>原始数据!J1714/(原始数据!J$2/100)</f>
        <v>392.62271293368826</v>
      </c>
    </row>
    <row r="1715" spans="1:3" ht="18" customHeight="1" x14ac:dyDescent="0.3">
      <c r="A1715" s="41">
        <f>表1[[#This Row],[订单日期]]</f>
        <v>45926</v>
      </c>
      <c r="B1715" s="42">
        <f>原始数据!G1715/(原始数据!G$2/100)</f>
        <v>750</v>
      </c>
      <c r="C1715" s="42">
        <f>原始数据!J1715/(原始数据!J$2/100)</f>
        <v>259.75940003829481</v>
      </c>
    </row>
    <row r="1716" spans="1:3" ht="18" customHeight="1" x14ac:dyDescent="0.3">
      <c r="A1716" s="41">
        <f>表1[[#This Row],[订单日期]]</f>
        <v>45926</v>
      </c>
      <c r="B1716" s="42">
        <f>原始数据!G1716/(原始数据!G$2/100)</f>
        <v>750</v>
      </c>
      <c r="C1716" s="42">
        <f>原始数据!J1716/(原始数据!J$2/100)</f>
        <v>392.40108939257834</v>
      </c>
    </row>
    <row r="1717" spans="1:3" ht="18" customHeight="1" x14ac:dyDescent="0.3">
      <c r="A1717" s="41">
        <f>表1[[#This Row],[订单日期]]</f>
        <v>45926</v>
      </c>
      <c r="B1717" s="42">
        <f>原始数据!G1717/(原始数据!G$2/100)</f>
        <v>750</v>
      </c>
      <c r="C1717" s="42">
        <f>原始数据!J1717/(原始数据!J$2/100)</f>
        <v>374.0063354804555</v>
      </c>
    </row>
    <row r="1718" spans="1:3" ht="18" customHeight="1" x14ac:dyDescent="0.3">
      <c r="A1718" s="41">
        <f>表1[[#This Row],[订单日期]]</f>
        <v>45926</v>
      </c>
      <c r="B1718" s="42">
        <f>原始数据!G1718/(原始数据!G$2/100)</f>
        <v>750</v>
      </c>
      <c r="C1718" s="42">
        <f>原始数据!J1718/(原始数据!J$2/100)</f>
        <v>259.09452941496505</v>
      </c>
    </row>
    <row r="1719" spans="1:3" ht="18" customHeight="1" x14ac:dyDescent="0.3">
      <c r="A1719" s="41">
        <f>表1[[#This Row],[订单日期]]</f>
        <v>45926</v>
      </c>
      <c r="B1719" s="42">
        <f>原始数据!G1719/(原始数据!G$2/100)</f>
        <v>750</v>
      </c>
      <c r="C1719" s="42">
        <f>原始数据!J1719/(原始数据!J$2/100)</f>
        <v>54.868436282179282</v>
      </c>
    </row>
    <row r="1720" spans="1:3" ht="18" customHeight="1" x14ac:dyDescent="0.3">
      <c r="A1720" s="41">
        <f>表1[[#This Row],[订单日期]]</f>
        <v>45926</v>
      </c>
      <c r="B1720" s="42">
        <f>原始数据!G1720/(原始数据!G$2/100)</f>
        <v>750</v>
      </c>
      <c r="C1720" s="42">
        <f>原始数据!J1720/(原始数据!J$2/100)</f>
        <v>259.09452941496505</v>
      </c>
    </row>
    <row r="1721" spans="1:3" ht="18" customHeight="1" x14ac:dyDescent="0.3">
      <c r="A1721" s="41">
        <f>表1[[#This Row],[订单日期]]</f>
        <v>45926</v>
      </c>
      <c r="B1721" s="42">
        <f>原始数据!G1721/(原始数据!G$2/100)</f>
        <v>750</v>
      </c>
      <c r="C1721" s="42">
        <f>原始数据!J1721/(原始数据!J$2/100)</f>
        <v>212.44277401132817</v>
      </c>
    </row>
    <row r="1722" spans="1:3" ht="18" customHeight="1" x14ac:dyDescent="0.3">
      <c r="A1722" s="41">
        <f>表1[[#This Row],[订单日期]]</f>
        <v>45926</v>
      </c>
      <c r="B1722" s="42">
        <f>原始数据!G1722/(原始数据!G$2/100)</f>
        <v>750</v>
      </c>
      <c r="C1722" s="42">
        <f>原始数据!J1722/(原始数据!J$2/100)</f>
        <v>128.7798872423356</v>
      </c>
    </row>
    <row r="1723" spans="1:3" ht="18" customHeight="1" x14ac:dyDescent="0.3">
      <c r="A1723" s="41">
        <f>表1[[#This Row],[订单日期]]</f>
        <v>45926</v>
      </c>
      <c r="B1723" s="42">
        <f>原始数据!G1723/(原始数据!G$2/100)</f>
        <v>900</v>
      </c>
      <c r="C1723" s="42">
        <f>原始数据!J1723/(原始数据!J$2/100)</f>
        <v>250.92305791223271</v>
      </c>
    </row>
    <row r="1724" spans="1:3" ht="18" customHeight="1" x14ac:dyDescent="0.3">
      <c r="A1724" s="41">
        <f>表1[[#This Row],[订单日期]]</f>
        <v>45926</v>
      </c>
      <c r="B1724" s="42">
        <f>原始数据!G1724/(原始数据!G$2/100)</f>
        <v>900</v>
      </c>
      <c r="C1724" s="42">
        <f>原始数据!J1724/(原始数据!J$2/100)</f>
        <v>192.52525482977035</v>
      </c>
    </row>
    <row r="1725" spans="1:3" ht="18" customHeight="1" x14ac:dyDescent="0.3">
      <c r="A1725" s="41">
        <f>表1[[#This Row],[订单日期]]</f>
        <v>45926</v>
      </c>
      <c r="B1725" s="42">
        <f>原始数据!G1725/(原始数据!G$2/100)</f>
        <v>900</v>
      </c>
      <c r="C1725" s="42">
        <f>原始数据!J1725/(原始数据!J$2/100)</f>
        <v>60.991683181036365</v>
      </c>
    </row>
    <row r="1726" spans="1:3" ht="18" customHeight="1" x14ac:dyDescent="0.3">
      <c r="A1726" s="41">
        <f>表1[[#This Row],[订单日期]]</f>
        <v>45926</v>
      </c>
      <c r="B1726" s="42">
        <f>原始数据!G1726/(原始数据!G$2/100)</f>
        <v>900</v>
      </c>
      <c r="C1726" s="42">
        <f>原始数据!J1726/(原始数据!J$2/100)</f>
        <v>447.17070356506156</v>
      </c>
    </row>
    <row r="1727" spans="1:3" ht="18" customHeight="1" x14ac:dyDescent="0.3">
      <c r="A1727" s="41">
        <f>表1[[#This Row],[订单日期]]</f>
        <v>45926</v>
      </c>
      <c r="B1727" s="42">
        <f>原始数据!G1727/(原始数据!G$2/100)</f>
        <v>900</v>
      </c>
      <c r="C1727" s="42">
        <f>原始数据!J1727/(原始数据!J$2/100)</f>
        <v>549.22834424617702</v>
      </c>
    </row>
    <row r="1728" spans="1:3" ht="18" customHeight="1" x14ac:dyDescent="0.3">
      <c r="A1728" s="41">
        <f>表1[[#This Row],[订单日期]]</f>
        <v>45926</v>
      </c>
      <c r="B1728" s="42">
        <f>原始数据!G1728/(原始数据!G$2/100)</f>
        <v>900</v>
      </c>
      <c r="C1728" s="42">
        <f>原始数据!J1728/(原始数据!J$2/100)</f>
        <v>197.51178450474342</v>
      </c>
    </row>
    <row r="1729" spans="1:3" ht="18" customHeight="1" x14ac:dyDescent="0.3">
      <c r="A1729" s="41">
        <f>表1[[#This Row],[订单日期]]</f>
        <v>45926</v>
      </c>
      <c r="B1729" s="42">
        <f>原始数据!G1729/(原始数据!G$2/100)</f>
        <v>900</v>
      </c>
      <c r="C1729" s="42">
        <f>原始数据!J1729/(原始数据!J$2/100)</f>
        <v>218.45520913963028</v>
      </c>
    </row>
    <row r="1730" spans="1:3" ht="18" customHeight="1" x14ac:dyDescent="0.3">
      <c r="A1730" s="41">
        <f>表1[[#This Row],[订单日期]]</f>
        <v>45926</v>
      </c>
      <c r="B1730" s="42">
        <f>原始数据!G1730/(原始数据!G$2/100)</f>
        <v>900</v>
      </c>
      <c r="C1730" s="42">
        <f>原始数据!J1730/(原始数据!J$2/100)</f>
        <v>534.9336258445876</v>
      </c>
    </row>
    <row r="1731" spans="1:3" ht="18" customHeight="1" x14ac:dyDescent="0.3">
      <c r="A1731" s="41">
        <f>表1[[#This Row],[订单日期]]</f>
        <v>45926</v>
      </c>
      <c r="B1731" s="42">
        <f>原始数据!G1731/(原始数据!G$2/100)</f>
        <v>900</v>
      </c>
      <c r="C1731" s="42">
        <f>原始数据!J1731/(原始数据!J$2/100)</f>
        <v>143.43564047392439</v>
      </c>
    </row>
    <row r="1732" spans="1:3" ht="18" customHeight="1" x14ac:dyDescent="0.3">
      <c r="A1732" s="41">
        <f>表1[[#This Row],[订单日期]]</f>
        <v>45926</v>
      </c>
      <c r="B1732" s="42">
        <f>原始数据!G1732/(原始数据!G$2/100)</f>
        <v>1000</v>
      </c>
      <c r="C1732" s="42">
        <f>原始数据!J1732/(原始数据!J$2/100)</f>
        <v>530.95365237154886</v>
      </c>
    </row>
    <row r="1733" spans="1:3" ht="18" customHeight="1" x14ac:dyDescent="0.3">
      <c r="A1733" s="41">
        <f>表1[[#This Row],[订单日期]]</f>
        <v>45926</v>
      </c>
      <c r="B1733" s="42">
        <f>原始数据!G1733/(原始数据!G$2/100)</f>
        <v>1000</v>
      </c>
      <c r="C1733" s="42">
        <f>原始数据!J1733/(原始数据!J$2/100)</f>
        <v>79.174063818989097</v>
      </c>
    </row>
    <row r="1734" spans="1:3" ht="18" customHeight="1" x14ac:dyDescent="0.3">
      <c r="A1734" s="41">
        <f>表1[[#This Row],[订单日期]]</f>
        <v>45926</v>
      </c>
      <c r="B1734" s="42">
        <f>原始数据!G1734/(原始数据!G$2/100)</f>
        <v>1000</v>
      </c>
      <c r="C1734" s="42">
        <f>原始数据!J1734/(原始数据!J$2/100)</f>
        <v>122.94471318819711</v>
      </c>
    </row>
    <row r="1735" spans="1:3" ht="18" customHeight="1" x14ac:dyDescent="0.3">
      <c r="A1735" s="41">
        <f>表1[[#This Row],[订单日期]]</f>
        <v>45926</v>
      </c>
      <c r="B1735" s="42">
        <f>原始数据!G1735/(原始数据!G$2/100)</f>
        <v>1000</v>
      </c>
      <c r="C1735" s="42">
        <f>原始数据!J1735/(原始数据!J$2/100)</f>
        <v>500.92366255115553</v>
      </c>
    </row>
    <row r="1736" spans="1:3" ht="18" customHeight="1" x14ac:dyDescent="0.3">
      <c r="A1736" s="41">
        <f>表1[[#This Row],[订单日期]]</f>
        <v>45926</v>
      </c>
      <c r="B1736" s="42">
        <f>原始数据!G1736/(原始数据!G$2/100)</f>
        <v>1000</v>
      </c>
      <c r="C1736" s="42">
        <f>原始数据!J1736/(原始数据!J$2/100)</f>
        <v>511.33996898332146</v>
      </c>
    </row>
    <row r="1737" spans="1:3" ht="18" customHeight="1" x14ac:dyDescent="0.3">
      <c r="A1737" s="41">
        <f>表1[[#This Row],[订单日期]]</f>
        <v>45926</v>
      </c>
      <c r="B1737" s="42">
        <f>原始数据!G1737/(原始数据!G$2/100)</f>
        <v>1000</v>
      </c>
      <c r="C1737" s="42">
        <f>原始数据!J1737/(原始数据!J$2/100)</f>
        <v>222.67530668765843</v>
      </c>
    </row>
    <row r="1738" spans="1:3" ht="18" customHeight="1" x14ac:dyDescent="0.3">
      <c r="A1738" s="41">
        <f>表1[[#This Row],[订单日期]]</f>
        <v>45926</v>
      </c>
      <c r="B1738" s="42">
        <f>原始数据!G1738/(原始数据!G$2/100)</f>
        <v>1000</v>
      </c>
      <c r="C1738" s="42">
        <f>原始数据!J1738/(原始数据!J$2/100)</f>
        <v>159.84503278299781</v>
      </c>
    </row>
    <row r="1739" spans="1:3" ht="18" customHeight="1" x14ac:dyDescent="0.3">
      <c r="A1739" s="41">
        <f>表1[[#This Row],[订单日期]]</f>
        <v>45926</v>
      </c>
      <c r="B1739" s="42">
        <f>原始数据!G1739/(原始数据!G$2/100)</f>
        <v>1000</v>
      </c>
      <c r="C1739" s="42">
        <f>原始数据!J1739/(原始数据!J$2/100)</f>
        <v>414.71210505939894</v>
      </c>
    </row>
    <row r="1740" spans="1:3" ht="18" customHeight="1" x14ac:dyDescent="0.3">
      <c r="A1740" s="41">
        <f>表1[[#This Row],[订单日期]]</f>
        <v>45926</v>
      </c>
      <c r="B1740" s="42">
        <f>原始数据!G1740/(原始数据!G$2/100)</f>
        <v>1000</v>
      </c>
      <c r="C1740" s="42">
        <f>原始数据!J1740/(原始数据!J$2/100)</f>
        <v>535.16449965263723</v>
      </c>
    </row>
    <row r="1741" spans="1:3" ht="18" customHeight="1" x14ac:dyDescent="0.3">
      <c r="A1741" s="41">
        <f>表1[[#This Row],[订单日期]]</f>
        <v>45927</v>
      </c>
      <c r="B1741" s="42">
        <f>原始数据!G1741/(原始数据!G$2/100)</f>
        <v>200</v>
      </c>
      <c r="C1741" s="42">
        <f>原始数据!J1741/(原始数据!J$2/100)</f>
        <v>152.67361636195096</v>
      </c>
    </row>
    <row r="1742" spans="1:3" ht="18" customHeight="1" x14ac:dyDescent="0.3">
      <c r="A1742" s="41">
        <f>表1[[#This Row],[订单日期]]</f>
        <v>45927</v>
      </c>
      <c r="B1742" s="42">
        <f>原始数据!G1742/(原始数据!G$2/100)</f>
        <v>200</v>
      </c>
      <c r="C1742" s="42">
        <f>原始数据!J1742/(原始数据!J$2/100)</f>
        <v>336.84277902428954</v>
      </c>
    </row>
    <row r="1743" spans="1:3" ht="18" customHeight="1" x14ac:dyDescent="0.3">
      <c r="A1743" s="41">
        <f>表1[[#This Row],[订单日期]]</f>
        <v>45927</v>
      </c>
      <c r="B1743" s="42">
        <f>原始数据!G1743/(原始数据!G$2/100)</f>
        <v>200</v>
      </c>
      <c r="C1743" s="42">
        <f>原始数据!J1743/(原始数据!J$2/100)</f>
        <v>452.64107925421962</v>
      </c>
    </row>
    <row r="1744" spans="1:3" ht="18" customHeight="1" x14ac:dyDescent="0.3">
      <c r="A1744" s="41">
        <f>表1[[#This Row],[订单日期]]</f>
        <v>45927</v>
      </c>
      <c r="B1744" s="42">
        <f>原始数据!G1744/(原始数据!G$2/100)</f>
        <v>200</v>
      </c>
      <c r="C1744" s="42">
        <f>原始数据!J1744/(原始数据!J$2/100)</f>
        <v>195.66858333727427</v>
      </c>
    </row>
    <row r="1745" spans="1:3" ht="18" customHeight="1" x14ac:dyDescent="0.3">
      <c r="A1745" s="41">
        <f>表1[[#This Row],[订单日期]]</f>
        <v>45927</v>
      </c>
      <c r="B1745" s="42">
        <f>原始数据!G1745/(原始数据!G$2/100)</f>
        <v>200</v>
      </c>
      <c r="C1745" s="42">
        <f>原始数据!J1745/(原始数据!J$2/100)</f>
        <v>116.32735561992506</v>
      </c>
    </row>
    <row r="1746" spans="1:3" ht="18" customHeight="1" x14ac:dyDescent="0.3">
      <c r="A1746" s="41">
        <f>表1[[#This Row],[订单日期]]</f>
        <v>45927</v>
      </c>
      <c r="B1746" s="42">
        <f>原始数据!G1746/(原始数据!G$2/100)</f>
        <v>200</v>
      </c>
      <c r="C1746" s="42">
        <f>原始数据!J1746/(原始数据!J$2/100)</f>
        <v>233.34458532595966</v>
      </c>
    </row>
    <row r="1747" spans="1:3" ht="18" customHeight="1" x14ac:dyDescent="0.3">
      <c r="A1747" s="41">
        <f>表1[[#This Row],[订单日期]]</f>
        <v>45927</v>
      </c>
      <c r="B1747" s="42">
        <f>原始数据!G1747/(原始数据!G$2/100)</f>
        <v>200</v>
      </c>
      <c r="C1747" s="42">
        <f>原始数据!J1747/(原始数据!J$2/100)</f>
        <v>453.86000873032413</v>
      </c>
    </row>
    <row r="1748" spans="1:3" ht="18" customHeight="1" x14ac:dyDescent="0.3">
      <c r="A1748" s="41">
        <f>表1[[#This Row],[订单日期]]</f>
        <v>45927</v>
      </c>
      <c r="B1748" s="42">
        <f>原始数据!G1748/(原始数据!G$2/100)</f>
        <v>200</v>
      </c>
      <c r="C1748" s="42">
        <f>原始数据!J1748/(原始数据!J$2/100)</f>
        <v>440.56259626372929</v>
      </c>
    </row>
    <row r="1749" spans="1:3" ht="18" customHeight="1" x14ac:dyDescent="0.3">
      <c r="A1749" s="41">
        <f>表1[[#This Row],[订单日期]]</f>
        <v>45927</v>
      </c>
      <c r="B1749" s="42">
        <f>原始数据!G1749/(原始数据!G$2/100)</f>
        <v>400</v>
      </c>
      <c r="C1749" s="42">
        <f>原始数据!J1749/(原始数据!J$2/100)</f>
        <v>392.9826081459305</v>
      </c>
    </row>
    <row r="1750" spans="1:3" ht="18" customHeight="1" x14ac:dyDescent="0.3">
      <c r="A1750" s="41">
        <f>表1[[#This Row],[订单日期]]</f>
        <v>45927</v>
      </c>
      <c r="B1750" s="42">
        <f>原始数据!G1750/(原始数据!G$2/100)</f>
        <v>400</v>
      </c>
      <c r="C1750" s="42">
        <f>原始数据!J1750/(原始数据!J$2/100)</f>
        <v>459.58048224945964</v>
      </c>
    </row>
    <row r="1751" spans="1:3" ht="18" customHeight="1" x14ac:dyDescent="0.3">
      <c r="A1751" s="41">
        <f>表1[[#This Row],[订单日期]]</f>
        <v>45927</v>
      </c>
      <c r="B1751" s="42">
        <f>原始数据!G1751/(原始数据!G$2/100)</f>
        <v>400</v>
      </c>
      <c r="C1751" s="42">
        <f>原始数据!J1751/(原始数据!J$2/100)</f>
        <v>519.08640303747154</v>
      </c>
    </row>
    <row r="1752" spans="1:3" ht="18" customHeight="1" x14ac:dyDescent="0.3">
      <c r="A1752" s="41">
        <f>表1[[#This Row],[订单日期]]</f>
        <v>45927</v>
      </c>
      <c r="B1752" s="42">
        <f>原始数据!G1752/(原始数据!G$2/100)</f>
        <v>400</v>
      </c>
      <c r="C1752" s="42">
        <f>原始数据!J1752/(原始数据!J$2/100)</f>
        <v>467.89136504108143</v>
      </c>
    </row>
    <row r="1753" spans="1:3" ht="18" customHeight="1" x14ac:dyDescent="0.3">
      <c r="A1753" s="41">
        <f>表1[[#This Row],[订单日期]]</f>
        <v>45927</v>
      </c>
      <c r="B1753" s="42">
        <f>原始数据!G1753/(原始数据!G$2/100)</f>
        <v>400</v>
      </c>
      <c r="C1753" s="42">
        <f>原始数据!J1753/(原始数据!J$2/100)</f>
        <v>279.40054332709951</v>
      </c>
    </row>
    <row r="1754" spans="1:3" ht="18" customHeight="1" x14ac:dyDescent="0.3">
      <c r="A1754" s="41">
        <f>表1[[#This Row],[订单日期]]</f>
        <v>45927</v>
      </c>
      <c r="B1754" s="42">
        <f>原始数据!G1754/(原始数据!G$2/100)</f>
        <v>400</v>
      </c>
      <c r="C1754" s="42">
        <f>原始数据!J1754/(原始数据!J$2/100)</f>
        <v>12.454988060208079</v>
      </c>
    </row>
    <row r="1755" spans="1:3" ht="18" customHeight="1" x14ac:dyDescent="0.3">
      <c r="A1755" s="41">
        <f>表1[[#This Row],[订单日期]]</f>
        <v>45927</v>
      </c>
      <c r="B1755" s="42">
        <f>原始数据!G1755/(原始数据!G$2/100)</f>
        <v>400</v>
      </c>
      <c r="C1755" s="42">
        <f>原始数据!J1755/(原始数据!J$2/100)</f>
        <v>360.73638291443797</v>
      </c>
    </row>
    <row r="1756" spans="1:3" ht="18" customHeight="1" x14ac:dyDescent="0.3">
      <c r="A1756" s="41">
        <f>表1[[#This Row],[订单日期]]</f>
        <v>45927</v>
      </c>
      <c r="B1756" s="42">
        <f>原始数据!G1756/(原始数据!G$2/100)</f>
        <v>400</v>
      </c>
      <c r="C1756" s="42">
        <f>原始数据!J1756/(原始数据!J$2/100)</f>
        <v>138.2263476400843</v>
      </c>
    </row>
    <row r="1757" spans="1:3" ht="18" customHeight="1" x14ac:dyDescent="0.3">
      <c r="A1757" s="41">
        <f>表1[[#This Row],[订单日期]]</f>
        <v>45927</v>
      </c>
      <c r="B1757" s="42">
        <f>原始数据!G1757/(原始数据!G$2/100)</f>
        <v>400</v>
      </c>
      <c r="C1757" s="42">
        <f>原始数据!J1757/(原始数据!J$2/100)</f>
        <v>318.84953364466423</v>
      </c>
    </row>
    <row r="1758" spans="1:3" ht="18" customHeight="1" x14ac:dyDescent="0.3">
      <c r="A1758" s="41">
        <f>表1[[#This Row],[订单日期]]</f>
        <v>45927</v>
      </c>
      <c r="B1758" s="42">
        <f>原始数据!G1758/(原始数据!G$2/100)</f>
        <v>450</v>
      </c>
      <c r="C1758" s="42">
        <f>原始数据!J1758/(原始数据!J$2/100)</f>
        <v>202.8377387567526</v>
      </c>
    </row>
    <row r="1759" spans="1:3" ht="18" customHeight="1" x14ac:dyDescent="0.3">
      <c r="A1759" s="41">
        <f>表1[[#This Row],[订单日期]]</f>
        <v>45927</v>
      </c>
      <c r="B1759" s="42">
        <f>原始数据!G1759/(原始数据!G$2/100)</f>
        <v>450</v>
      </c>
      <c r="C1759" s="42">
        <f>原始数据!J1759/(原始数据!J$2/100)</f>
        <v>278.8546133574531</v>
      </c>
    </row>
    <row r="1760" spans="1:3" ht="18" customHeight="1" x14ac:dyDescent="0.3">
      <c r="A1760" s="41">
        <f>表1[[#This Row],[订单日期]]</f>
        <v>45927</v>
      </c>
      <c r="B1760" s="42">
        <f>原始数据!G1760/(原始数据!G$2/100)</f>
        <v>450</v>
      </c>
      <c r="C1760" s="42">
        <f>原始数据!J1760/(原始数据!J$2/100)</f>
        <v>104.32607473339581</v>
      </c>
    </row>
    <row r="1761" spans="1:3" ht="18" customHeight="1" x14ac:dyDescent="0.3">
      <c r="A1761" s="41">
        <f>表1[[#This Row],[订单日期]]</f>
        <v>45927</v>
      </c>
      <c r="B1761" s="42">
        <f>原始数据!G1761/(原始数据!G$2/100)</f>
        <v>450</v>
      </c>
      <c r="C1761" s="42">
        <f>原始数据!J1761/(原始数据!J$2/100)</f>
        <v>410.83143208840693</v>
      </c>
    </row>
    <row r="1762" spans="1:3" ht="18" customHeight="1" x14ac:dyDescent="0.3">
      <c r="A1762" s="41">
        <f>表1[[#This Row],[订单日期]]</f>
        <v>45927</v>
      </c>
      <c r="B1762" s="42">
        <f>原始数据!G1762/(原始数据!G$2/100)</f>
        <v>450</v>
      </c>
      <c r="C1762" s="42">
        <f>原始数据!J1762/(原始数据!J$2/100)</f>
        <v>357.42015868091767</v>
      </c>
    </row>
    <row r="1763" spans="1:3" ht="18" customHeight="1" x14ac:dyDescent="0.3">
      <c r="A1763" s="41">
        <f>表1[[#This Row],[订单日期]]</f>
        <v>45927</v>
      </c>
      <c r="B1763" s="42">
        <f>原始数据!G1763/(原始数据!G$2/100)</f>
        <v>450</v>
      </c>
      <c r="C1763" s="42">
        <f>原始数据!J1763/(原始数据!J$2/100)</f>
        <v>322.84688626777103</v>
      </c>
    </row>
    <row r="1764" spans="1:3" ht="18" customHeight="1" x14ac:dyDescent="0.3">
      <c r="A1764" s="41">
        <f>表1[[#This Row],[订单日期]]</f>
        <v>45927</v>
      </c>
      <c r="B1764" s="42">
        <f>原始数据!G1764/(原始数据!G$2/100)</f>
        <v>450</v>
      </c>
      <c r="C1764" s="42">
        <f>原始数据!J1764/(原始数据!J$2/100)</f>
        <v>432.10729203495868</v>
      </c>
    </row>
    <row r="1765" spans="1:3" ht="18" customHeight="1" x14ac:dyDescent="0.3">
      <c r="A1765" s="41">
        <f>表1[[#This Row],[订单日期]]</f>
        <v>45927</v>
      </c>
      <c r="B1765" s="42">
        <f>原始数据!G1765/(原始数据!G$2/100)</f>
        <v>450</v>
      </c>
      <c r="C1765" s="42">
        <f>原始数据!J1765/(原始数据!J$2/100)</f>
        <v>15.565846518875237</v>
      </c>
    </row>
    <row r="1766" spans="1:3" ht="18" customHeight="1" x14ac:dyDescent="0.3">
      <c r="A1766" s="41">
        <f>表1[[#This Row],[订单日期]]</f>
        <v>45927</v>
      </c>
      <c r="B1766" s="42">
        <f>原始数据!G1766/(原始数据!G$2/100)</f>
        <v>450</v>
      </c>
      <c r="C1766" s="42">
        <f>原始数据!J1766/(原始数据!J$2/100)</f>
        <v>347.2254757898616</v>
      </c>
    </row>
    <row r="1767" spans="1:3" ht="18" customHeight="1" x14ac:dyDescent="0.3">
      <c r="A1767" s="41">
        <f>表1[[#This Row],[订单日期]]</f>
        <v>45927</v>
      </c>
      <c r="B1767" s="42">
        <f>原始数据!G1767/(原始数据!G$2/100)</f>
        <v>500</v>
      </c>
      <c r="C1767" s="42">
        <f>原始数据!J1767/(原始数据!J$2/100)</f>
        <v>318.04439983050139</v>
      </c>
    </row>
    <row r="1768" spans="1:3" ht="18" customHeight="1" x14ac:dyDescent="0.3">
      <c r="A1768" s="41">
        <f>表1[[#This Row],[订单日期]]</f>
        <v>45927</v>
      </c>
      <c r="B1768" s="42">
        <f>原始数据!G1768/(原始数据!G$2/100)</f>
        <v>500</v>
      </c>
      <c r="C1768" s="42">
        <f>原始数据!J1768/(原始数据!J$2/100)</f>
        <v>495.56485625954258</v>
      </c>
    </row>
    <row r="1769" spans="1:3" ht="18" customHeight="1" x14ac:dyDescent="0.3">
      <c r="A1769" s="41">
        <f>表1[[#This Row],[订单日期]]</f>
        <v>45927</v>
      </c>
      <c r="B1769" s="42">
        <f>原始数据!G1769/(原始数据!G$2/100)</f>
        <v>500</v>
      </c>
      <c r="C1769" s="42">
        <f>原始数据!J1769/(原始数据!J$2/100)</f>
        <v>235.04638368483862</v>
      </c>
    </row>
    <row r="1770" spans="1:3" ht="18" customHeight="1" x14ac:dyDescent="0.3">
      <c r="A1770" s="41">
        <f>表1[[#This Row],[订单日期]]</f>
        <v>45927</v>
      </c>
      <c r="B1770" s="42">
        <f>原始数据!G1770/(原始数据!G$2/100)</f>
        <v>500</v>
      </c>
      <c r="C1770" s="42">
        <f>原始数据!J1770/(原始数据!J$2/100)</f>
        <v>405.58569856891745</v>
      </c>
    </row>
    <row r="1771" spans="1:3" ht="18" customHeight="1" x14ac:dyDescent="0.3">
      <c r="A1771" s="41">
        <f>表1[[#This Row],[订单日期]]</f>
        <v>45927</v>
      </c>
      <c r="B1771" s="42">
        <f>原始数据!G1771/(原始数据!G$2/100)</f>
        <v>500</v>
      </c>
      <c r="C1771" s="42">
        <f>原始数据!J1771/(原始数据!J$2/100)</f>
        <v>246.23837251088926</v>
      </c>
    </row>
    <row r="1772" spans="1:3" ht="18" customHeight="1" x14ac:dyDescent="0.3">
      <c r="A1772" s="41">
        <f>表1[[#This Row],[订单日期]]</f>
        <v>45927</v>
      </c>
      <c r="B1772" s="42">
        <f>原始数据!G1772/(原始数据!G$2/100)</f>
        <v>500</v>
      </c>
      <c r="C1772" s="42">
        <f>原始数据!J1772/(原始数据!J$2/100)</f>
        <v>539.22469385819568</v>
      </c>
    </row>
    <row r="1773" spans="1:3" ht="18" customHeight="1" x14ac:dyDescent="0.3">
      <c r="A1773" s="41">
        <f>表1[[#This Row],[订单日期]]</f>
        <v>45927</v>
      </c>
      <c r="B1773" s="42">
        <f>原始数据!G1773/(原始数据!G$2/100)</f>
        <v>500</v>
      </c>
      <c r="C1773" s="42">
        <f>原始数据!J1773/(原始数据!J$2/100)</f>
        <v>451.5725833492246</v>
      </c>
    </row>
    <row r="1774" spans="1:3" ht="18" customHeight="1" x14ac:dyDescent="0.3">
      <c r="A1774" s="41">
        <f>表1[[#This Row],[订单日期]]</f>
        <v>45927</v>
      </c>
      <c r="B1774" s="42">
        <f>原始数据!G1774/(原始数据!G$2/100)</f>
        <v>500</v>
      </c>
      <c r="C1774" s="42">
        <f>原始数据!J1774/(原始数据!J$2/100)</f>
        <v>229.94904223931059</v>
      </c>
    </row>
    <row r="1775" spans="1:3" ht="18" customHeight="1" x14ac:dyDescent="0.3">
      <c r="A1775" s="41">
        <f>表1[[#This Row],[订单日期]]</f>
        <v>45927</v>
      </c>
      <c r="B1775" s="42">
        <f>原始数据!G1775/(原始数据!G$2/100)</f>
        <v>500</v>
      </c>
      <c r="C1775" s="42">
        <f>原始数据!J1775/(原始数据!J$2/100)</f>
        <v>99.634400066681124</v>
      </c>
    </row>
    <row r="1776" spans="1:3" ht="18" customHeight="1" x14ac:dyDescent="0.3">
      <c r="A1776" s="41">
        <f>表1[[#This Row],[订单日期]]</f>
        <v>45927</v>
      </c>
      <c r="B1776" s="42">
        <f>原始数据!G1776/(原始数据!G$2/100)</f>
        <v>600</v>
      </c>
      <c r="C1776" s="42">
        <f>原始数据!J1776/(原始数据!J$2/100)</f>
        <v>374.83521726390927</v>
      </c>
    </row>
    <row r="1777" spans="1:3" ht="18" customHeight="1" x14ac:dyDescent="0.3">
      <c r="A1777" s="41">
        <f>表1[[#This Row],[订单日期]]</f>
        <v>45927</v>
      </c>
      <c r="B1777" s="42">
        <f>原始数据!G1777/(原始数据!G$2/100)</f>
        <v>600</v>
      </c>
      <c r="C1777" s="42">
        <f>原始数据!J1777/(原始数据!J$2/100)</f>
        <v>334.278109240795</v>
      </c>
    </row>
    <row r="1778" spans="1:3" ht="18" customHeight="1" x14ac:dyDescent="0.3">
      <c r="A1778" s="41">
        <f>表1[[#This Row],[订单日期]]</f>
        <v>45927</v>
      </c>
      <c r="B1778" s="42">
        <f>原始数据!G1778/(原始数据!G$2/100)</f>
        <v>600</v>
      </c>
      <c r="C1778" s="42">
        <f>原始数据!J1778/(原始数据!J$2/100)</f>
        <v>205.51483185593497</v>
      </c>
    </row>
    <row r="1779" spans="1:3" ht="18" customHeight="1" x14ac:dyDescent="0.3">
      <c r="A1779" s="41">
        <f>表1[[#This Row],[订单日期]]</f>
        <v>45927</v>
      </c>
      <c r="B1779" s="42">
        <f>原始数据!G1779/(原始数据!G$2/100)</f>
        <v>600</v>
      </c>
      <c r="C1779" s="42">
        <f>原始数据!J1779/(原始数据!J$2/100)</f>
        <v>134.81692224187239</v>
      </c>
    </row>
    <row r="1780" spans="1:3" ht="18" customHeight="1" x14ac:dyDescent="0.3">
      <c r="A1780" s="41">
        <f>表1[[#This Row],[订单日期]]</f>
        <v>45927</v>
      </c>
      <c r="B1780" s="42">
        <f>原始数据!G1780/(原始数据!G$2/100)</f>
        <v>600</v>
      </c>
      <c r="C1780" s="42">
        <f>原始数据!J1780/(原始数据!J$2/100)</f>
        <v>517.22834242702902</v>
      </c>
    </row>
    <row r="1781" spans="1:3" ht="18" customHeight="1" x14ac:dyDescent="0.3">
      <c r="A1781" s="41">
        <f>表1[[#This Row],[订单日期]]</f>
        <v>45927</v>
      </c>
      <c r="B1781" s="42">
        <f>原始数据!G1781/(原始数据!G$2/100)</f>
        <v>600</v>
      </c>
      <c r="C1781" s="42">
        <f>原始数据!J1781/(原始数据!J$2/100)</f>
        <v>74.756942601085669</v>
      </c>
    </row>
    <row r="1782" spans="1:3" ht="18" customHeight="1" x14ac:dyDescent="0.3">
      <c r="A1782" s="41">
        <f>表1[[#This Row],[订单日期]]</f>
        <v>45927</v>
      </c>
      <c r="B1782" s="42">
        <f>原始数据!G1782/(原始数据!G$2/100)</f>
        <v>600</v>
      </c>
      <c r="C1782" s="42">
        <f>原始数据!J1782/(原始数据!J$2/100)</f>
        <v>534.29335509249245</v>
      </c>
    </row>
    <row r="1783" spans="1:3" ht="18" customHeight="1" x14ac:dyDescent="0.3">
      <c r="A1783" s="41">
        <f>表1[[#This Row],[订单日期]]</f>
        <v>45927</v>
      </c>
      <c r="B1783" s="42">
        <f>原始数据!G1783/(原始数据!G$2/100)</f>
        <v>600</v>
      </c>
      <c r="C1783" s="42">
        <f>原始数据!J1783/(原始数据!J$2/100)</f>
        <v>362.53511073230908</v>
      </c>
    </row>
    <row r="1784" spans="1:3" ht="18" customHeight="1" x14ac:dyDescent="0.3">
      <c r="A1784" s="41">
        <f>表1[[#This Row],[订单日期]]</f>
        <v>45927</v>
      </c>
      <c r="B1784" s="42">
        <f>原始数据!G1784/(原始数据!G$2/100)</f>
        <v>650</v>
      </c>
      <c r="C1784" s="42">
        <f>原始数据!J1784/(原始数据!J$2/100)</f>
        <v>171.38195478709054</v>
      </c>
    </row>
    <row r="1785" spans="1:3" ht="18" customHeight="1" x14ac:dyDescent="0.3">
      <c r="A1785" s="41">
        <f>表1[[#This Row],[订单日期]]</f>
        <v>45927</v>
      </c>
      <c r="B1785" s="42">
        <f>原始数据!G1785/(原始数据!G$2/100)</f>
        <v>650</v>
      </c>
      <c r="C1785" s="42">
        <f>原始数据!J1785/(原始数据!J$2/100)</f>
        <v>422.37061509406817</v>
      </c>
    </row>
    <row r="1786" spans="1:3" ht="18" customHeight="1" x14ac:dyDescent="0.3">
      <c r="A1786" s="41">
        <f>表1[[#This Row],[订单日期]]</f>
        <v>45927</v>
      </c>
      <c r="B1786" s="42">
        <f>原始数据!G1786/(原始数据!G$2/100)</f>
        <v>650</v>
      </c>
      <c r="C1786" s="42">
        <f>原始数据!J1786/(原始数据!J$2/100)</f>
        <v>146.33849464167025</v>
      </c>
    </row>
    <row r="1787" spans="1:3" ht="18" customHeight="1" x14ac:dyDescent="0.3">
      <c r="A1787" s="41">
        <f>表1[[#This Row],[订单日期]]</f>
        <v>45927</v>
      </c>
      <c r="B1787" s="42">
        <f>原始数据!G1787/(原始数据!G$2/100)</f>
        <v>650</v>
      </c>
      <c r="C1787" s="42">
        <f>原始数据!J1787/(原始数据!J$2/100)</f>
        <v>207.50659198800653</v>
      </c>
    </row>
    <row r="1788" spans="1:3" ht="18" customHeight="1" x14ac:dyDescent="0.3">
      <c r="A1788" s="41">
        <f>表1[[#This Row],[订单日期]]</f>
        <v>45927</v>
      </c>
      <c r="B1788" s="42">
        <f>原始数据!G1788/(原始数据!G$2/100)</f>
        <v>650</v>
      </c>
      <c r="C1788" s="42">
        <f>原始数据!J1788/(原始数据!J$2/100)</f>
        <v>89.159621035312426</v>
      </c>
    </row>
    <row r="1789" spans="1:3" ht="18" customHeight="1" x14ac:dyDescent="0.3">
      <c r="A1789" s="41">
        <f>表1[[#This Row],[订单日期]]</f>
        <v>45927</v>
      </c>
      <c r="B1789" s="42">
        <f>原始数据!G1789/(原始数据!G$2/100)</f>
        <v>650</v>
      </c>
      <c r="C1789" s="42">
        <f>原始数据!J1789/(原始数据!J$2/100)</f>
        <v>115.42201065683724</v>
      </c>
    </row>
    <row r="1790" spans="1:3" ht="18" customHeight="1" x14ac:dyDescent="0.3">
      <c r="A1790" s="41">
        <f>表1[[#This Row],[订单日期]]</f>
        <v>45927</v>
      </c>
      <c r="B1790" s="42">
        <f>原始数据!G1790/(原始数据!G$2/100)</f>
        <v>650</v>
      </c>
      <c r="C1790" s="42">
        <f>原始数据!J1790/(原始数据!J$2/100)</f>
        <v>23.559052866777868</v>
      </c>
    </row>
    <row r="1791" spans="1:3" ht="18" customHeight="1" x14ac:dyDescent="0.3">
      <c r="A1791" s="41">
        <f>表1[[#This Row],[订单日期]]</f>
        <v>45927</v>
      </c>
      <c r="B1791" s="42">
        <f>原始数据!G1791/(原始数据!G$2/100)</f>
        <v>650</v>
      </c>
      <c r="C1791" s="42">
        <f>原始数据!J1791/(原始数据!J$2/100)</f>
        <v>361.75657660050672</v>
      </c>
    </row>
    <row r="1792" spans="1:3" ht="18" customHeight="1" x14ac:dyDescent="0.3">
      <c r="A1792" s="41">
        <f>表1[[#This Row],[订单日期]]</f>
        <v>45927</v>
      </c>
      <c r="B1792" s="42">
        <f>原始数据!G1792/(原始数据!G$2/100)</f>
        <v>650</v>
      </c>
      <c r="C1792" s="42">
        <f>原始数据!J1792/(原始数据!J$2/100)</f>
        <v>62.675607872677695</v>
      </c>
    </row>
    <row r="1793" spans="1:3" ht="18" customHeight="1" x14ac:dyDescent="0.3">
      <c r="A1793" s="41">
        <f>表1[[#This Row],[订单日期]]</f>
        <v>45927</v>
      </c>
      <c r="B1793" s="42">
        <f>原始数据!G1793/(原始数据!G$2/100)</f>
        <v>650</v>
      </c>
      <c r="C1793" s="42">
        <f>原始数据!J1793/(原始数据!J$2/100)</f>
        <v>341.58883435950452</v>
      </c>
    </row>
    <row r="1794" spans="1:3" ht="18" customHeight="1" x14ac:dyDescent="0.3">
      <c r="A1794" s="41">
        <f>表1[[#This Row],[订单日期]]</f>
        <v>45927</v>
      </c>
      <c r="B1794" s="42">
        <f>原始数据!G1794/(原始数据!G$2/100)</f>
        <v>650</v>
      </c>
      <c r="C1794" s="42">
        <f>原始数据!J1794/(原始数据!J$2/100)</f>
        <v>184.23612017146556</v>
      </c>
    </row>
    <row r="1795" spans="1:3" ht="18" customHeight="1" x14ac:dyDescent="0.3">
      <c r="A1795" s="41">
        <f>表1[[#This Row],[订单日期]]</f>
        <v>45927</v>
      </c>
      <c r="B1795" s="42">
        <f>原始数据!G1795/(原始数据!G$2/100)</f>
        <v>650</v>
      </c>
      <c r="C1795" s="42">
        <f>原始数据!J1795/(原始数据!J$2/100)</f>
        <v>260.91786539549582</v>
      </c>
    </row>
    <row r="1796" spans="1:3" ht="18" customHeight="1" x14ac:dyDescent="0.3">
      <c r="A1796" s="41">
        <f>表1[[#This Row],[订单日期]]</f>
        <v>45927</v>
      </c>
      <c r="B1796" s="42">
        <f>原始数据!G1796/(原始数据!G$2/100)</f>
        <v>650</v>
      </c>
      <c r="C1796" s="42">
        <f>原始数据!J1796/(原始数据!J$2/100)</f>
        <v>194.87405014474143</v>
      </c>
    </row>
    <row r="1797" spans="1:3" ht="18" customHeight="1" x14ac:dyDescent="0.3">
      <c r="A1797" s="41">
        <f>表1[[#This Row],[订单日期]]</f>
        <v>45927</v>
      </c>
      <c r="B1797" s="42">
        <f>原始数据!G1797/(原始数据!G$2/100)</f>
        <v>650</v>
      </c>
      <c r="C1797" s="42">
        <f>原始数据!J1797/(原始数据!J$2/100)</f>
        <v>417.71652073076001</v>
      </c>
    </row>
    <row r="1798" spans="1:3" ht="18" customHeight="1" x14ac:dyDescent="0.3">
      <c r="A1798" s="41">
        <f>表1[[#This Row],[订单日期]]</f>
        <v>45927</v>
      </c>
      <c r="B1798" s="42">
        <f>原始数据!G1798/(原始数据!G$2/100)</f>
        <v>650</v>
      </c>
      <c r="C1798" s="42">
        <f>原始数据!J1798/(原始数据!J$2/100)</f>
        <v>459.49255822997878</v>
      </c>
    </row>
    <row r="1799" spans="1:3" ht="18" customHeight="1" x14ac:dyDescent="0.3">
      <c r="A1799" s="41">
        <f>表1[[#This Row],[订单日期]]</f>
        <v>45927</v>
      </c>
      <c r="B1799" s="42">
        <f>原始数据!G1799/(原始数据!G$2/100)</f>
        <v>650</v>
      </c>
      <c r="C1799" s="42">
        <f>原始数据!J1799/(原始数据!J$2/100)</f>
        <v>280.19911347205834</v>
      </c>
    </row>
    <row r="1800" spans="1:3" ht="18" customHeight="1" x14ac:dyDescent="0.3">
      <c r="A1800" s="41">
        <f>表1[[#This Row],[订单日期]]</f>
        <v>45927</v>
      </c>
      <c r="B1800" s="42">
        <f>原始数据!G1800/(原始数据!G$2/100)</f>
        <v>650</v>
      </c>
      <c r="C1800" s="42">
        <f>原始数据!J1800/(原始数据!J$2/100)</f>
        <v>104.56245714245145</v>
      </c>
    </row>
    <row r="1801" spans="1:3" ht="18" customHeight="1" x14ac:dyDescent="0.3">
      <c r="A1801" s="41">
        <f>表1[[#This Row],[订单日期]]</f>
        <v>45927</v>
      </c>
      <c r="B1801" s="42">
        <f>原始数据!G1801/(原始数据!G$2/100)</f>
        <v>650</v>
      </c>
      <c r="C1801" s="42">
        <f>原始数据!J1801/(原始数据!J$2/100)</f>
        <v>432.23286267345935</v>
      </c>
    </row>
    <row r="1802" spans="1:3" ht="18" customHeight="1" x14ac:dyDescent="0.3">
      <c r="A1802" s="41">
        <f>表1[[#This Row],[订单日期]]</f>
        <v>45927</v>
      </c>
      <c r="B1802" s="42">
        <f>原始数据!G1802/(原始数据!G$2/100)</f>
        <v>700</v>
      </c>
      <c r="C1802" s="42">
        <f>原始数据!J1802/(原始数据!J$2/100)</f>
        <v>439.46941221672921</v>
      </c>
    </row>
    <row r="1803" spans="1:3" ht="18" customHeight="1" x14ac:dyDescent="0.3">
      <c r="A1803" s="41">
        <f>表1[[#This Row],[订单日期]]</f>
        <v>45927</v>
      </c>
      <c r="B1803" s="42">
        <f>原始数据!G1803/(原始数据!G$2/100)</f>
        <v>700</v>
      </c>
      <c r="C1803" s="42">
        <f>原始数据!J1803/(原始数据!J$2/100)</f>
        <v>458.63984852273677</v>
      </c>
    </row>
    <row r="1804" spans="1:3" ht="18" customHeight="1" x14ac:dyDescent="0.3">
      <c r="A1804" s="41">
        <f>表1[[#This Row],[订单日期]]</f>
        <v>45927</v>
      </c>
      <c r="B1804" s="42">
        <f>原始数据!G1804/(原始数据!G$2/100)</f>
        <v>700</v>
      </c>
      <c r="C1804" s="42">
        <f>原始数据!J1804/(原始数据!J$2/100)</f>
        <v>190.6969873208507</v>
      </c>
    </row>
    <row r="1805" spans="1:3" ht="18" customHeight="1" x14ac:dyDescent="0.3">
      <c r="A1805" s="41">
        <f>表1[[#This Row],[订单日期]]</f>
        <v>45927</v>
      </c>
      <c r="B1805" s="42">
        <f>原始数据!G1805/(原始数据!G$2/100)</f>
        <v>700</v>
      </c>
      <c r="C1805" s="42">
        <f>原始数据!J1805/(原始数据!J$2/100)</f>
        <v>143.49117306443901</v>
      </c>
    </row>
    <row r="1806" spans="1:3" ht="18" customHeight="1" x14ac:dyDescent="0.3">
      <c r="A1806" s="41">
        <f>表1[[#This Row],[订单日期]]</f>
        <v>45927</v>
      </c>
      <c r="B1806" s="42">
        <f>原始数据!G1806/(原始数据!G$2/100)</f>
        <v>700</v>
      </c>
      <c r="C1806" s="42">
        <f>原始数据!J1806/(原始数据!J$2/100)</f>
        <v>132.9640548617181</v>
      </c>
    </row>
    <row r="1807" spans="1:3" ht="18" customHeight="1" x14ac:dyDescent="0.3">
      <c r="A1807" s="41">
        <f>表1[[#This Row],[订单日期]]</f>
        <v>45927</v>
      </c>
      <c r="B1807" s="42">
        <f>原始数据!G1807/(原始数据!G$2/100)</f>
        <v>700</v>
      </c>
      <c r="C1807" s="42">
        <f>原始数据!J1807/(原始数据!J$2/100)</f>
        <v>43.871391335532643</v>
      </c>
    </row>
    <row r="1808" spans="1:3" ht="18" customHeight="1" x14ac:dyDescent="0.3">
      <c r="A1808" s="41">
        <f>表1[[#This Row],[订单日期]]</f>
        <v>45927</v>
      </c>
      <c r="B1808" s="42">
        <f>原始数据!G1808/(原始数据!G$2/100)</f>
        <v>700</v>
      </c>
      <c r="C1808" s="42">
        <f>原始数据!J1808/(原始数据!J$2/100)</f>
        <v>457.42091904663226</v>
      </c>
    </row>
    <row r="1809" spans="1:3" ht="18" customHeight="1" x14ac:dyDescent="0.3">
      <c r="A1809" s="41">
        <f>表1[[#This Row],[订单日期]]</f>
        <v>45927</v>
      </c>
      <c r="B1809" s="42">
        <f>原始数据!G1809/(原始数据!G$2/100)</f>
        <v>700</v>
      </c>
      <c r="C1809" s="42">
        <f>原始数据!J1809/(原始数据!J$2/100)</f>
        <v>60.936404000996021</v>
      </c>
    </row>
    <row r="1810" spans="1:3" ht="18" customHeight="1" x14ac:dyDescent="0.3">
      <c r="A1810" s="41">
        <f>表1[[#This Row],[订单日期]]</f>
        <v>45927</v>
      </c>
      <c r="B1810" s="42">
        <f>原始数据!G1810/(原始数据!G$2/100)</f>
        <v>750</v>
      </c>
      <c r="C1810" s="42">
        <f>原始数据!J1810/(原始数据!J$2/100)</f>
        <v>259.53667471791687</v>
      </c>
    </row>
    <row r="1811" spans="1:3" ht="18" customHeight="1" x14ac:dyDescent="0.3">
      <c r="A1811" s="41">
        <f>表1[[#This Row],[订单日期]]</f>
        <v>45927</v>
      </c>
      <c r="B1811" s="42">
        <f>原始数据!G1811/(原始数据!G$2/100)</f>
        <v>750</v>
      </c>
      <c r="C1811" s="42">
        <f>原始数据!J1811/(原始数据!J$2/100)</f>
        <v>525.37411227925884</v>
      </c>
    </row>
    <row r="1812" spans="1:3" ht="18" customHeight="1" x14ac:dyDescent="0.3">
      <c r="A1812" s="41">
        <f>表1[[#This Row],[订单日期]]</f>
        <v>45927</v>
      </c>
      <c r="B1812" s="42">
        <f>原始数据!G1812/(原始数据!G$2/100)</f>
        <v>750</v>
      </c>
      <c r="C1812" s="42">
        <f>原始数据!J1812/(原始数据!J$2/100)</f>
        <v>526.59304175536329</v>
      </c>
    </row>
    <row r="1813" spans="1:3" ht="18" customHeight="1" x14ac:dyDescent="0.3">
      <c r="A1813" s="41">
        <f>表1[[#This Row],[订单日期]]</f>
        <v>45927</v>
      </c>
      <c r="B1813" s="42">
        <f>原始数据!G1813/(原始数据!G$2/100)</f>
        <v>750</v>
      </c>
      <c r="C1813" s="42">
        <f>原始数据!J1813/(原始数据!J$2/100)</f>
        <v>173.54674076727022</v>
      </c>
    </row>
    <row r="1814" spans="1:3" ht="18" customHeight="1" x14ac:dyDescent="0.3">
      <c r="A1814" s="41">
        <f>表1[[#This Row],[订单日期]]</f>
        <v>45927</v>
      </c>
      <c r="B1814" s="42">
        <f>原始数据!G1814/(原始数据!G$2/100)</f>
        <v>750</v>
      </c>
      <c r="C1814" s="42">
        <f>原始数据!J1814/(原始数据!J$2/100)</f>
        <v>506.20367597325128</v>
      </c>
    </row>
    <row r="1815" spans="1:3" ht="18" customHeight="1" x14ac:dyDescent="0.3">
      <c r="A1815" s="41">
        <f>表1[[#This Row],[订单日期]]</f>
        <v>45927</v>
      </c>
      <c r="B1815" s="42">
        <f>原始数据!G1815/(原始数据!G$2/100)</f>
        <v>750</v>
      </c>
      <c r="C1815" s="42">
        <f>原始数据!J1815/(原始数据!J$2/100)</f>
        <v>319.37503081759365</v>
      </c>
    </row>
    <row r="1816" spans="1:3" ht="18" customHeight="1" x14ac:dyDescent="0.3">
      <c r="A1816" s="41">
        <f>表1[[#This Row],[订单日期]]</f>
        <v>45927</v>
      </c>
      <c r="B1816" s="42">
        <f>原始数据!G1816/(原始数据!G$2/100)</f>
        <v>750</v>
      </c>
      <c r="C1816" s="42">
        <f>原始数据!J1816/(原始数据!J$2/100)</f>
        <v>275.71519321894061</v>
      </c>
    </row>
    <row r="1817" spans="1:3" ht="18" customHeight="1" x14ac:dyDescent="0.3">
      <c r="A1817" s="41">
        <f>表1[[#This Row],[订单日期]]</f>
        <v>45927</v>
      </c>
      <c r="B1817" s="42">
        <f>原始数据!G1817/(原始数据!G$2/100)</f>
        <v>750</v>
      </c>
      <c r="C1817" s="42">
        <f>原始数据!J1817/(原始数据!J$2/100)</f>
        <v>17.412956055335783</v>
      </c>
    </row>
    <row r="1818" spans="1:3" ht="18" customHeight="1" x14ac:dyDescent="0.3">
      <c r="A1818" s="41">
        <f>表1[[#This Row],[订单日期]]</f>
        <v>45927</v>
      </c>
      <c r="B1818" s="42">
        <f>原始数据!G1818/(原始数据!G$2/100)</f>
        <v>750</v>
      </c>
      <c r="C1818" s="42">
        <f>原始数据!J1818/(原始数据!J$2/100)</f>
        <v>415.22721234763151</v>
      </c>
    </row>
    <row r="1819" spans="1:3" ht="18" customHeight="1" x14ac:dyDescent="0.3">
      <c r="A1819" s="41">
        <f>表1[[#This Row],[订单日期]]</f>
        <v>45927</v>
      </c>
      <c r="B1819" s="42">
        <f>原始数据!G1819/(原始数据!G$2/100)</f>
        <v>900</v>
      </c>
      <c r="C1819" s="42">
        <f>原始数据!J1819/(原始数据!J$2/100)</f>
        <v>52.9119713495271</v>
      </c>
    </row>
    <row r="1820" spans="1:3" ht="18" customHeight="1" x14ac:dyDescent="0.3">
      <c r="A1820" s="41">
        <f>表1[[#This Row],[订单日期]]</f>
        <v>45927</v>
      </c>
      <c r="B1820" s="42">
        <f>原始数据!G1820/(原始数据!G$2/100)</f>
        <v>900</v>
      </c>
      <c r="C1820" s="42">
        <f>原始数据!J1820/(原始数据!J$2/100)</f>
        <v>149.42902350289467</v>
      </c>
    </row>
    <row r="1821" spans="1:3" ht="18" customHeight="1" x14ac:dyDescent="0.3">
      <c r="A1821" s="41">
        <f>表1[[#This Row],[订单日期]]</f>
        <v>45927</v>
      </c>
      <c r="B1821" s="42">
        <f>原始数据!G1821/(原始数据!G$2/100)</f>
        <v>900</v>
      </c>
      <c r="C1821" s="42">
        <f>原始数据!J1821/(原始数据!J$2/100)</f>
        <v>484.85625297274959</v>
      </c>
    </row>
    <row r="1822" spans="1:3" ht="18" customHeight="1" x14ac:dyDescent="0.3">
      <c r="A1822" s="41">
        <f>表1[[#This Row],[订单日期]]</f>
        <v>45927</v>
      </c>
      <c r="B1822" s="42">
        <f>原始数据!G1822/(原始数据!G$2/100)</f>
        <v>900</v>
      </c>
      <c r="C1822" s="42">
        <f>原始数据!J1822/(原始数据!J$2/100)</f>
        <v>32.96585264963484</v>
      </c>
    </row>
    <row r="1823" spans="1:3" ht="18" customHeight="1" x14ac:dyDescent="0.3">
      <c r="A1823" s="41">
        <f>表1[[#This Row],[订单日期]]</f>
        <v>45927</v>
      </c>
      <c r="B1823" s="42">
        <f>原始数据!G1823/(原始数据!G$2/100)</f>
        <v>900</v>
      </c>
      <c r="C1823" s="42">
        <f>原始数据!J1823/(原始数据!J$2/100)</f>
        <v>529.95664358861711</v>
      </c>
    </row>
    <row r="1824" spans="1:3" ht="18" customHeight="1" x14ac:dyDescent="0.3">
      <c r="A1824" s="41">
        <f>表1[[#This Row],[订单日期]]</f>
        <v>45927</v>
      </c>
      <c r="B1824" s="42">
        <f>原始数据!G1824/(原始数据!G$2/100)</f>
        <v>900</v>
      </c>
      <c r="C1824" s="42">
        <f>原始数据!J1824/(原始数据!J$2/100)</f>
        <v>114.5233157780832</v>
      </c>
    </row>
    <row r="1825" spans="1:3" ht="18" customHeight="1" x14ac:dyDescent="0.3">
      <c r="A1825" s="41">
        <f>表1[[#This Row],[订单日期]]</f>
        <v>45927</v>
      </c>
      <c r="B1825" s="42">
        <f>原始数据!G1825/(原始数据!G$2/100)</f>
        <v>900</v>
      </c>
      <c r="C1825" s="42">
        <f>原始数据!J1825/(原始数据!J$2/100)</f>
        <v>172.69949531943564</v>
      </c>
    </row>
    <row r="1826" spans="1:3" ht="18" customHeight="1" x14ac:dyDescent="0.3">
      <c r="A1826" s="41">
        <f>表1[[#This Row],[订单日期]]</f>
        <v>45927</v>
      </c>
      <c r="B1826" s="42">
        <f>原始数据!G1826/(原始数据!G$2/100)</f>
        <v>900</v>
      </c>
      <c r="C1826" s="42">
        <f>原始数据!J1826/(原始数据!J$2/100)</f>
        <v>360.74706995119772</v>
      </c>
    </row>
    <row r="1827" spans="1:3" ht="18" customHeight="1" x14ac:dyDescent="0.3">
      <c r="A1827" s="41">
        <f>表1[[#This Row],[订单日期]]</f>
        <v>45927</v>
      </c>
      <c r="B1827" s="42">
        <f>原始数据!G1827/(原始数据!G$2/100)</f>
        <v>900</v>
      </c>
      <c r="C1827" s="42">
        <f>原始数据!J1827/(原始数据!J$2/100)</f>
        <v>546.35678563075078</v>
      </c>
    </row>
    <row r="1828" spans="1:3" ht="18" customHeight="1" x14ac:dyDescent="0.3">
      <c r="A1828" s="41">
        <f>表1[[#This Row],[订单日期]]</f>
        <v>45927</v>
      </c>
      <c r="B1828" s="42">
        <f>原始数据!G1828/(原始数据!G$2/100)</f>
        <v>950</v>
      </c>
      <c r="C1828" s="42">
        <f>原始数据!J1828/(原始数据!J$2/100)</f>
        <v>101.46770707549496</v>
      </c>
    </row>
    <row r="1829" spans="1:3" ht="18" customHeight="1" x14ac:dyDescent="0.3">
      <c r="A1829" s="41">
        <f>表1[[#This Row],[订单日期]]</f>
        <v>45927</v>
      </c>
      <c r="B1829" s="42">
        <f>原始数据!G1829/(原始数据!G$2/100)</f>
        <v>950</v>
      </c>
      <c r="C1829" s="42">
        <f>原始数据!J1829/(原始数据!J$2/100)</f>
        <v>138.81127375251549</v>
      </c>
    </row>
    <row r="1830" spans="1:3" ht="18" customHeight="1" x14ac:dyDescent="0.3">
      <c r="A1830" s="41">
        <f>表1[[#This Row],[订单日期]]</f>
        <v>45927</v>
      </c>
      <c r="B1830" s="42">
        <f>原始数据!G1830/(原始数据!G$2/100)</f>
        <v>950</v>
      </c>
      <c r="C1830" s="42">
        <f>原始数据!J1830/(原始数据!J$2/100)</f>
        <v>232.22559633034425</v>
      </c>
    </row>
    <row r="1831" spans="1:3" ht="18" customHeight="1" x14ac:dyDescent="0.3">
      <c r="A1831" s="41">
        <f>表1[[#This Row],[订单日期]]</f>
        <v>45927</v>
      </c>
      <c r="B1831" s="42">
        <f>原始数据!G1831/(原始数据!G$2/100)</f>
        <v>950</v>
      </c>
      <c r="C1831" s="42">
        <f>原始数据!J1831/(原始数据!J$2/100)</f>
        <v>393.34591071725174</v>
      </c>
    </row>
    <row r="1832" spans="1:3" ht="18" customHeight="1" x14ac:dyDescent="0.3">
      <c r="A1832" s="41">
        <f>表1[[#This Row],[订单日期]]</f>
        <v>45927</v>
      </c>
      <c r="B1832" s="42">
        <f>原始数据!G1832/(原始数据!G$2/100)</f>
        <v>950</v>
      </c>
      <c r="C1832" s="42">
        <f>原始数据!J1832/(原始数据!J$2/100)</f>
        <v>519.11727029712802</v>
      </c>
    </row>
    <row r="1833" spans="1:3" ht="18" customHeight="1" x14ac:dyDescent="0.3">
      <c r="A1833" s="41">
        <f>表1[[#This Row],[订单日期]]</f>
        <v>45927</v>
      </c>
      <c r="B1833" s="42">
        <f>原始数据!G1833/(原始数据!G$2/100)</f>
        <v>950</v>
      </c>
      <c r="C1833" s="42">
        <f>原始数据!J1833/(原始数据!J$2/100)</f>
        <v>242.53109099195524</v>
      </c>
    </row>
    <row r="1834" spans="1:3" ht="18" customHeight="1" x14ac:dyDescent="0.3">
      <c r="A1834" s="41">
        <f>表1[[#This Row],[订单日期]]</f>
        <v>45927</v>
      </c>
      <c r="B1834" s="42">
        <f>原始数据!G1834/(原始数据!G$2/100)</f>
        <v>950</v>
      </c>
      <c r="C1834" s="42">
        <f>原始数据!J1834/(原始数据!J$2/100)</f>
        <v>28.664373820888198</v>
      </c>
    </row>
    <row r="1835" spans="1:3" ht="18" customHeight="1" x14ac:dyDescent="0.3">
      <c r="A1835" s="41">
        <f>表1[[#This Row],[订单日期]]</f>
        <v>45927</v>
      </c>
      <c r="B1835" s="42">
        <f>原始数据!G1835/(原始数据!G$2/100)</f>
        <v>950</v>
      </c>
      <c r="C1835" s="42">
        <f>原始数据!J1835/(原始数据!J$2/100)</f>
        <v>510.36314042328638</v>
      </c>
    </row>
    <row r="1836" spans="1:3" ht="18" customHeight="1" x14ac:dyDescent="0.3">
      <c r="A1836" s="41">
        <f>表1[[#This Row],[订单日期]]</f>
        <v>45927</v>
      </c>
      <c r="B1836" s="42">
        <f>原始数据!G1836/(原始数据!G$2/100)</f>
        <v>950</v>
      </c>
      <c r="C1836" s="42">
        <f>原始数据!J1836/(原始数据!J$2/100)</f>
        <v>163.96554566849073</v>
      </c>
    </row>
    <row r="1837" spans="1:3" ht="18" customHeight="1" x14ac:dyDescent="0.3">
      <c r="A1837" s="41">
        <f>表1[[#This Row],[订单日期]]</f>
        <v>45928</v>
      </c>
      <c r="B1837" s="42">
        <f>原始数据!G1837/(原始数据!G$2/100)</f>
        <v>300</v>
      </c>
      <c r="C1837" s="42">
        <f>原始数据!J1837/(原始数据!J$2/100)</f>
        <v>307.50344803293967</v>
      </c>
    </row>
    <row r="1838" spans="1:3" ht="18" customHeight="1" x14ac:dyDescent="0.3">
      <c r="A1838" s="41">
        <f>表1[[#This Row],[订单日期]]</f>
        <v>45928</v>
      </c>
      <c r="B1838" s="42">
        <f>原始数据!G1838/(原始数据!G$2/100)</f>
        <v>300</v>
      </c>
      <c r="C1838" s="42">
        <f>原始数据!J1838/(原始数据!J$2/100)</f>
        <v>439.4802667638935</v>
      </c>
    </row>
    <row r="1839" spans="1:3" ht="18" customHeight="1" x14ac:dyDescent="0.3">
      <c r="A1839" s="41">
        <f>表1[[#This Row],[订单日期]]</f>
        <v>45928</v>
      </c>
      <c r="B1839" s="42">
        <f>原始数据!G1839/(原始数据!G$2/100)</f>
        <v>300</v>
      </c>
      <c r="C1839" s="42">
        <f>原始数据!J1839/(原始数据!J$2/100)</f>
        <v>420.30983045788594</v>
      </c>
    </row>
    <row r="1840" spans="1:3" ht="18" customHeight="1" x14ac:dyDescent="0.3">
      <c r="A1840" s="41">
        <f>表1[[#This Row],[订单日期]]</f>
        <v>45928</v>
      </c>
      <c r="B1840" s="42">
        <f>原始数据!G1840/(原始数据!G$2/100)</f>
        <v>300</v>
      </c>
      <c r="C1840" s="42">
        <f>原始数据!J1840/(原始数据!J$2/100)</f>
        <v>507.40788211408216</v>
      </c>
    </row>
    <row r="1841" spans="1:3" ht="18" customHeight="1" x14ac:dyDescent="0.3">
      <c r="A1841" s="41">
        <f>表1[[#This Row],[订单日期]]</f>
        <v>45928</v>
      </c>
      <c r="B1841" s="42">
        <f>原始数据!G1841/(原始数据!G$2/100)</f>
        <v>300</v>
      </c>
      <c r="C1841" s="42">
        <f>原始数据!J1841/(原始数据!J$2/100)</f>
        <v>137.0749449194158</v>
      </c>
    </row>
    <row r="1842" spans="1:3" ht="18" customHeight="1" x14ac:dyDescent="0.3">
      <c r="A1842" s="41">
        <f>表1[[#This Row],[订单日期]]</f>
        <v>45928</v>
      </c>
      <c r="B1842" s="42">
        <f>原始数据!G1842/(原始数据!G$2/100)</f>
        <v>300</v>
      </c>
      <c r="C1842" s="42">
        <f>原始数据!J1842/(原始数据!J$2/100)</f>
        <v>39.560586831053612</v>
      </c>
    </row>
    <row r="1843" spans="1:3" ht="18" customHeight="1" x14ac:dyDescent="0.3">
      <c r="A1843" s="41">
        <f>表1[[#This Row],[订单日期]]</f>
        <v>45928</v>
      </c>
      <c r="B1843" s="42">
        <f>原始数据!G1843/(原始数据!G$2/100)</f>
        <v>300</v>
      </c>
      <c r="C1843" s="42">
        <f>原始数据!J1843/(原始数据!J$2/100)</f>
        <v>478.59682176979334</v>
      </c>
    </row>
    <row r="1844" spans="1:3" ht="18" customHeight="1" x14ac:dyDescent="0.3">
      <c r="A1844" s="41">
        <f>表1[[#This Row],[订单日期]]</f>
        <v>45928</v>
      </c>
      <c r="B1844" s="42">
        <f>原始数据!G1844/(原始数据!G$2/100)</f>
        <v>300</v>
      </c>
      <c r="C1844" s="42">
        <f>原始数据!J1844/(原始数据!J$2/100)</f>
        <v>170.09685254479299</v>
      </c>
    </row>
    <row r="1845" spans="1:3" ht="18" customHeight="1" x14ac:dyDescent="0.3">
      <c r="A1845" s="41">
        <f>表1[[#This Row],[订单日期]]</f>
        <v>45928</v>
      </c>
      <c r="B1845" s="42">
        <f>原始数据!G1845/(原始数据!G$2/100)</f>
        <v>300</v>
      </c>
      <c r="C1845" s="42">
        <f>原始数据!J1845/(原始数据!J$2/100)</f>
        <v>352.27140333714232</v>
      </c>
    </row>
    <row r="1846" spans="1:3" ht="18" customHeight="1" x14ac:dyDescent="0.3">
      <c r="A1846" s="41">
        <f>表1[[#This Row],[订单日期]]</f>
        <v>45928</v>
      </c>
      <c r="B1846" s="42">
        <f>原始数据!G1846/(原始数据!G$2/100)</f>
        <v>450</v>
      </c>
      <c r="C1846" s="42">
        <f>原始数据!J1846/(原始数据!J$2/100)</f>
        <v>446.05742434293501</v>
      </c>
    </row>
    <row r="1847" spans="1:3" ht="18" customHeight="1" x14ac:dyDescent="0.3">
      <c r="A1847" s="41">
        <f>表1[[#This Row],[订单日期]]</f>
        <v>45928</v>
      </c>
      <c r="B1847" s="42">
        <f>原始数据!G1847/(原始数据!G$2/100)</f>
        <v>450</v>
      </c>
      <c r="C1847" s="42">
        <f>原始数据!J1847/(原始数据!J$2/100)</f>
        <v>183.54433989824182</v>
      </c>
    </row>
    <row r="1848" spans="1:3" ht="18" customHeight="1" x14ac:dyDescent="0.3">
      <c r="A1848" s="41">
        <f>表1[[#This Row],[订单日期]]</f>
        <v>45928</v>
      </c>
      <c r="B1848" s="42">
        <f>原始数据!G1848/(原始数据!G$2/100)</f>
        <v>450</v>
      </c>
      <c r="C1848" s="42">
        <f>原始数据!J1848/(原始数据!J$2/100)</f>
        <v>84.921864104330069</v>
      </c>
    </row>
    <row r="1849" spans="1:3" ht="18" customHeight="1" x14ac:dyDescent="0.3">
      <c r="A1849" s="41">
        <f>表1[[#This Row],[订单日期]]</f>
        <v>45928</v>
      </c>
      <c r="B1849" s="42">
        <f>原始数据!G1849/(原始数据!G$2/100)</f>
        <v>450</v>
      </c>
      <c r="C1849" s="42">
        <f>原始数据!J1849/(原始数据!J$2/100)</f>
        <v>281.16950975715895</v>
      </c>
    </row>
    <row r="1850" spans="1:3" ht="18" customHeight="1" x14ac:dyDescent="0.3">
      <c r="A1850" s="41">
        <f>表1[[#This Row],[订单日期]]</f>
        <v>45928</v>
      </c>
      <c r="B1850" s="42">
        <f>原始数据!G1850/(原始数据!G$2/100)</f>
        <v>450</v>
      </c>
      <c r="C1850" s="42">
        <f>原始数据!J1850/(原始数据!J$2/100)</f>
        <v>81.26507567601648</v>
      </c>
    </row>
    <row r="1851" spans="1:3" ht="18" customHeight="1" x14ac:dyDescent="0.3">
      <c r="A1851" s="41">
        <f>表1[[#This Row],[订单日期]]</f>
        <v>45928</v>
      </c>
      <c r="B1851" s="42">
        <f>原始数据!G1851/(原始数据!G$2/100)</f>
        <v>450</v>
      </c>
      <c r="C1851" s="42">
        <f>原始数据!J1851/(原始数据!J$2/100)</f>
        <v>231.96908363075804</v>
      </c>
    </row>
    <row r="1852" spans="1:3" ht="18" customHeight="1" x14ac:dyDescent="0.3">
      <c r="A1852" s="41">
        <f>表1[[#This Row],[订单日期]]</f>
        <v>45928</v>
      </c>
      <c r="B1852" s="42">
        <f>原始数据!G1852/(原始数据!G$2/100)</f>
        <v>450</v>
      </c>
      <c r="C1852" s="42">
        <f>原始数据!J1852/(原始数据!J$2/100)</f>
        <v>239.94753111071495</v>
      </c>
    </row>
    <row r="1853" spans="1:3" ht="18" customHeight="1" x14ac:dyDescent="0.3">
      <c r="A1853" s="41">
        <f>表1[[#This Row],[订单日期]]</f>
        <v>45928</v>
      </c>
      <c r="B1853" s="42">
        <f>原始数据!G1853/(原始数据!G$2/100)</f>
        <v>450</v>
      </c>
      <c r="C1853" s="42">
        <f>原始数据!J1853/(原始数据!J$2/100)</f>
        <v>227.09336572633993</v>
      </c>
    </row>
    <row r="1854" spans="1:3" ht="18" customHeight="1" x14ac:dyDescent="0.3">
      <c r="A1854" s="41">
        <f>表1[[#This Row],[订单日期]]</f>
        <v>45928</v>
      </c>
      <c r="B1854" s="42">
        <f>原始数据!G1854/(原始数据!G$2/100)</f>
        <v>450</v>
      </c>
      <c r="C1854" s="42">
        <f>原始数据!J1854/(原始数据!J$2/100)</f>
        <v>120.60325422302623</v>
      </c>
    </row>
    <row r="1855" spans="1:3" ht="18" customHeight="1" x14ac:dyDescent="0.3">
      <c r="A1855" s="41">
        <f>表1[[#This Row],[订单日期]]</f>
        <v>45928</v>
      </c>
      <c r="B1855" s="42">
        <f>原始数据!G1855/(原始数据!G$2/100)</f>
        <v>600</v>
      </c>
      <c r="C1855" s="42">
        <f>原始数据!J1855/(原始数据!J$2/100)</f>
        <v>479.37186019803295</v>
      </c>
    </row>
    <row r="1856" spans="1:3" ht="18" customHeight="1" x14ac:dyDescent="0.3">
      <c r="A1856" s="41">
        <f>表1[[#This Row],[订单日期]]</f>
        <v>45928</v>
      </c>
      <c r="B1856" s="42">
        <f>原始数据!G1856/(原始数据!G$2/100)</f>
        <v>600</v>
      </c>
      <c r="C1856" s="42">
        <f>原始数据!J1856/(原始数据!J$2/100)</f>
        <v>165.66373775694962</v>
      </c>
    </row>
    <row r="1857" spans="1:3" ht="18" customHeight="1" x14ac:dyDescent="0.3">
      <c r="A1857" s="41">
        <f>表1[[#This Row],[订单日期]]</f>
        <v>45928</v>
      </c>
      <c r="B1857" s="42">
        <f>原始数据!G1857/(原始数据!G$2/100)</f>
        <v>600</v>
      </c>
      <c r="C1857" s="42">
        <f>原始数据!J1857/(原始数据!J$2/100)</f>
        <v>209.43438712615765</v>
      </c>
    </row>
    <row r="1858" spans="1:3" ht="18" customHeight="1" x14ac:dyDescent="0.3">
      <c r="A1858" s="41">
        <f>表1[[#This Row],[订单日期]]</f>
        <v>45928</v>
      </c>
      <c r="B1858" s="42">
        <f>原始数据!G1858/(原始数据!G$2/100)</f>
        <v>600</v>
      </c>
      <c r="C1858" s="42">
        <f>原始数据!J1858/(原始数据!J$2/100)</f>
        <v>510.39915595342092</v>
      </c>
    </row>
    <row r="1859" spans="1:3" ht="18" customHeight="1" x14ac:dyDescent="0.3">
      <c r="A1859" s="41">
        <f>表1[[#This Row],[订单日期]]</f>
        <v>45928</v>
      </c>
      <c r="B1859" s="42">
        <f>原始数据!G1859/(原始数据!G$2/100)</f>
        <v>600</v>
      </c>
      <c r="C1859" s="42">
        <f>原始数据!J1859/(原始数据!J$2/100)</f>
        <v>97.292875324541143</v>
      </c>
    </row>
    <row r="1860" spans="1:3" ht="18" customHeight="1" x14ac:dyDescent="0.3">
      <c r="A1860" s="41">
        <f>表1[[#This Row],[订单日期]]</f>
        <v>45928</v>
      </c>
      <c r="B1860" s="42">
        <f>原始数据!G1860/(原始数据!G$2/100)</f>
        <v>600</v>
      </c>
      <c r="C1860" s="42">
        <f>原始数据!J1860/(原始数据!J$2/100)</f>
        <v>231.04268238437427</v>
      </c>
    </row>
    <row r="1861" spans="1:3" ht="18" customHeight="1" x14ac:dyDescent="0.3">
      <c r="A1861" s="41">
        <f>表1[[#This Row],[订单日期]]</f>
        <v>45928</v>
      </c>
      <c r="B1861" s="42">
        <f>原始数据!G1861/(原始数据!G$2/100)</f>
        <v>600</v>
      </c>
      <c r="C1861" s="42">
        <f>原始数据!J1861/(原始数据!J$2/100)</f>
        <v>293.3188974362601</v>
      </c>
    </row>
    <row r="1862" spans="1:3" ht="18" customHeight="1" x14ac:dyDescent="0.3">
      <c r="A1862" s="41">
        <f>表1[[#This Row],[订单日期]]</f>
        <v>45928</v>
      </c>
      <c r="B1862" s="42">
        <f>原始数据!G1862/(原始数据!G$2/100)</f>
        <v>600</v>
      </c>
      <c r="C1862" s="42">
        <f>原始数据!J1862/(原始数据!J$2/100)</f>
        <v>23.935483217159589</v>
      </c>
    </row>
    <row r="1863" spans="1:3" ht="18" customHeight="1" x14ac:dyDescent="0.3">
      <c r="A1863" s="41">
        <f>表1[[#This Row],[订单日期]]</f>
        <v>45928</v>
      </c>
      <c r="B1863" s="42">
        <f>原始数据!G1863/(原始数据!G$2/100)</f>
        <v>600</v>
      </c>
      <c r="C1863" s="42">
        <f>原始数据!J1863/(原始数据!J$2/100)</f>
        <v>443.46884653822684</v>
      </c>
    </row>
    <row r="1864" spans="1:3" ht="18" customHeight="1" x14ac:dyDescent="0.3">
      <c r="A1864" s="41">
        <f>表1[[#This Row],[订单日期]]</f>
        <v>45928</v>
      </c>
      <c r="B1864" s="42">
        <f>原始数据!G1864/(原始数据!G$2/100)</f>
        <v>700</v>
      </c>
      <c r="C1864" s="42">
        <f>原始数据!J1864/(原始数据!J$2/100)</f>
        <v>265.84179044507783</v>
      </c>
    </row>
    <row r="1865" spans="1:3" ht="18" customHeight="1" x14ac:dyDescent="0.3">
      <c r="A1865" s="41">
        <f>表1[[#This Row],[订单日期]]</f>
        <v>45928</v>
      </c>
      <c r="B1865" s="42">
        <f>原始数据!G1865/(原始数据!G$2/100)</f>
        <v>700</v>
      </c>
      <c r="C1865" s="42">
        <f>原始数据!J1865/(原始数据!J$2/100)</f>
        <v>481.92474302724395</v>
      </c>
    </row>
    <row r="1866" spans="1:3" ht="18" customHeight="1" x14ac:dyDescent="0.3">
      <c r="A1866" s="41">
        <f>表1[[#This Row],[订单日期]]</f>
        <v>45928</v>
      </c>
      <c r="B1866" s="42">
        <f>原始数据!G1866/(原始数据!G$2/100)</f>
        <v>700</v>
      </c>
      <c r="C1866" s="42">
        <f>原始数据!J1866/(原始数据!J$2/100)</f>
        <v>478.60038991059525</v>
      </c>
    </row>
    <row r="1867" spans="1:3" ht="18" customHeight="1" x14ac:dyDescent="0.3">
      <c r="A1867" s="41">
        <f>表1[[#This Row],[订单日期]]</f>
        <v>45928</v>
      </c>
      <c r="B1867" s="42">
        <f>原始数据!G1867/(原始数据!G$2/100)</f>
        <v>700</v>
      </c>
      <c r="C1867" s="42">
        <f>原始数据!J1867/(原始数据!J$2/100)</f>
        <v>10.642282857011816</v>
      </c>
    </row>
    <row r="1868" spans="1:3" ht="18" customHeight="1" x14ac:dyDescent="0.3">
      <c r="A1868" s="41">
        <f>表1[[#This Row],[订单日期]]</f>
        <v>45928</v>
      </c>
      <c r="B1868" s="42">
        <f>原始数据!G1868/(原始数据!G$2/100)</f>
        <v>700</v>
      </c>
      <c r="C1868" s="42">
        <f>原始数据!J1868/(原始数据!J$2/100)</f>
        <v>45.547990581823278</v>
      </c>
    </row>
    <row r="1869" spans="1:3" ht="18" customHeight="1" x14ac:dyDescent="0.3">
      <c r="A1869" s="41">
        <f>表1[[#This Row],[订单日期]]</f>
        <v>45928</v>
      </c>
      <c r="B1869" s="42">
        <f>原始数据!G1869/(原始数据!G$2/100)</f>
        <v>700</v>
      </c>
      <c r="C1869" s="42">
        <f>原始数据!J1869/(原始数据!J$2/100)</f>
        <v>539.65767548637655</v>
      </c>
    </row>
    <row r="1870" spans="1:3" ht="18" customHeight="1" x14ac:dyDescent="0.3">
      <c r="A1870" s="41">
        <f>表1[[#This Row],[订单日期]]</f>
        <v>45928</v>
      </c>
      <c r="B1870" s="42">
        <f>原始数据!G1870/(原始数据!G$2/100)</f>
        <v>700</v>
      </c>
      <c r="C1870" s="42">
        <f>原始数据!J1870/(原始数据!J$2/100)</f>
        <v>401.58620937490019</v>
      </c>
    </row>
    <row r="1871" spans="1:3" ht="18" customHeight="1" x14ac:dyDescent="0.3">
      <c r="A1871" s="41">
        <f>表1[[#This Row],[订单日期]]</f>
        <v>45928</v>
      </c>
      <c r="B1871" s="42">
        <f>原始数据!G1871/(原始数据!G$2/100)</f>
        <v>700</v>
      </c>
      <c r="C1871" s="42">
        <f>原始数据!J1871/(原始数据!J$2/100)</f>
        <v>551.403723165202</v>
      </c>
    </row>
    <row r="1872" spans="1:3" ht="18" customHeight="1" x14ac:dyDescent="0.3">
      <c r="A1872" s="41">
        <f>表1[[#This Row],[订单日期]]</f>
        <v>45928</v>
      </c>
      <c r="B1872" s="42">
        <f>原始数据!G1872/(原始数据!G$2/100)</f>
        <v>850</v>
      </c>
      <c r="C1872" s="42">
        <f>原始数据!J1872/(原始数据!J$2/100)</f>
        <v>152.40325893654054</v>
      </c>
    </row>
    <row r="1873" spans="1:3" ht="18" customHeight="1" x14ac:dyDescent="0.3">
      <c r="A1873" s="41">
        <f>表1[[#This Row],[订单日期]]</f>
        <v>45928</v>
      </c>
      <c r="B1873" s="42">
        <f>原始数据!G1873/(原始数据!G$2/100)</f>
        <v>850</v>
      </c>
      <c r="C1873" s="42">
        <f>原始数据!J1873/(原始数据!J$2/100)</f>
        <v>356.62935206932633</v>
      </c>
    </row>
    <row r="1874" spans="1:3" ht="18" customHeight="1" x14ac:dyDescent="0.3">
      <c r="A1874" s="41">
        <f>表1[[#This Row],[订单日期]]</f>
        <v>45928</v>
      </c>
      <c r="B1874" s="42">
        <f>原始数据!G1874/(原始数据!G$2/100)</f>
        <v>850</v>
      </c>
      <c r="C1874" s="42">
        <f>原始数据!J1874/(原始数据!J$2/100)</f>
        <v>400.17837789742447</v>
      </c>
    </row>
    <row r="1875" spans="1:3" ht="18" customHeight="1" x14ac:dyDescent="0.3">
      <c r="A1875" s="41">
        <f>表1[[#This Row],[订单日期]]</f>
        <v>45928</v>
      </c>
      <c r="B1875" s="42">
        <f>原始数据!G1875/(原始数据!G$2/100)</f>
        <v>850</v>
      </c>
      <c r="C1875" s="42">
        <f>原始数据!J1875/(原始数据!J$2/100)</f>
        <v>206.70102650846948</v>
      </c>
    </row>
    <row r="1876" spans="1:3" ht="18" customHeight="1" x14ac:dyDescent="0.3">
      <c r="A1876" s="41">
        <f>表1[[#This Row],[订单日期]]</f>
        <v>45928</v>
      </c>
      <c r="B1876" s="42">
        <f>原始数据!G1876/(原始数据!G$2/100)</f>
        <v>850</v>
      </c>
      <c r="C1876" s="42">
        <f>原始数据!J1876/(原始数据!J$2/100)</f>
        <v>408.82169600071109</v>
      </c>
    </row>
    <row r="1877" spans="1:3" ht="18" customHeight="1" x14ac:dyDescent="0.3">
      <c r="A1877" s="41">
        <f>表1[[#This Row],[订单日期]]</f>
        <v>45928</v>
      </c>
      <c r="B1877" s="42">
        <f>原始数据!G1877/(原始数据!G$2/100)</f>
        <v>850</v>
      </c>
      <c r="C1877" s="42">
        <f>原始数据!J1877/(原始数据!J$2/100)</f>
        <v>408.37844891849124</v>
      </c>
    </row>
    <row r="1878" spans="1:3" ht="18" customHeight="1" x14ac:dyDescent="0.3">
      <c r="A1878" s="41">
        <f>表1[[#This Row],[订单日期]]</f>
        <v>45928</v>
      </c>
      <c r="B1878" s="42">
        <f>原始数据!G1878/(原始数据!G$2/100)</f>
        <v>850</v>
      </c>
      <c r="C1878" s="42">
        <f>原始数据!J1878/(原始数据!J$2/100)</f>
        <v>180.10620157527981</v>
      </c>
    </row>
    <row r="1879" spans="1:3" ht="18" customHeight="1" x14ac:dyDescent="0.3">
      <c r="A1879" s="41">
        <f>表1[[#This Row],[订单日期]]</f>
        <v>45928</v>
      </c>
      <c r="B1879" s="42">
        <f>原始数据!G1879/(原始数据!G$2/100)</f>
        <v>850</v>
      </c>
      <c r="C1879" s="42">
        <f>原始数据!J1879/(原始数据!J$2/100)</f>
        <v>434.30840322835121</v>
      </c>
    </row>
    <row r="1880" spans="1:3" ht="18" customHeight="1" x14ac:dyDescent="0.3">
      <c r="A1880" s="41">
        <f>表1[[#This Row],[订单日期]]</f>
        <v>45928</v>
      </c>
      <c r="B1880" s="42">
        <f>原始数据!G1880/(原始数据!G$2/100)</f>
        <v>950</v>
      </c>
      <c r="C1880" s="42">
        <f>原始数据!J1880/(原始数据!J$2/100)</f>
        <v>309.79506865097648</v>
      </c>
    </row>
    <row r="1881" spans="1:3" ht="18" customHeight="1" x14ac:dyDescent="0.3">
      <c r="A1881" s="41">
        <f>表1[[#This Row],[订单日期]]</f>
        <v>45928</v>
      </c>
      <c r="B1881" s="42">
        <f>原始数据!G1881/(原始数据!G$2/100)</f>
        <v>950</v>
      </c>
      <c r="C1881" s="42">
        <f>原始数据!J1881/(原始数据!J$2/100)</f>
        <v>506.81839669769005</v>
      </c>
    </row>
    <row r="1882" spans="1:3" ht="18" customHeight="1" x14ac:dyDescent="0.3">
      <c r="A1882" s="41">
        <f>表1[[#This Row],[订单日期]]</f>
        <v>45928</v>
      </c>
      <c r="B1882" s="42">
        <f>原始数据!G1882/(原始数据!G$2/100)</f>
        <v>950</v>
      </c>
      <c r="C1882" s="42">
        <f>原始数据!J1882/(原始数据!J$2/100)</f>
        <v>65.565926347851203</v>
      </c>
    </row>
    <row r="1883" spans="1:3" ht="18" customHeight="1" x14ac:dyDescent="0.3">
      <c r="A1883" s="41">
        <f>表1[[#This Row],[订单日期]]</f>
        <v>45928</v>
      </c>
      <c r="B1883" s="42">
        <f>原始数据!G1883/(原始数据!G$2/100)</f>
        <v>950</v>
      </c>
      <c r="C1883" s="42">
        <f>原始数据!J1883/(原始数据!J$2/100)</f>
        <v>262.92168970622964</v>
      </c>
    </row>
    <row r="1884" spans="1:3" ht="18" customHeight="1" x14ac:dyDescent="0.3">
      <c r="A1884" s="41">
        <f>表1[[#This Row],[订单日期]]</f>
        <v>45928</v>
      </c>
      <c r="B1884" s="42">
        <f>原始数据!G1884/(原始数据!G$2/100)</f>
        <v>950</v>
      </c>
      <c r="C1884" s="42">
        <f>原始数据!J1884/(原始数据!J$2/100)</f>
        <v>116.42852903257648</v>
      </c>
    </row>
    <row r="1885" spans="1:3" ht="18" customHeight="1" x14ac:dyDescent="0.3">
      <c r="A1885" s="41">
        <f>表1[[#This Row],[订单日期]]</f>
        <v>45928</v>
      </c>
      <c r="B1885" s="42">
        <f>原始数据!G1885/(原始数据!G$2/100)</f>
        <v>950</v>
      </c>
      <c r="C1885" s="42">
        <f>原始数据!J1885/(原始数据!J$2/100)</f>
        <v>534.1889040247645</v>
      </c>
    </row>
    <row r="1886" spans="1:3" ht="18" customHeight="1" x14ac:dyDescent="0.3">
      <c r="A1886" s="41">
        <f>表1[[#This Row],[订单日期]]</f>
        <v>45928</v>
      </c>
      <c r="B1886" s="42">
        <f>原始数据!G1886/(原始数据!G$2/100)</f>
        <v>950</v>
      </c>
      <c r="C1886" s="42">
        <f>原始数据!J1886/(原始数据!J$2/100)</f>
        <v>188.12374458163367</v>
      </c>
    </row>
    <row r="1887" spans="1:3" ht="18" customHeight="1" x14ac:dyDescent="0.3">
      <c r="A1887" s="41">
        <f>表1[[#This Row],[订单日期]]</f>
        <v>45928</v>
      </c>
      <c r="B1887" s="42">
        <f>原始数据!G1887/(原始数据!G$2/100)</f>
        <v>950</v>
      </c>
      <c r="C1887" s="42">
        <f>原始数据!J1887/(原始数据!J$2/100)</f>
        <v>268.46227823397749</v>
      </c>
    </row>
    <row r="1888" spans="1:3" ht="18" customHeight="1" x14ac:dyDescent="0.3">
      <c r="A1888" s="41">
        <f>表1[[#This Row],[订单日期]]</f>
        <v>45929</v>
      </c>
      <c r="B1888" s="42">
        <f>原始数据!G1888/(原始数据!G$2/100)</f>
        <v>50</v>
      </c>
      <c r="C1888" s="42">
        <f>原始数据!J1888/(原始数据!J$2/100)</f>
        <v>275.52839672323222</v>
      </c>
    </row>
    <row r="1889" spans="1:3" ht="18" customHeight="1" x14ac:dyDescent="0.3">
      <c r="A1889" s="41">
        <f>表1[[#This Row],[订单日期]]</f>
        <v>45929</v>
      </c>
      <c r="B1889" s="42">
        <f>原始数据!G1889/(原始数据!G$2/100)</f>
        <v>50</v>
      </c>
      <c r="C1889" s="42">
        <f>原始数据!J1889/(原始数据!J$2/100)</f>
        <v>333.26132918236482</v>
      </c>
    </row>
    <row r="1890" spans="1:3" ht="18" customHeight="1" x14ac:dyDescent="0.3">
      <c r="A1890" s="41">
        <f>表1[[#This Row],[订单日期]]</f>
        <v>45929</v>
      </c>
      <c r="B1890" s="42">
        <f>原始数据!G1890/(原始数据!G$2/100)</f>
        <v>50</v>
      </c>
      <c r="C1890" s="42">
        <f>原始数据!J1890/(原始数据!J$2/100)</f>
        <v>157.73548462331291</v>
      </c>
    </row>
    <row r="1891" spans="1:3" ht="18" customHeight="1" x14ac:dyDescent="0.3">
      <c r="A1891" s="41">
        <f>表1[[#This Row],[订单日期]]</f>
        <v>45929</v>
      </c>
      <c r="B1891" s="42">
        <f>原始数据!G1891/(原始数据!G$2/100)</f>
        <v>50</v>
      </c>
      <c r="C1891" s="42">
        <f>原始数据!J1891/(原始数据!J$2/100)</f>
        <v>146.43268402670731</v>
      </c>
    </row>
    <row r="1892" spans="1:3" ht="18" customHeight="1" x14ac:dyDescent="0.3">
      <c r="A1892" s="41">
        <f>表1[[#This Row],[订单日期]]</f>
        <v>45929</v>
      </c>
      <c r="B1892" s="42">
        <f>原始数据!G1892/(原始数据!G$2/100)</f>
        <v>50</v>
      </c>
      <c r="C1892" s="42">
        <f>原始数据!J1892/(原始数据!J$2/100)</f>
        <v>240.84431253953068</v>
      </c>
    </row>
    <row r="1893" spans="1:3" ht="18" customHeight="1" x14ac:dyDescent="0.3">
      <c r="A1893" s="41">
        <f>表1[[#This Row],[订单日期]]</f>
        <v>45929</v>
      </c>
      <c r="B1893" s="42">
        <f>原始数据!G1893/(原始数据!G$2/100)</f>
        <v>50</v>
      </c>
      <c r="C1893" s="42">
        <f>原始数据!J1893/(原始数据!J$2/100)</f>
        <v>127.48387126180964</v>
      </c>
    </row>
    <row r="1894" spans="1:3" ht="18" customHeight="1" x14ac:dyDescent="0.3">
      <c r="A1894" s="41">
        <f>表1[[#This Row],[订单日期]]</f>
        <v>45929</v>
      </c>
      <c r="B1894" s="42">
        <f>原始数据!G1894/(原始数据!G$2/100)</f>
        <v>50</v>
      </c>
      <c r="C1894" s="42">
        <f>原始数据!J1894/(原始数据!J$2/100)</f>
        <v>53.018361448878515</v>
      </c>
    </row>
    <row r="1895" spans="1:3" ht="18" customHeight="1" x14ac:dyDescent="0.3">
      <c r="A1895" s="41">
        <f>表1[[#This Row],[订单日期]]</f>
        <v>45929</v>
      </c>
      <c r="B1895" s="42">
        <f>原始数据!G1895/(原始数据!G$2/100)</f>
        <v>50</v>
      </c>
      <c r="C1895" s="42">
        <f>原始数据!J1895/(原始数据!J$2/100)</f>
        <v>495.15732596315701</v>
      </c>
    </row>
    <row r="1896" spans="1:3" ht="18" customHeight="1" x14ac:dyDescent="0.3">
      <c r="A1896" s="41">
        <f>表1[[#This Row],[订单日期]]</f>
        <v>45929</v>
      </c>
      <c r="B1896" s="42">
        <f>原始数据!G1896/(原始数据!G$2/100)</f>
        <v>50</v>
      </c>
      <c r="C1896" s="42">
        <f>原始数据!J1896/(原始数据!J$2/100)</f>
        <v>424.79185166075933</v>
      </c>
    </row>
    <row r="1897" spans="1:3" ht="18" customHeight="1" x14ac:dyDescent="0.3">
      <c r="A1897" s="41">
        <f>表1[[#This Row],[订单日期]]</f>
        <v>45929</v>
      </c>
      <c r="B1897" s="42">
        <f>原始数据!G1897/(原始数据!G$2/100)</f>
        <v>250</v>
      </c>
      <c r="C1897" s="42">
        <f>原始数据!J1897/(原始数据!J$2/100)</f>
        <v>416.86006649838635</v>
      </c>
    </row>
    <row r="1898" spans="1:3" ht="18" customHeight="1" x14ac:dyDescent="0.3">
      <c r="A1898" s="41">
        <f>表1[[#This Row],[订单日期]]</f>
        <v>45929</v>
      </c>
      <c r="B1898" s="42">
        <f>原始数据!G1898/(原始数据!G$2/100)</f>
        <v>250</v>
      </c>
      <c r="C1898" s="42">
        <f>原始数据!J1898/(原始数据!J$2/100)</f>
        <v>95.062684806791154</v>
      </c>
    </row>
    <row r="1899" spans="1:3" ht="18" customHeight="1" x14ac:dyDescent="0.3">
      <c r="A1899" s="41">
        <f>表1[[#This Row],[订单日期]]</f>
        <v>45929</v>
      </c>
      <c r="B1899" s="42">
        <f>原始数据!G1899/(原始数据!G$2/100)</f>
        <v>250</v>
      </c>
      <c r="C1899" s="42">
        <f>原始数据!J1899/(原始数据!J$2/100)</f>
        <v>53.729894389792179</v>
      </c>
    </row>
    <row r="1900" spans="1:3" ht="18" customHeight="1" x14ac:dyDescent="0.3">
      <c r="A1900" s="41">
        <f>表1[[#This Row],[订单日期]]</f>
        <v>45929</v>
      </c>
      <c r="B1900" s="42">
        <f>原始数据!G1900/(原始数据!G$2/100)</f>
        <v>250</v>
      </c>
      <c r="C1900" s="42">
        <f>原始数据!J1900/(原始数据!J$2/100)</f>
        <v>243.21802203876868</v>
      </c>
    </row>
    <row r="1901" spans="1:3" ht="18" customHeight="1" x14ac:dyDescent="0.3">
      <c r="A1901" s="41">
        <f>表1[[#This Row],[订单日期]]</f>
        <v>45929</v>
      </c>
      <c r="B1901" s="42">
        <f>原始数据!G1901/(原始数据!G$2/100)</f>
        <v>250</v>
      </c>
      <c r="C1901" s="42">
        <f>原始数据!J1901/(原始数据!J$2/100)</f>
        <v>545.62334388324643</v>
      </c>
    </row>
    <row r="1902" spans="1:3" ht="18" customHeight="1" x14ac:dyDescent="0.3">
      <c r="A1902" s="41">
        <f>表1[[#This Row],[订单日期]]</f>
        <v>45929</v>
      </c>
      <c r="B1902" s="42">
        <f>原始数据!G1902/(原始数据!G$2/100)</f>
        <v>250</v>
      </c>
      <c r="C1902" s="42">
        <f>原始数据!J1902/(原始数据!J$2/100)</f>
        <v>500.19051795571409</v>
      </c>
    </row>
    <row r="1903" spans="1:3" ht="18" customHeight="1" x14ac:dyDescent="0.3">
      <c r="A1903" s="41">
        <f>表1[[#This Row],[订单日期]]</f>
        <v>45929</v>
      </c>
      <c r="B1903" s="42">
        <f>原始数据!G1903/(原始数据!G$2/100)</f>
        <v>250</v>
      </c>
      <c r="C1903" s="42">
        <f>原始数据!J1903/(原始数据!J$2/100)</f>
        <v>56.056941571446274</v>
      </c>
    </row>
    <row r="1904" spans="1:3" ht="18" customHeight="1" x14ac:dyDescent="0.3">
      <c r="A1904" s="41">
        <f>表1[[#This Row],[订单日期]]</f>
        <v>45929</v>
      </c>
      <c r="B1904" s="42">
        <f>原始数据!G1904/(原始数据!G$2/100)</f>
        <v>250</v>
      </c>
      <c r="C1904" s="42">
        <f>原始数据!J1904/(原始数据!J$2/100)</f>
        <v>317.01866122837004</v>
      </c>
    </row>
    <row r="1905" spans="1:3" ht="18" customHeight="1" x14ac:dyDescent="0.3">
      <c r="A1905" s="41">
        <f>表1[[#This Row],[订单日期]]</f>
        <v>45929</v>
      </c>
      <c r="B1905" s="42">
        <f>原始数据!G1905/(原始数据!G$2/100)</f>
        <v>250</v>
      </c>
      <c r="C1905" s="42">
        <f>原始数据!J1905/(原始数据!J$2/100)</f>
        <v>295.96442482292821</v>
      </c>
    </row>
    <row r="1906" spans="1:3" ht="18" customHeight="1" x14ac:dyDescent="0.3">
      <c r="A1906" s="41">
        <f>表1[[#This Row],[订单日期]]</f>
        <v>45929</v>
      </c>
      <c r="B1906" s="42">
        <f>原始数据!G1906/(原始数据!G$2/100)</f>
        <v>400</v>
      </c>
      <c r="C1906" s="42">
        <f>原始数据!J1906/(原始数据!J$2/100)</f>
        <v>98.113054276502012</v>
      </c>
    </row>
    <row r="1907" spans="1:3" ht="18" customHeight="1" x14ac:dyDescent="0.3">
      <c r="A1907" s="41">
        <f>表1[[#This Row],[订单日期]]</f>
        <v>45929</v>
      </c>
      <c r="B1907" s="42">
        <f>原始数据!G1907/(原始数据!G$2/100)</f>
        <v>400</v>
      </c>
      <c r="C1907" s="42">
        <f>原始数据!J1907/(原始数据!J$2/100)</f>
        <v>53.234287201744422</v>
      </c>
    </row>
    <row r="1908" spans="1:3" ht="18" customHeight="1" x14ac:dyDescent="0.3">
      <c r="A1908" s="41">
        <f>表1[[#This Row],[订单日期]]</f>
        <v>45929</v>
      </c>
      <c r="B1908" s="42">
        <f>原始数据!G1908/(原始数据!G$2/100)</f>
        <v>400</v>
      </c>
      <c r="C1908" s="42">
        <f>原始数据!J1908/(原始数据!J$2/100)</f>
        <v>36.723333389055824</v>
      </c>
    </row>
    <row r="1909" spans="1:3" ht="18" customHeight="1" x14ac:dyDescent="0.3">
      <c r="A1909" s="41">
        <f>表1[[#This Row],[订单日期]]</f>
        <v>45929</v>
      </c>
      <c r="B1909" s="42">
        <f>原始数据!G1909/(原始数据!G$2/100)</f>
        <v>400</v>
      </c>
      <c r="C1909" s="42">
        <f>原始数据!J1909/(原始数据!J$2/100)</f>
        <v>54.120781366184076</v>
      </c>
    </row>
    <row r="1910" spans="1:3" ht="18" customHeight="1" x14ac:dyDescent="0.3">
      <c r="A1910" s="41">
        <f>表1[[#This Row],[订单日期]]</f>
        <v>45929</v>
      </c>
      <c r="B1910" s="42">
        <f>原始数据!G1910/(原始数据!G$2/100)</f>
        <v>400</v>
      </c>
      <c r="C1910" s="42">
        <f>原始数据!J1910/(原始数据!J$2/100)</f>
        <v>168.81096389056458</v>
      </c>
    </row>
    <row r="1911" spans="1:3" ht="18" customHeight="1" x14ac:dyDescent="0.3">
      <c r="A1911" s="41">
        <f>表1[[#This Row],[订单日期]]</f>
        <v>45929</v>
      </c>
      <c r="B1911" s="42">
        <f>原始数据!G1911/(原始数据!G$2/100)</f>
        <v>400</v>
      </c>
      <c r="C1911" s="42">
        <f>原始数据!J1911/(原始数据!J$2/100)</f>
        <v>263.4442159444979</v>
      </c>
    </row>
    <row r="1912" spans="1:3" ht="18" customHeight="1" x14ac:dyDescent="0.3">
      <c r="A1912" s="41">
        <f>表1[[#This Row],[订单日期]]</f>
        <v>45929</v>
      </c>
      <c r="B1912" s="42">
        <f>原始数据!G1912/(原始数据!G$2/100)</f>
        <v>400</v>
      </c>
      <c r="C1912" s="42">
        <f>原始数据!J1912/(原始数据!J$2/100)</f>
        <v>543.24393659576435</v>
      </c>
    </row>
    <row r="1913" spans="1:3" ht="18" customHeight="1" x14ac:dyDescent="0.3">
      <c r="A1913" s="41">
        <f>表1[[#This Row],[订单日期]]</f>
        <v>45929</v>
      </c>
      <c r="B1913" s="42">
        <f>原始数据!G1913/(原始数据!G$2/100)</f>
        <v>400</v>
      </c>
      <c r="C1913" s="42">
        <f>原始数据!J1913/(原始数据!J$2/100)</f>
        <v>370.82082161225122</v>
      </c>
    </row>
    <row r="1914" spans="1:3" ht="18" customHeight="1" x14ac:dyDescent="0.3">
      <c r="A1914" s="41">
        <f>表1[[#This Row],[订单日期]]</f>
        <v>45929</v>
      </c>
      <c r="B1914" s="42">
        <f>原始数据!G1914/(原始数据!G$2/100)</f>
        <v>400</v>
      </c>
      <c r="C1914" s="42">
        <f>原始数据!J1914/(原始数据!J$2/100)</f>
        <v>355.4179855051122</v>
      </c>
    </row>
    <row r="1915" spans="1:3" ht="18" customHeight="1" x14ac:dyDescent="0.3">
      <c r="A1915" s="41">
        <f>表1[[#This Row],[订单日期]]</f>
        <v>45929</v>
      </c>
      <c r="B1915" s="42">
        <f>原始数据!G1915/(原始数据!G$2/100)</f>
        <v>550</v>
      </c>
      <c r="C1915" s="42">
        <f>原始数据!J1915/(原始数据!J$2/100)</f>
        <v>460.96738049836063</v>
      </c>
    </row>
    <row r="1916" spans="1:3" ht="18" customHeight="1" x14ac:dyDescent="0.3">
      <c r="A1916" s="41">
        <f>表1[[#This Row],[订单日期]]</f>
        <v>45929</v>
      </c>
      <c r="B1916" s="42">
        <f>原始数据!G1916/(原始数据!G$2/100)</f>
        <v>550</v>
      </c>
      <c r="C1916" s="42">
        <f>原始数据!J1916/(原始数据!J$2/100)</f>
        <v>489.44600553098456</v>
      </c>
    </row>
    <row r="1917" spans="1:3" ht="18" customHeight="1" x14ac:dyDescent="0.3">
      <c r="A1917" s="41">
        <f>表1[[#This Row],[订单日期]]</f>
        <v>45929</v>
      </c>
      <c r="B1917" s="42">
        <f>原始数据!G1917/(原始数据!G$2/100)</f>
        <v>550</v>
      </c>
      <c r="C1917" s="42">
        <f>原始数据!J1917/(原始数据!J$2/100)</f>
        <v>127.97800998071479</v>
      </c>
    </row>
    <row r="1918" spans="1:3" ht="18" customHeight="1" x14ac:dyDescent="0.3">
      <c r="A1918" s="41">
        <f>表1[[#This Row],[订单日期]]</f>
        <v>45929</v>
      </c>
      <c r="B1918" s="42">
        <f>原始数据!G1918/(原始数据!G$2/100)</f>
        <v>550</v>
      </c>
      <c r="C1918" s="42">
        <f>原始数据!J1918/(原始数据!J$2/100)</f>
        <v>65.812606699383906</v>
      </c>
    </row>
    <row r="1919" spans="1:3" ht="18" customHeight="1" x14ac:dyDescent="0.3">
      <c r="A1919" s="41">
        <f>表1[[#This Row],[订单日期]]</f>
        <v>45929</v>
      </c>
      <c r="B1919" s="42">
        <f>原始数据!G1919/(原始数据!G$2/100)</f>
        <v>550</v>
      </c>
      <c r="C1919" s="42">
        <f>原始数据!J1919/(原始数据!J$2/100)</f>
        <v>60.826077024410836</v>
      </c>
    </row>
    <row r="1920" spans="1:3" ht="18" customHeight="1" x14ac:dyDescent="0.3">
      <c r="A1920" s="41">
        <f>表1[[#This Row],[订单日期]]</f>
        <v>45929</v>
      </c>
      <c r="B1920" s="42">
        <f>原始数据!G1920/(原始数据!G$2/100)</f>
        <v>550</v>
      </c>
      <c r="C1920" s="42">
        <f>原始数据!J1920/(原始数据!J$2/100)</f>
        <v>312.81204326638311</v>
      </c>
    </row>
    <row r="1921" spans="1:3" ht="18" customHeight="1" x14ac:dyDescent="0.3">
      <c r="A1921" s="41">
        <f>表1[[#This Row],[订单日期]]</f>
        <v>45929</v>
      </c>
      <c r="B1921" s="42">
        <f>原始数据!G1921/(原始数据!G$2/100)</f>
        <v>550</v>
      </c>
      <c r="C1921" s="42">
        <f>原始数据!J1921/(原始数据!J$2/100)</f>
        <v>135.51321037845187</v>
      </c>
    </row>
    <row r="1922" spans="1:3" ht="18" customHeight="1" x14ac:dyDescent="0.3">
      <c r="A1922" s="41">
        <f>表1[[#This Row],[订单日期]]</f>
        <v>45929</v>
      </c>
      <c r="B1922" s="42">
        <f>原始数据!G1922/(原始数据!G$2/100)</f>
        <v>550</v>
      </c>
      <c r="C1922" s="42">
        <f>原始数据!J1922/(原始数据!J$2/100)</f>
        <v>528.11931345466462</v>
      </c>
    </row>
    <row r="1923" spans="1:3" ht="18" customHeight="1" x14ac:dyDescent="0.3">
      <c r="A1923" s="41">
        <f>表1[[#This Row],[订单日期]]</f>
        <v>45929</v>
      </c>
      <c r="B1923" s="42">
        <f>原始数据!G1923/(原始数据!G$2/100)</f>
        <v>600</v>
      </c>
      <c r="C1923" s="42">
        <f>原始数据!J1923/(原始数据!J$2/100)</f>
        <v>115.66399725137731</v>
      </c>
    </row>
    <row r="1924" spans="1:3" ht="18" customHeight="1" x14ac:dyDescent="0.3">
      <c r="A1924" s="41">
        <f>表1[[#This Row],[订单日期]]</f>
        <v>45929</v>
      </c>
      <c r="B1924" s="42">
        <f>原始数据!G1924/(原始数据!G$2/100)</f>
        <v>600</v>
      </c>
      <c r="C1924" s="42">
        <f>原始数据!J1924/(原始数据!J$2/100)</f>
        <v>545.54774998332016</v>
      </c>
    </row>
    <row r="1925" spans="1:3" ht="18" customHeight="1" x14ac:dyDescent="0.3">
      <c r="A1925" s="41">
        <f>表1[[#This Row],[订单日期]]</f>
        <v>45929</v>
      </c>
      <c r="B1925" s="42">
        <f>原始数据!G1925/(原始数据!G$2/100)</f>
        <v>600</v>
      </c>
      <c r="C1925" s="42">
        <f>原始数据!J1925/(原始数据!J$2/100)</f>
        <v>89.512419400407452</v>
      </c>
    </row>
    <row r="1926" spans="1:3" ht="18" customHeight="1" x14ac:dyDescent="0.3">
      <c r="A1926" s="41">
        <f>表1[[#This Row],[订单日期]]</f>
        <v>45929</v>
      </c>
      <c r="B1926" s="42">
        <f>原始数据!G1926/(原始数据!G$2/100)</f>
        <v>600</v>
      </c>
      <c r="C1926" s="42">
        <f>原始数据!J1926/(原始数据!J$2/100)</f>
        <v>14.205310172301234</v>
      </c>
    </row>
    <row r="1927" spans="1:3" ht="18" customHeight="1" x14ac:dyDescent="0.3">
      <c r="A1927" s="41">
        <f>表1[[#This Row],[订单日期]]</f>
        <v>45929</v>
      </c>
      <c r="B1927" s="42">
        <f>原始数据!G1927/(原始数据!G$2/100)</f>
        <v>600</v>
      </c>
      <c r="C1927" s="42">
        <f>原始数据!J1927/(原始数据!J$2/100)</f>
        <v>156.55354058615646</v>
      </c>
    </row>
    <row r="1928" spans="1:3" ht="18" customHeight="1" x14ac:dyDescent="0.3">
      <c r="A1928" s="41">
        <f>表1[[#This Row],[订单日期]]</f>
        <v>45929</v>
      </c>
      <c r="B1928" s="42">
        <f>原始数据!G1928/(原始数据!G$2/100)</f>
        <v>600</v>
      </c>
      <c r="C1928" s="42">
        <f>原始数据!J1928/(原始数据!J$2/100)</f>
        <v>67.062524727015727</v>
      </c>
    </row>
    <row r="1929" spans="1:3" ht="18" customHeight="1" x14ac:dyDescent="0.3">
      <c r="A1929" s="41">
        <f>表1[[#This Row],[订单日期]]</f>
        <v>45929</v>
      </c>
      <c r="B1929" s="42">
        <f>原始数据!G1929/(原始数据!G$2/100)</f>
        <v>600</v>
      </c>
      <c r="C1929" s="42">
        <f>原始数据!J1929/(原始数据!J$2/100)</f>
        <v>466.82649814003611</v>
      </c>
    </row>
    <row r="1930" spans="1:3" ht="18" customHeight="1" x14ac:dyDescent="0.3">
      <c r="A1930" s="41">
        <f>表1[[#This Row],[订单日期]]</f>
        <v>45929</v>
      </c>
      <c r="B1930" s="42">
        <f>原始数据!G1930/(原始数据!G$2/100)</f>
        <v>600</v>
      </c>
      <c r="C1930" s="42">
        <f>原始数据!J1930/(原始数据!J$2/100)</f>
        <v>66.619277644795901</v>
      </c>
    </row>
    <row r="1931" spans="1:3" ht="18" customHeight="1" x14ac:dyDescent="0.3">
      <c r="A1931" s="41">
        <f>表1[[#This Row],[订单日期]]</f>
        <v>45929</v>
      </c>
      <c r="B1931" s="42">
        <f>原始数据!G1931/(原始数据!G$2/100)</f>
        <v>600</v>
      </c>
      <c r="C1931" s="42">
        <f>原始数据!J1931/(原始数据!J$2/100)</f>
        <v>301.27371293093034</v>
      </c>
    </row>
    <row r="1932" spans="1:3" ht="18" customHeight="1" x14ac:dyDescent="0.3">
      <c r="A1932" s="41">
        <f>表1[[#This Row],[订单日期]]</f>
        <v>45929</v>
      </c>
      <c r="B1932" s="42">
        <f>原始数据!G1932/(原始数据!G$2/100)</f>
        <v>600</v>
      </c>
      <c r="C1932" s="42">
        <f>原始数据!J1932/(原始数据!J$2/100)</f>
        <v>531.03140804062082</v>
      </c>
    </row>
    <row r="1933" spans="1:3" ht="18" customHeight="1" x14ac:dyDescent="0.3">
      <c r="A1933" s="41">
        <f>表1[[#This Row],[订单日期]]</f>
        <v>45929</v>
      </c>
      <c r="B1933" s="42">
        <f>原始数据!G1933/(原始数据!G$2/100)</f>
        <v>600</v>
      </c>
      <c r="C1933" s="42">
        <f>原始数据!J1933/(原始数据!J$2/100)</f>
        <v>405.54758902314489</v>
      </c>
    </row>
    <row r="1934" spans="1:3" ht="18" customHeight="1" x14ac:dyDescent="0.3">
      <c r="A1934" s="41">
        <f>表1[[#This Row],[订单日期]]</f>
        <v>45929</v>
      </c>
      <c r="B1934" s="42">
        <f>原始数据!G1934/(原始数据!G$2/100)</f>
        <v>600</v>
      </c>
      <c r="C1934" s="42">
        <f>原始数据!J1934/(原始数据!J$2/100)</f>
        <v>461.88486321432765</v>
      </c>
    </row>
    <row r="1935" spans="1:3" ht="18" customHeight="1" x14ac:dyDescent="0.3">
      <c r="A1935" s="41">
        <f>表1[[#This Row],[订单日期]]</f>
        <v>45929</v>
      </c>
      <c r="B1935" s="42">
        <f>原始数据!G1935/(原始数据!G$2/100)</f>
        <v>600</v>
      </c>
      <c r="C1935" s="42">
        <f>原始数据!J1935/(原始数据!J$2/100)</f>
        <v>231.46229748130739</v>
      </c>
    </row>
    <row r="1936" spans="1:3" ht="18" customHeight="1" x14ac:dyDescent="0.3">
      <c r="A1936" s="41">
        <f>表1[[#This Row],[订单日期]]</f>
        <v>45929</v>
      </c>
      <c r="B1936" s="42">
        <f>原始数据!G1936/(原始数据!G$2/100)</f>
        <v>600</v>
      </c>
      <c r="C1936" s="42">
        <f>原始数据!J1936/(原始数据!J$2/100)</f>
        <v>334.00807999390719</v>
      </c>
    </row>
    <row r="1937" spans="1:3" ht="18" customHeight="1" x14ac:dyDescent="0.3">
      <c r="A1937" s="41">
        <f>表1[[#This Row],[订单日期]]</f>
        <v>45929</v>
      </c>
      <c r="B1937" s="42">
        <f>原始数据!G1937/(原始数据!G$2/100)</f>
        <v>600</v>
      </c>
      <c r="C1937" s="42">
        <f>原始数据!J1937/(原始数据!J$2/100)</f>
        <v>116.2180561041521</v>
      </c>
    </row>
    <row r="1938" spans="1:3" ht="18" customHeight="1" x14ac:dyDescent="0.3">
      <c r="A1938" s="41">
        <f>表1[[#This Row],[订单日期]]</f>
        <v>45929</v>
      </c>
      <c r="B1938" s="42">
        <f>原始数据!G1938/(原始数据!G$2/100)</f>
        <v>600</v>
      </c>
      <c r="C1938" s="42">
        <f>原始数据!J1938/(原始数据!J$2/100)</f>
        <v>326.36206782561516</v>
      </c>
    </row>
    <row r="1939" spans="1:3" ht="18" customHeight="1" x14ac:dyDescent="0.3">
      <c r="A1939" s="41">
        <f>表1[[#This Row],[订单日期]]</f>
        <v>45929</v>
      </c>
      <c r="B1939" s="42">
        <f>原始数据!G1939/(原始数据!G$2/100)</f>
        <v>600</v>
      </c>
      <c r="C1939" s="42">
        <f>原始数据!J1939/(原始数据!J$2/100)</f>
        <v>360.11476309561249</v>
      </c>
    </row>
    <row r="1940" spans="1:3" ht="18" customHeight="1" x14ac:dyDescent="0.3">
      <c r="A1940" s="41">
        <f>表1[[#This Row],[订单日期]]</f>
        <v>45929</v>
      </c>
      <c r="B1940" s="42">
        <f>原始数据!G1940/(原始数据!G$2/100)</f>
        <v>700</v>
      </c>
      <c r="C1940" s="42">
        <f>原始数据!J1940/(原始数据!J$2/100)</f>
        <v>129.00685210394252</v>
      </c>
    </row>
    <row r="1941" spans="1:3" ht="18" customHeight="1" x14ac:dyDescent="0.3">
      <c r="A1941" s="41">
        <f>表1[[#This Row],[订单日期]]</f>
        <v>45929</v>
      </c>
      <c r="B1941" s="42">
        <f>原始数据!G1941/(原始数据!G$2/100)</f>
        <v>700</v>
      </c>
      <c r="C1941" s="42">
        <f>原始数据!J1941/(原始数据!J$2/100)</f>
        <v>60.414366130424128</v>
      </c>
    </row>
    <row r="1942" spans="1:3" ht="18" customHeight="1" x14ac:dyDescent="0.3">
      <c r="A1942" s="41">
        <f>表1[[#This Row],[订单日期]]</f>
        <v>45929</v>
      </c>
      <c r="B1942" s="42">
        <f>原始数据!G1942/(原始数据!G$2/100)</f>
        <v>700</v>
      </c>
      <c r="C1942" s="42">
        <f>原始数据!J1942/(原始数据!J$2/100)</f>
        <v>326.91667431509575</v>
      </c>
    </row>
    <row r="1943" spans="1:3" ht="18" customHeight="1" x14ac:dyDescent="0.3">
      <c r="A1943" s="41">
        <f>表1[[#This Row],[订单日期]]</f>
        <v>45929</v>
      </c>
      <c r="B1943" s="42">
        <f>原始数据!G1943/(原始数据!G$2/100)</f>
        <v>700</v>
      </c>
      <c r="C1943" s="42">
        <f>原始数据!J1943/(原始数据!J$2/100)</f>
        <v>349.9655225905268</v>
      </c>
    </row>
    <row r="1944" spans="1:3" ht="18" customHeight="1" x14ac:dyDescent="0.3">
      <c r="A1944" s="41">
        <f>表1[[#This Row],[订单日期]]</f>
        <v>45929</v>
      </c>
      <c r="B1944" s="42">
        <f>原始数据!G1944/(原始数据!G$2/100)</f>
        <v>700</v>
      </c>
      <c r="C1944" s="42">
        <f>原始数据!J1944/(原始数据!J$2/100)</f>
        <v>552.97268624720812</v>
      </c>
    </row>
    <row r="1945" spans="1:3" ht="18" customHeight="1" x14ac:dyDescent="0.3">
      <c r="A1945" s="41">
        <f>表1[[#This Row],[订单日期]]</f>
        <v>45929</v>
      </c>
      <c r="B1945" s="42">
        <f>原始数据!G1945/(原始数据!G$2/100)</f>
        <v>700</v>
      </c>
      <c r="C1945" s="42">
        <f>原始数据!J1945/(原始数据!J$2/100)</f>
        <v>162.13957149987468</v>
      </c>
    </row>
    <row r="1946" spans="1:3" ht="18" customHeight="1" x14ac:dyDescent="0.3">
      <c r="A1946" s="41">
        <f>表1[[#This Row],[订单日期]]</f>
        <v>45929</v>
      </c>
      <c r="B1946" s="42">
        <f>原始数据!G1946/(原始数据!G$2/100)</f>
        <v>700</v>
      </c>
      <c r="C1946" s="42">
        <f>原始数据!J1946/(原始数据!J$2/100)</f>
        <v>377.11440637649127</v>
      </c>
    </row>
    <row r="1947" spans="1:3" ht="18" customHeight="1" x14ac:dyDescent="0.3">
      <c r="A1947" s="41">
        <f>表1[[#This Row],[订单日期]]</f>
        <v>45929</v>
      </c>
      <c r="B1947" s="42">
        <f>原始数据!G1947/(原始数据!G$2/100)</f>
        <v>700</v>
      </c>
      <c r="C1947" s="42">
        <f>原始数据!J1947/(原始数据!J$2/100)</f>
        <v>46.562894811054505</v>
      </c>
    </row>
    <row r="1948" spans="1:3" ht="18" customHeight="1" x14ac:dyDescent="0.3">
      <c r="A1948" s="41">
        <f>表1[[#This Row],[订单日期]]</f>
        <v>45929</v>
      </c>
      <c r="B1948" s="42">
        <f>原始数据!G1948/(原始数据!G$2/100)</f>
        <v>700</v>
      </c>
      <c r="C1948" s="42">
        <f>原始数据!J1948/(原始数据!J$2/100)</f>
        <v>64.957648723177371</v>
      </c>
    </row>
    <row r="1949" spans="1:3" ht="18" customHeight="1" x14ac:dyDescent="0.3">
      <c r="A1949" s="41">
        <f>表1[[#This Row],[订单日期]]</f>
        <v>45929</v>
      </c>
      <c r="B1949" s="42">
        <f>原始数据!G1949/(原始数据!G$2/100)</f>
        <v>700</v>
      </c>
      <c r="C1949" s="42">
        <f>原始数据!J1949/(原始数据!J$2/100)</f>
        <v>10.659881151248427</v>
      </c>
    </row>
    <row r="1950" spans="1:3" ht="18" customHeight="1" x14ac:dyDescent="0.3">
      <c r="A1950" s="41">
        <f>表1[[#This Row],[订单日期]]</f>
        <v>45929</v>
      </c>
      <c r="B1950" s="42">
        <f>原始数据!G1950/(原始数据!G$2/100)</f>
        <v>700</v>
      </c>
      <c r="C1950" s="42">
        <f>原始数据!J1950/(原始数据!J$2/100)</f>
        <v>180.20189010033266</v>
      </c>
    </row>
    <row r="1951" spans="1:3" ht="18" customHeight="1" x14ac:dyDescent="0.3">
      <c r="A1951" s="41">
        <f>表1[[#This Row],[订单日期]]</f>
        <v>45929</v>
      </c>
      <c r="B1951" s="42">
        <f>原始数据!G1951/(原始数据!G$2/100)</f>
        <v>700</v>
      </c>
      <c r="C1951" s="42">
        <f>原始数据!J1951/(原始数据!J$2/100)</f>
        <v>91.552473656367056</v>
      </c>
    </row>
    <row r="1952" spans="1:3" ht="18" customHeight="1" x14ac:dyDescent="0.3">
      <c r="A1952" s="41">
        <f>表1[[#This Row],[订单日期]]</f>
        <v>45929</v>
      </c>
      <c r="B1952" s="42">
        <f>原始数据!G1952/(原始数据!G$2/100)</f>
        <v>700</v>
      </c>
      <c r="C1952" s="42">
        <f>原始数据!J1952/(原始数据!J$2/100)</f>
        <v>290.57041357306986</v>
      </c>
    </row>
    <row r="1953" spans="1:3" ht="18" customHeight="1" x14ac:dyDescent="0.3">
      <c r="A1953" s="41">
        <f>表1[[#This Row],[订单日期]]</f>
        <v>45929</v>
      </c>
      <c r="B1953" s="42">
        <f>原始数据!G1953/(原始数据!G$2/100)</f>
        <v>700</v>
      </c>
      <c r="C1953" s="42">
        <f>原始数据!J1953/(原始数据!J$2/100)</f>
        <v>157.59628890712145</v>
      </c>
    </row>
    <row r="1954" spans="1:3" ht="18" customHeight="1" x14ac:dyDescent="0.3">
      <c r="A1954" s="41">
        <f>表1[[#This Row],[订单日期]]</f>
        <v>45929</v>
      </c>
      <c r="B1954" s="42">
        <f>原始数据!G1954/(原始数据!G$2/100)</f>
        <v>700</v>
      </c>
      <c r="C1954" s="42">
        <f>原始数据!J1954/(原始数据!J$2/100)</f>
        <v>481.94234132148063</v>
      </c>
    </row>
    <row r="1955" spans="1:3" ht="18" customHeight="1" x14ac:dyDescent="0.3">
      <c r="A1955" s="41">
        <f>表1[[#This Row],[订单日期]]</f>
        <v>45929</v>
      </c>
      <c r="B1955" s="42">
        <f>原始数据!G1955/(原始数据!G$2/100)</f>
        <v>700</v>
      </c>
      <c r="C1955" s="42">
        <f>原始数据!J1955/(原始数据!J$2/100)</f>
        <v>536.90497951673933</v>
      </c>
    </row>
    <row r="1956" spans="1:3" ht="18" customHeight="1" x14ac:dyDescent="0.3">
      <c r="A1956" s="41">
        <f>表1[[#This Row],[订单日期]]</f>
        <v>45929</v>
      </c>
      <c r="B1956" s="42">
        <f>原始数据!G1956/(原始数据!G$2/100)</f>
        <v>700</v>
      </c>
      <c r="C1956" s="42">
        <f>原始数据!J1956/(原始数据!J$2/100)</f>
        <v>241.4807992172239</v>
      </c>
    </row>
    <row r="1957" spans="1:3" ht="18" customHeight="1" x14ac:dyDescent="0.3">
      <c r="A1957" s="41">
        <f>表1[[#This Row],[订单日期]]</f>
        <v>45929</v>
      </c>
      <c r="B1957" s="42">
        <f>原始数据!G1957/(原始数据!G$2/100)</f>
        <v>700</v>
      </c>
      <c r="C1957" s="42">
        <f>原始数据!J1957/(原始数据!J$2/100)</f>
        <v>454.46102222385127</v>
      </c>
    </row>
    <row r="1958" spans="1:3" ht="18" customHeight="1" x14ac:dyDescent="0.3">
      <c r="A1958" s="41">
        <f>表1[[#This Row],[订单日期]]</f>
        <v>45929</v>
      </c>
      <c r="B1958" s="42">
        <f>原始数据!G1958/(原始数据!G$2/100)</f>
        <v>800</v>
      </c>
      <c r="C1958" s="42">
        <f>原始数据!J1958/(原始数据!J$2/100)</f>
        <v>111.33856846599365</v>
      </c>
    </row>
    <row r="1959" spans="1:3" ht="18" customHeight="1" x14ac:dyDescent="0.3">
      <c r="A1959" s="41">
        <f>表1[[#This Row],[订单日期]]</f>
        <v>45929</v>
      </c>
      <c r="B1959" s="42">
        <f>原始数据!G1959/(原始数据!G$2/100)</f>
        <v>800</v>
      </c>
      <c r="C1959" s="42">
        <f>原始数据!J1959/(原始数据!J$2/100)</f>
        <v>125.85491040869302</v>
      </c>
    </row>
    <row r="1960" spans="1:3" ht="18" customHeight="1" x14ac:dyDescent="0.3">
      <c r="A1960" s="41">
        <f>表1[[#This Row],[订单日期]]</f>
        <v>45929</v>
      </c>
      <c r="B1960" s="42">
        <f>原始数据!G1960/(原始数据!G$2/100)</f>
        <v>800</v>
      </c>
      <c r="C1960" s="42">
        <f>原始数据!J1960/(原始数据!J$2/100)</f>
        <v>26.456752220896561</v>
      </c>
    </row>
    <row r="1961" spans="1:3" ht="18" customHeight="1" x14ac:dyDescent="0.3">
      <c r="A1961" s="41">
        <f>表1[[#This Row],[订单日期]]</f>
        <v>45929</v>
      </c>
      <c r="B1961" s="42">
        <f>原始数据!G1961/(原始数据!G$2/100)</f>
        <v>800</v>
      </c>
      <c r="C1961" s="42">
        <f>原始数据!J1961/(原始数据!J$2/100)</f>
        <v>315.45384982822446</v>
      </c>
    </row>
    <row r="1962" spans="1:3" ht="18" customHeight="1" x14ac:dyDescent="0.3">
      <c r="A1962" s="41">
        <f>表1[[#This Row],[订单日期]]</f>
        <v>45929</v>
      </c>
      <c r="B1962" s="42">
        <f>原始数据!G1962/(原始数据!G$2/100)</f>
        <v>800</v>
      </c>
      <c r="C1962" s="42">
        <f>原始数据!J1962/(原始数据!J$2/100)</f>
        <v>192.23116097111227</v>
      </c>
    </row>
    <row r="1963" spans="1:3" ht="18" customHeight="1" x14ac:dyDescent="0.3">
      <c r="A1963" s="41">
        <f>表1[[#This Row],[订单日期]]</f>
        <v>45929</v>
      </c>
      <c r="B1963" s="42">
        <f>原始数据!G1963/(原始数据!G$2/100)</f>
        <v>800</v>
      </c>
      <c r="C1963" s="42">
        <f>原始数据!J1963/(原始数据!J$2/100)</f>
        <v>546.27476789419995</v>
      </c>
    </row>
    <row r="1964" spans="1:3" ht="18" customHeight="1" x14ac:dyDescent="0.3">
      <c r="A1964" s="41">
        <f>表1[[#This Row],[订单日期]]</f>
        <v>45929</v>
      </c>
      <c r="B1964" s="42">
        <f>原始数据!G1964/(原始数据!G$2/100)</f>
        <v>800</v>
      </c>
      <c r="C1964" s="42">
        <f>原始数据!J1964/(原始数据!J$2/100)</f>
        <v>249.52084634802503</v>
      </c>
    </row>
    <row r="1965" spans="1:3" ht="18" customHeight="1" x14ac:dyDescent="0.3">
      <c r="A1965" s="41">
        <f>表1[[#This Row],[订单日期]]</f>
        <v>45929</v>
      </c>
      <c r="B1965" s="42">
        <f>原始数据!G1965/(原始数据!G$2/100)</f>
        <v>800</v>
      </c>
      <c r="C1965" s="42">
        <f>原始数据!J1965/(原始数据!J$2/100)</f>
        <v>386.04094767173211</v>
      </c>
    </row>
    <row r="1966" spans="1:3" ht="18" customHeight="1" x14ac:dyDescent="0.3">
      <c r="A1966" s="41">
        <f>表1[[#This Row],[订单日期]]</f>
        <v>45929</v>
      </c>
      <c r="B1966" s="42">
        <f>原始数据!G1966/(原始数据!G$2/100)</f>
        <v>800</v>
      </c>
      <c r="C1966" s="42">
        <f>原始数据!J1966/(原始数据!J$2/100)</f>
        <v>518.68263702601564</v>
      </c>
    </row>
    <row r="1967" spans="1:3" ht="18" customHeight="1" x14ac:dyDescent="0.3">
      <c r="A1967" s="41">
        <f>表1[[#This Row],[订单日期]]</f>
        <v>45929</v>
      </c>
      <c r="B1967" s="42">
        <f>原始数据!G1967/(原始数据!G$2/100)</f>
        <v>1000</v>
      </c>
      <c r="C1967" s="42">
        <f>原始数据!J1967/(原始数据!J$2/100)</f>
        <v>20.873227340516934</v>
      </c>
    </row>
    <row r="1968" spans="1:3" ht="18" customHeight="1" x14ac:dyDescent="0.3">
      <c r="A1968" s="41">
        <f>表1[[#This Row],[订单日期]]</f>
        <v>45929</v>
      </c>
      <c r="B1968" s="42">
        <f>原始数据!G1968/(原始数据!G$2/100)</f>
        <v>1000</v>
      </c>
      <c r="C1968" s="42">
        <f>原始数据!J1968/(原始数据!J$2/100)</f>
        <v>373.14384593472528</v>
      </c>
    </row>
    <row r="1969" spans="1:3" ht="18" customHeight="1" x14ac:dyDescent="0.3">
      <c r="A1969" s="41">
        <f>表1[[#This Row],[订单日期]]</f>
        <v>45929</v>
      </c>
      <c r="B1969" s="42">
        <f>原始数据!G1969/(原始数据!G$2/100)</f>
        <v>1000</v>
      </c>
      <c r="C1969" s="42">
        <f>原始数据!J1969/(原始数据!J$2/100)</f>
        <v>389.1007408946391</v>
      </c>
    </row>
    <row r="1970" spans="1:3" ht="18" customHeight="1" x14ac:dyDescent="0.3">
      <c r="A1970" s="41">
        <f>表1[[#This Row],[订单日期]]</f>
        <v>45929</v>
      </c>
      <c r="B1970" s="42">
        <f>原始数据!G1970/(原始数据!G$2/100)</f>
        <v>1000</v>
      </c>
      <c r="C1970" s="42">
        <f>原始数据!J1970/(原始数据!J$2/100)</f>
        <v>79.38184219353424</v>
      </c>
    </row>
    <row r="1971" spans="1:3" ht="18" customHeight="1" x14ac:dyDescent="0.3">
      <c r="A1971" s="41">
        <f>表1[[#This Row],[订单日期]]</f>
        <v>45929</v>
      </c>
      <c r="B1971" s="42">
        <f>原始数据!G1971/(原始数据!G$2/100)</f>
        <v>1000</v>
      </c>
      <c r="C1971" s="42">
        <f>原始数据!J1971/(原始数据!J$2/100)</f>
        <v>436.41736692160578</v>
      </c>
    </row>
    <row r="1972" spans="1:3" ht="18" customHeight="1" x14ac:dyDescent="0.3">
      <c r="A1972" s="41">
        <f>表1[[#This Row],[订单日期]]</f>
        <v>45929</v>
      </c>
      <c r="B1972" s="42">
        <f>原始数据!G1972/(原始数据!G$2/100)</f>
        <v>1000</v>
      </c>
      <c r="C1972" s="42">
        <f>原始数据!J1972/(原始数据!J$2/100)</f>
        <v>189.63955389571649</v>
      </c>
    </row>
    <row r="1973" spans="1:3" ht="18" customHeight="1" x14ac:dyDescent="0.3">
      <c r="A1973" s="41">
        <f>表1[[#This Row],[订单日期]]</f>
        <v>45929</v>
      </c>
      <c r="B1973" s="42">
        <f>原始数据!G1973/(原始数据!G$2/100)</f>
        <v>1000</v>
      </c>
      <c r="C1973" s="42">
        <f>原始数据!J1973/(原始数据!J$2/100)</f>
        <v>537.58851343828155</v>
      </c>
    </row>
    <row r="1974" spans="1:3" ht="18" customHeight="1" x14ac:dyDescent="0.3">
      <c r="A1974" s="41">
        <f>表1[[#This Row],[订单日期]]</f>
        <v>45929</v>
      </c>
      <c r="B1974" s="42">
        <f>原始数据!G1974/(原始数据!G$2/100)</f>
        <v>1000</v>
      </c>
      <c r="C1974" s="42">
        <f>原始数据!J1974/(原始数据!J$2/100)</f>
        <v>553.87784370986014</v>
      </c>
    </row>
    <row r="1975" spans="1:3" ht="18" customHeight="1" x14ac:dyDescent="0.3">
      <c r="A1975" s="41">
        <f>表1[[#This Row],[订单日期]]</f>
        <v>45930</v>
      </c>
      <c r="B1975" s="42">
        <f>原始数据!G1975/(原始数据!G$2/100)</f>
        <v>200</v>
      </c>
      <c r="C1975" s="42">
        <f>原始数据!J1975/(原始数据!J$2/100)</f>
        <v>503.02130682671253</v>
      </c>
    </row>
    <row r="1976" spans="1:3" ht="18" customHeight="1" x14ac:dyDescent="0.3">
      <c r="A1976" s="41">
        <f>表1[[#This Row],[订单日期]]</f>
        <v>45930</v>
      </c>
      <c r="B1976" s="42">
        <f>原始数据!G1976/(原始数据!G$2/100)</f>
        <v>200</v>
      </c>
      <c r="C1976" s="42">
        <f>原始数据!J1976/(原始数据!J$2/100)</f>
        <v>24.089209602797236</v>
      </c>
    </row>
    <row r="1977" spans="1:3" ht="18" customHeight="1" x14ac:dyDescent="0.3">
      <c r="A1977" s="41">
        <f>表1[[#This Row],[订单日期]]</f>
        <v>45930</v>
      </c>
      <c r="B1977" s="42">
        <f>原始数据!G1977/(原始数据!G$2/100)</f>
        <v>200</v>
      </c>
      <c r="C1977" s="42">
        <f>原始数据!J1977/(原始数据!J$2/100)</f>
        <v>330.48738007264444</v>
      </c>
    </row>
    <row r="1978" spans="1:3" ht="18" customHeight="1" x14ac:dyDescent="0.3">
      <c r="A1978" s="41">
        <f>表1[[#This Row],[订单日期]]</f>
        <v>45930</v>
      </c>
      <c r="B1978" s="42">
        <f>原始数据!G1978/(原始数据!G$2/100)</f>
        <v>200</v>
      </c>
      <c r="C1978" s="42">
        <f>原始数据!J1978/(原始数据!J$2/100)</f>
        <v>60.103035033158264</v>
      </c>
    </row>
    <row r="1979" spans="1:3" ht="18" customHeight="1" x14ac:dyDescent="0.3">
      <c r="A1979" s="41">
        <f>表1[[#This Row],[订单日期]]</f>
        <v>45930</v>
      </c>
      <c r="B1979" s="42">
        <f>原始数据!G1979/(原始数据!G$2/100)</f>
        <v>200</v>
      </c>
      <c r="C1979" s="42">
        <f>原始数据!J1979/(原始数据!J$2/100)</f>
        <v>255.80024671860343</v>
      </c>
    </row>
    <row r="1980" spans="1:3" ht="18" customHeight="1" x14ac:dyDescent="0.3">
      <c r="A1980" s="41">
        <f>表1[[#This Row],[订单日期]]</f>
        <v>45930</v>
      </c>
      <c r="B1980" s="42">
        <f>原始数据!G1980/(原始数据!G$2/100)</f>
        <v>200</v>
      </c>
      <c r="C1980" s="42">
        <f>原始数据!J1980/(原始数据!J$2/100)</f>
        <v>103.87368440236629</v>
      </c>
    </row>
    <row r="1981" spans="1:3" ht="18" customHeight="1" x14ac:dyDescent="0.3">
      <c r="A1981" s="41">
        <f>表1[[#This Row],[订单日期]]</f>
        <v>45930</v>
      </c>
      <c r="B1981" s="42">
        <f>原始数据!G1981/(原始数据!G$2/100)</f>
        <v>200</v>
      </c>
      <c r="C1981" s="42">
        <f>原始数据!J1981/(原始数据!J$2/100)</f>
        <v>499.14289485728904</v>
      </c>
    </row>
    <row r="1982" spans="1:3" ht="18" customHeight="1" x14ac:dyDescent="0.3">
      <c r="A1982" s="41">
        <f>表1[[#This Row],[订单日期]]</f>
        <v>45930</v>
      </c>
      <c r="B1982" s="42">
        <f>原始数据!G1982/(原始数据!G$2/100)</f>
        <v>200</v>
      </c>
      <c r="C1982" s="42">
        <f>原始数据!J1982/(原始数据!J$2/100)</f>
        <v>355.08396825045384</v>
      </c>
    </row>
    <row r="1983" spans="1:3" ht="18" customHeight="1" x14ac:dyDescent="0.3">
      <c r="A1983" s="41">
        <f>表1[[#This Row],[订单日期]]</f>
        <v>45930</v>
      </c>
      <c r="B1983" s="42">
        <f>原始数据!G1983/(原始数据!G$2/100)</f>
        <v>200</v>
      </c>
      <c r="C1983" s="42">
        <f>原始数据!J1983/(原始数据!J$2/100)</f>
        <v>385.89326535012299</v>
      </c>
    </row>
    <row r="1984" spans="1:3" ht="18" customHeight="1" x14ac:dyDescent="0.3">
      <c r="A1984" s="41">
        <f>表1[[#This Row],[订单日期]]</f>
        <v>45930</v>
      </c>
      <c r="B1984" s="42">
        <f>原始数据!G1984/(原始数据!G$2/100)</f>
        <v>200</v>
      </c>
      <c r="C1984" s="42">
        <f>原始数据!J1984/(原始数据!J$2/100)</f>
        <v>177.45270005085774</v>
      </c>
    </row>
    <row r="1985" spans="1:3" ht="18" customHeight="1" x14ac:dyDescent="0.3">
      <c r="A1985" s="41">
        <f>表1[[#This Row],[订单日期]]</f>
        <v>45930</v>
      </c>
      <c r="B1985" s="42">
        <f>原始数据!G1985/(原始数据!G$2/100)</f>
        <v>200</v>
      </c>
      <c r="C1985" s="42">
        <f>原始数据!J1985/(原始数据!J$2/100)</f>
        <v>145.21009970475632</v>
      </c>
    </row>
    <row r="1986" spans="1:3" ht="18" customHeight="1" x14ac:dyDescent="0.3">
      <c r="A1986" s="41">
        <f>表1[[#This Row],[订单日期]]</f>
        <v>45930</v>
      </c>
      <c r="B1986" s="42">
        <f>原始数据!G1986/(原始数据!G$2/100)</f>
        <v>200</v>
      </c>
      <c r="C1986" s="42">
        <f>原始数据!J1986/(原始数据!J$2/100)</f>
        <v>162.82554633760341</v>
      </c>
    </row>
    <row r="1987" spans="1:3" ht="18" customHeight="1" x14ac:dyDescent="0.3">
      <c r="A1987" s="41">
        <f>表1[[#This Row],[订单日期]]</f>
        <v>45930</v>
      </c>
      <c r="B1987" s="42">
        <f>原始数据!G1987/(原始数据!G$2/100)</f>
        <v>200</v>
      </c>
      <c r="C1987" s="42">
        <f>原始数据!J1987/(原始数据!J$2/100)</f>
        <v>248.81910517364113</v>
      </c>
    </row>
    <row r="1988" spans="1:3" ht="18" customHeight="1" x14ac:dyDescent="0.3">
      <c r="A1988" s="41">
        <f>表1[[#This Row],[订单日期]]</f>
        <v>45930</v>
      </c>
      <c r="B1988" s="42">
        <f>原始数据!G1988/(原始数据!G$2/100)</f>
        <v>200</v>
      </c>
      <c r="C1988" s="42">
        <f>原始数据!J1988/(原始数据!J$2/100)</f>
        <v>221.11253764951081</v>
      </c>
    </row>
    <row r="1989" spans="1:3" ht="18" customHeight="1" x14ac:dyDescent="0.3">
      <c r="A1989" s="41">
        <f>表1[[#This Row],[订单日期]]</f>
        <v>45930</v>
      </c>
      <c r="B1989" s="42">
        <f>原始数据!G1989/(原始数据!G$2/100)</f>
        <v>200</v>
      </c>
      <c r="C1989" s="42">
        <f>原始数据!J1989/(原始数据!J$2/100)</f>
        <v>36.06050570812365</v>
      </c>
    </row>
    <row r="1990" spans="1:3" ht="18" customHeight="1" x14ac:dyDescent="0.3">
      <c r="A1990" s="41">
        <f>表1[[#This Row],[订单日期]]</f>
        <v>45930</v>
      </c>
      <c r="B1990" s="42">
        <f>原始数据!G1990/(原始数据!G$2/100)</f>
        <v>200</v>
      </c>
      <c r="C1990" s="42">
        <f>原始数据!J1990/(原始数据!J$2/100)</f>
        <v>130.80094464722083</v>
      </c>
    </row>
    <row r="1991" spans="1:3" ht="18" customHeight="1" x14ac:dyDescent="0.3">
      <c r="A1991" s="41">
        <f>表1[[#This Row],[订单日期]]</f>
        <v>45930</v>
      </c>
      <c r="B1991" s="42">
        <f>原始数据!G1991/(原始数据!G$2/100)</f>
        <v>200</v>
      </c>
      <c r="C1991" s="42">
        <f>原始数据!J1991/(原始数据!J$2/100)</f>
        <v>236.7406221831508</v>
      </c>
    </row>
    <row r="1992" spans="1:3" ht="18" customHeight="1" x14ac:dyDescent="0.3">
      <c r="A1992" s="41">
        <f>表1[[#This Row],[订单日期]]</f>
        <v>45930</v>
      </c>
      <c r="B1992" s="42">
        <f>原始数据!G1992/(原始数据!G$2/100)</f>
        <v>200</v>
      </c>
      <c r="C1992" s="42">
        <f>原始数据!J1992/(原始数据!J$2/100)</f>
        <v>41.375845809370531</v>
      </c>
    </row>
    <row r="1993" spans="1:3" ht="18" customHeight="1" x14ac:dyDescent="0.3">
      <c r="A1993" s="41">
        <f>表1[[#This Row],[订单日期]]</f>
        <v>45930</v>
      </c>
      <c r="B1993" s="42">
        <f>原始数据!G1993/(原始数据!G$2/100)</f>
        <v>750</v>
      </c>
      <c r="C1993" s="42">
        <f>原始数据!J1993/(原始数据!J$2/100)</f>
        <v>87.453391746697577</v>
      </c>
    </row>
    <row r="1994" spans="1:3" ht="18" customHeight="1" x14ac:dyDescent="0.3">
      <c r="A1994" s="41">
        <f>表1[[#This Row],[订单日期]]</f>
        <v>45930</v>
      </c>
      <c r="B1994" s="42">
        <f>原始数据!G1994/(原始数据!G$2/100)</f>
        <v>750</v>
      </c>
      <c r="C1994" s="42">
        <f>原始数据!J1994/(原始数据!J$2/100)</f>
        <v>440.72131627590056</v>
      </c>
    </row>
    <row r="1995" spans="1:3" ht="18" customHeight="1" x14ac:dyDescent="0.3">
      <c r="A1995" s="41">
        <f>表1[[#This Row],[订单日期]]</f>
        <v>45930</v>
      </c>
      <c r="B1995" s="42">
        <f>原始数据!G1995/(原始数据!G$2/100)</f>
        <v>750</v>
      </c>
      <c r="C1995" s="42">
        <f>原始数据!J1995/(原始数据!J$2/100)</f>
        <v>17.863599838184566</v>
      </c>
    </row>
    <row r="1996" spans="1:3" ht="18" customHeight="1" x14ac:dyDescent="0.3">
      <c r="A1996" s="41">
        <f>表1[[#This Row],[订单日期]]</f>
        <v>45930</v>
      </c>
      <c r="B1996" s="42">
        <f>原始数据!G1996/(原始数据!G$2/100)</f>
        <v>750</v>
      </c>
      <c r="C1996" s="42">
        <f>原始数据!J1996/(原始数据!J$2/100)</f>
        <v>363.70713574020544</v>
      </c>
    </row>
    <row r="1997" spans="1:3" ht="18" customHeight="1" x14ac:dyDescent="0.3">
      <c r="A1997" s="41">
        <f>表1[[#This Row],[订单日期]]</f>
        <v>45930</v>
      </c>
      <c r="B1997" s="42">
        <f>原始数据!G1997/(原始数据!G$2/100)</f>
        <v>750</v>
      </c>
      <c r="C1997" s="42">
        <f>原始数据!J1997/(原始数据!J$2/100)</f>
        <v>253.6710475791331</v>
      </c>
    </row>
    <row r="1998" spans="1:3" ht="18" customHeight="1" x14ac:dyDescent="0.3">
      <c r="A1998" s="41">
        <f>表1[[#This Row],[订单日期]]</f>
        <v>45930</v>
      </c>
      <c r="B1998" s="42">
        <f>原始数据!G1998/(原始数据!G$2/100)</f>
        <v>750</v>
      </c>
      <c r="C1998" s="42">
        <f>原始数据!J1998/(原始数据!J$2/100)</f>
        <v>28.058282729240609</v>
      </c>
    </row>
    <row r="1999" spans="1:3" ht="18" customHeight="1" x14ac:dyDescent="0.3">
      <c r="A1999" s="41">
        <f>表1[[#This Row],[订单日期]]</f>
        <v>45930</v>
      </c>
      <c r="B1999" s="42">
        <f>原始数据!G1999/(原始数据!G$2/100)</f>
        <v>750</v>
      </c>
      <c r="C1999" s="42">
        <f>原始数据!J1999/(原始数据!J$2/100)</f>
        <v>121.36179353651443</v>
      </c>
    </row>
    <row r="2000" spans="1:3" ht="18" customHeight="1" x14ac:dyDescent="0.3">
      <c r="A2000" s="41">
        <f>表1[[#This Row],[订单日期]]</f>
        <v>45930</v>
      </c>
      <c r="B2000" s="42">
        <f>原始数据!G2000/(原始数据!G$2/100)</f>
        <v>750</v>
      </c>
      <c r="C2000" s="42">
        <f>原始数据!J2000/(原始数据!J$2/100)</f>
        <v>39.361083325846224</v>
      </c>
    </row>
    <row r="2001" spans="1:3" ht="18" customHeight="1" x14ac:dyDescent="0.3">
      <c r="A2001" s="41">
        <f>表1[[#This Row],[订单日期]]</f>
        <v>45930</v>
      </c>
      <c r="B2001" s="42">
        <f>原始数据!G2001/(原始数据!G$2/100)</f>
        <v>750</v>
      </c>
      <c r="C2001" s="42">
        <f>原始数据!J2001/(原始数据!J$2/100)</f>
        <v>26.839353253136082</v>
      </c>
    </row>
  </sheetData>
  <dataConsolidate function="average" topLabels="1">
    <dataRefs count="2">
      <dataRef ref="A1:C1048576" sheet="可视化区域"/>
      <dataRef ref="H2:J2" sheet="可视化区域"/>
    </dataRefs>
  </dataConsolidate>
  <mergeCells count="1"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统计区</vt:lpstr>
      <vt:lpstr>可视化区域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李集达</dc:creator>
  <cp:lastModifiedBy>李集达</cp:lastModifiedBy>
  <dcterms:created xsi:type="dcterms:W3CDTF">2025-10-29T12:50:03Z</dcterms:created>
  <dcterms:modified xsi:type="dcterms:W3CDTF">2026-01-16T06:18:29Z</dcterms:modified>
</cp:coreProperties>
</file>